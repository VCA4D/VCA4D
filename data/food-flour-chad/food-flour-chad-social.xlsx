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16. Tchad - farines\5. Final Report\"/>
    </mc:Choice>
  </mc:AlternateContent>
  <xr:revisionPtr revIDLastSave="0" documentId="13_ncr:1_{598205EA-358D-4BFC-9264-40A51D204F27}" xr6:coauthVersionLast="47" xr6:coauthVersionMax="47" xr10:uidLastSave="{00000000-0000-0000-0000-000000000000}"/>
  <bookViews>
    <workbookView xWindow="-110" yWindow="-110" windowWidth="19420" windowHeight="10300"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1" i="4" l="1"/>
  <c r="A10" i="4"/>
  <c r="A12" i="4"/>
  <c r="A13" i="4" s="1"/>
  <c r="A15" i="4" s="1"/>
  <c r="A16" i="4" s="1"/>
  <c r="A17" i="4" s="1"/>
  <c r="A18" i="4" s="1"/>
  <c r="A20" i="4" s="1"/>
  <c r="E119" i="3" l="1"/>
  <c r="E118" i="3"/>
  <c r="E117" i="3"/>
  <c r="E120" i="3" s="1"/>
  <c r="E114" i="3"/>
  <c r="E113" i="3"/>
  <c r="E112" i="3"/>
  <c r="E109" i="3"/>
  <c r="E108" i="3"/>
  <c r="E105" i="3"/>
  <c r="E104" i="3"/>
  <c r="E103" i="3"/>
  <c r="E99" i="3"/>
  <c r="E98" i="3"/>
  <c r="E97" i="3"/>
  <c r="E94" i="3"/>
  <c r="E93" i="3"/>
  <c r="E90" i="3"/>
  <c r="E89" i="3"/>
  <c r="E88" i="3"/>
  <c r="E87" i="3"/>
  <c r="E91" i="3" s="1"/>
  <c r="E83" i="3"/>
  <c r="E84" i="3" s="1"/>
  <c r="E82" i="3"/>
  <c r="E79" i="3"/>
  <c r="E78" i="3"/>
  <c r="E77" i="3"/>
  <c r="E74" i="3"/>
  <c r="E73" i="3"/>
  <c r="E70" i="3"/>
  <c r="E69" i="3"/>
  <c r="E65" i="3"/>
  <c r="E64" i="3"/>
  <c r="E61" i="3"/>
  <c r="E60" i="3"/>
  <c r="E59" i="3"/>
  <c r="E58" i="3"/>
  <c r="E55" i="3"/>
  <c r="E54" i="3"/>
  <c r="E53" i="3"/>
  <c r="E52" i="3"/>
  <c r="E51" i="3"/>
  <c r="E48" i="3"/>
  <c r="E47" i="3"/>
  <c r="E46" i="3"/>
  <c r="E45" i="3"/>
  <c r="E42" i="3"/>
  <c r="E41" i="3"/>
  <c r="E37" i="3"/>
  <c r="E36" i="3"/>
  <c r="E35" i="3"/>
  <c r="E34" i="3"/>
  <c r="E38" i="3" s="1"/>
  <c r="E31" i="3"/>
  <c r="E30" i="3"/>
  <c r="E29" i="3"/>
  <c r="E28" i="3"/>
  <c r="E25" i="3"/>
  <c r="E24" i="3"/>
  <c r="E20" i="3"/>
  <c r="E19" i="3"/>
  <c r="E16" i="3"/>
  <c r="E17" i="3" s="1"/>
  <c r="E13" i="3"/>
  <c r="E12" i="3"/>
  <c r="E9" i="3"/>
  <c r="E8" i="3"/>
  <c r="E7" i="3"/>
  <c r="E6" i="3"/>
  <c r="E5" i="3"/>
  <c r="E115" i="3" l="1"/>
  <c r="E110" i="3"/>
  <c r="E106" i="3"/>
  <c r="E100" i="3"/>
  <c r="E95" i="3"/>
  <c r="E80" i="3"/>
  <c r="E75" i="3"/>
  <c r="E71" i="3"/>
  <c r="E66" i="3"/>
  <c r="E62" i="3"/>
  <c r="E56" i="3"/>
  <c r="E49" i="3"/>
  <c r="E43" i="3"/>
  <c r="E32"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100" i="3" l="1"/>
  <c r="B32" i="2" s="1"/>
  <c r="J95" i="3"/>
  <c r="B31" i="2" s="1"/>
  <c r="J91" i="3"/>
  <c r="B30"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2" i="2" l="1"/>
  <c r="C32" i="2"/>
  <c r="C30" i="2"/>
  <c r="D30" i="2"/>
  <c r="B33" i="2"/>
  <c r="C33" i="2" s="1"/>
  <c r="C18" i="1" s="1"/>
  <c r="D31" i="2"/>
  <c r="C31" i="2"/>
  <c r="I38" i="2"/>
  <c r="I19" i="2"/>
  <c r="I9" i="2"/>
  <c r="I27" i="2"/>
  <c r="I18" i="2"/>
  <c r="I37" i="2"/>
  <c r="I8" i="2"/>
  <c r="I7" i="2"/>
  <c r="I25" i="2"/>
  <c r="I17" i="2"/>
  <c r="I24" i="2"/>
  <c r="I14" i="2"/>
  <c r="I21" i="2"/>
  <c r="I20" i="2"/>
  <c r="I36" i="2"/>
  <c r="I32" i="2"/>
  <c r="I13" i="2"/>
  <c r="I31" i="2"/>
  <c r="I12" i="2"/>
  <c r="I30" i="2"/>
  <c r="I26" i="2"/>
  <c r="I35" i="2"/>
  <c r="I6" i="2"/>
  <c r="I33" i="2"/>
  <c r="F18" i="1" s="1"/>
  <c r="D62" i="3"/>
  <c r="D66" i="3"/>
  <c r="D106" i="3"/>
  <c r="D115" i="3"/>
  <c r="D110" i="3"/>
  <c r="D71" i="3"/>
  <c r="D43" i="3"/>
  <c r="D26" i="3"/>
  <c r="I26" i="3" s="1"/>
  <c r="J26" i="3" s="1"/>
  <c r="D32" i="3"/>
  <c r="D38" i="3"/>
  <c r="D84" i="3"/>
  <c r="D120" i="3"/>
  <c r="D17" i="3"/>
  <c r="D18" i="1" l="1"/>
  <c r="D33" i="2"/>
  <c r="E18" i="1" s="1"/>
  <c r="F49" i="3"/>
  <c r="D49" i="3"/>
  <c r="D14" i="3"/>
  <c r="I14" i="3" s="1"/>
  <c r="J14" i="3" s="1"/>
  <c r="D21" i="3"/>
  <c r="D10" i="3" l="1"/>
  <c r="I10" i="3" s="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28" i="2" l="1"/>
  <c r="F17" i="1" s="1"/>
  <c r="I10" i="2"/>
  <c r="F14" i="1" s="1"/>
  <c r="I39" i="2"/>
  <c r="F19" i="1" s="1"/>
  <c r="I15" i="2"/>
  <c r="F15"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71" i="3" l="1"/>
  <c r="B24" i="2" s="1"/>
  <c r="J38" i="3"/>
  <c r="B14" i="2" s="1"/>
  <c r="C14" i="2" s="1"/>
  <c r="J120" i="3"/>
  <c r="B38" i="2" s="1"/>
  <c r="C38"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<sst xmlns="http://schemas.openxmlformats.org/spreadsheetml/2006/main" count="483" uniqueCount="263">
  <si>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</si>
  <si>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</si>
  <si>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</si>
  <si>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</si>
  <si>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</si>
  <si>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</si>
  <si>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</si>
  <si>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</si>
  <si>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</si>
  <si>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</si>
  <si>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</si>
  <si>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</si>
  <si>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</si>
  <si>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</si>
  <si>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</si>
  <si>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</si>
  <si>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</si>
  <si>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</si>
  <si>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</si>
  <si>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</si>
  <si>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</si>
  <si>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</si>
  <si>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</si>
  <si>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</si>
  <si>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</si>
  <si>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</si>
  <si>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</si>
  <si>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</si>
  <si>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</si>
  <si>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</si>
  <si>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</si>
  <si>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</si>
  <si>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</si>
  <si>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</si>
  <si>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</si>
  <si>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</si>
  <si>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</si>
  <si>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</si>
  <si>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</si>
  <si>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</si>
  <si>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</si>
  <si>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</si>
  <si>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</si>
  <si>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</si>
  <si>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</si>
  <si>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</si>
  <si>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</si>
  <si>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</si>
  <si>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</si>
  <si>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</si>
  <si>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</si>
  <si>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</si>
  <si>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</si>
  <si>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</si>
  <si>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</si>
  <si>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</si>
  <si>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</si>
  <si>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</si>
  <si>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</si>
  <si>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</si>
  <si>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</si>
  <si>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</si>
  <si>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</si>
  <si>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</si>
  <si>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</si>
  <si>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</si>
  <si>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</si>
  <si>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</si>
  <si>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</si>
  <si>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</si>
  <si>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</si>
  <si>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</si>
  <si>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</si>
  <si>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</si>
  <si>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</si>
  <si>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</si>
  <si>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</si>
  <si>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</si>
  <si>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</si>
  <si>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</si>
  <si>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</si>
  <si>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</si>
  <si>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</si>
  <si>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</si>
  <si>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</si>
  <si>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</si>
  <si>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</si>
  <si>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</si>
  <si>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</si>
  <si>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</si>
  <si>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</si>
  <si>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</si>
  <si>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</si>
  <si>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</si>
  <si>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</si>
  <si>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</si>
  <si>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</si>
  <si>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</si>
  <si>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</si>
  <si>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</si>
  <si>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</si>
  <si>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</si>
  <si>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</si>
  <si>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</si>
  <si>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</si>
  <si>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</si>
  <si>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</si>
  <si>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</si>
  <si>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</si>
  <si>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</si>
  <si>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</si>
  <si>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</si>
  <si>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</si>
  <si>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</si>
  <si>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</si>
  <si>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</si>
  <si>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</si>
  <si>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</si>
  <si>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</si>
  <si>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</si>
  <si>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</si>
  <si>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</si>
  <si>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</si>
  <si>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</si>
  <si>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</si>
  <si>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</si>
  <si>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</si>
  <si>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</si>
  <si>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</si>
  <si>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</si>
  <si>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</si>
  <si>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</si>
  <si>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</si>
  <si>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</si>
  <si>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</si>
  <si>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</si>
  <si>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</si>
  <si>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</si>
  <si>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</si>
  <si>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</si>
  <si>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</si>
  <si>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</si>
  <si>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</si>
  <si>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</si>
  <si>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</si>
  <si>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</si>
  <si>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</si>
  <si>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</si>
  <si>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</si>
  <si>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</si>
  <si>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</si>
  <si>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</si>
  <si>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</si>
  <si>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</si>
  <si>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</si>
  <si>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</si>
  <si>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</si>
  <si>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</si>
  <si>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</si>
  <si>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</si>
  <si>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</si>
  <si>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</si>
  <si>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</si>
  <si>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</si>
  <si>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</si>
  <si>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</si>
  <si>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</si>
  <si>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</si>
  <si>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</si>
  <si>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</si>
  <si>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</si>
  <si>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</si>
  <si>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</si>
  <si>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</si>
  <si>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</si>
  <si>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</si>
  <si>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</si>
  <si>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</si>
  <si>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</si>
  <si>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</si>
  <si>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</si>
  <si>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</si>
  <si>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</si>
  <si>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</si>
  <si>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</si>
  <si>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</si>
  <si>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</si>
  <si>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</si>
  <si>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</si>
  <si>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</si>
  <si>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</si>
  <si>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</si>
  <si>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</si>
  <si>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</si>
  <si>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</si>
  <si>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</si>
  <si>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</si>
  <si>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</si>
  <si>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</si>
  <si>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</si>
  <si>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</si>
  <si>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</si>
  <si>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</si>
  <si>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</si>
  <si>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</si>
  <si>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</si>
  <si>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</si>
  <si>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</si>
  <si>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</si>
  <si>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</si>
  <si>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</si>
  <si>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</si>
  <si>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</si>
  <si>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</si>
  <si>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</si>
  <si>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</si>
  <si>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</si>
  <si>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</si>
  <si>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</si>
  <si>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</si>
  <si>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</si>
  <si>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Chad</t>
  </si>
  <si>
    <t xml:space="preserve">Le Code du Travail tchadien tend à l'égalité, mais certaines dispositions historiques ou interprétations peuvent induire des inégalités. Égalité de traitement : Le Code du Travail, en principe, ne fait pas de distinction de sexe en matière de droits et de devoirs, d'accès à l'emploi et de conditions de travail. Protections spécifiques : Certaines dispositions peuvent être vues comme protectrices mais aussi restrictives, comme l'interdiction du travail de nuit pour les femmes (Article 205). Bien que visant à protéger, cela peut limiter les opportunités d'emploi pour les femmes dans certains secteurs. Rémunération : La loi n°2006-340 du 23 mars 2006 relative à l'égalité salariale entre les femmes et les hommes vise à garantir l'égalité de rémunération pour un travail de valeur égale.  Dans la pratique de la SCV B, les acteurs (grossistes détaillants meuniers préparatrices) ignorent les standards </t>
  </si>
  <si>
    <t>organisation sociale/familiale du commerce ; travail isolé non représenté ni défendu des acteurs de l'aval (détaillants, meuniers préparatrices)</t>
  </si>
  <si>
    <t>Secteurs rémunérateurs et positions hiérarchiques (commerce, transport) sont détenus 1) par des hommes et 2) par des groupes/clans sociaux (ex: dans le Mayo kebbi, Gurane et Kanembous). Exclusion des autres. (Plutôt accaparement que exclusion)</t>
  </si>
  <si>
    <t>quelques enfants aident ponctuellement. Population défavorisée, tx de scolarisation faible en particulier pour les filles (assignées à l'aide ménagère et au mariage)</t>
  </si>
  <si>
    <t>Tous segments en dehors des règlements. Secteur du commerce et des transports, lucratif, très fermé, et secteur aval (mouture, préparation) très précaire et peu rémunérateur.</t>
  </si>
  <si>
    <t>subsistance</t>
  </si>
  <si>
    <t>pure susbsistance, emplois ponctuels.</t>
  </si>
  <si>
    <t>Le Tchad n’a pas formellement "adhéré" aux VGGT (car ces directives ne font pas l’objet d’une ratification formelle : elles sont volontaires). Mais elles sont intégrées dans la formulation de sa politique nationale foncière, avec des pgms de formation des acteurs, consultation citoyenne, validation politique et mise en œuvre de projets pilotés avec l’appui de la FAO, selon le modèle des VGGT. Le 10 novembre 2023 à N’Djamena, le Tchad a validé officiellement sa politique foncière nationale, résultat d’un processus participatif incluant gouvernement, société civile, communautés pastorales, femmes, jeunes, chefs traditionnels, etc.Ce document fonde sa vision stratégique sur les principes recommandés par les VGGT. Toutefois, le droit appliqué repose largement sur le droit coutumier qui désavantage les femmes.</t>
  </si>
  <si>
    <t>non pertinent ici</t>
  </si>
  <si>
    <t>Secteurs rémunérateurs et positions hiérarchiques (commerce, transport) sont détenus par des hommes. Segments aval (détaillantes, préparation) peu rémunérateurs exclusivement féminins, dauf la mouture mécanique qaui est détenue par les hommes.</t>
  </si>
  <si>
    <t>SCV considérée comme extrêmement féminine "la bouillie c'est l'affaire des mamans", paradoxalement seult tâches aval, peu rémunérées et dans les bouillies du quotidien, invisibles aux politiques.</t>
  </si>
  <si>
    <t>oui s(agissaant des préparatrices pour leur production de bouillie, peu pour la production des céréales et autres ingredients.</t>
  </si>
  <si>
    <t>Peu en considérant le reste des tâches journalières obligatoires (élevage enfants, nourriture, entretien, courses)</t>
  </si>
  <si>
    <t>faible à nul dans le cas de jeunes femmes hébergées par famille</t>
  </si>
  <si>
    <t>idem</t>
  </si>
  <si>
    <t xml:space="preserve">la production alimentaire par habitant ne montre pas une forte tendance à l'augmentation, principalement en raison de la croissance démographique rapide, des défis climatiques, des limitations technologiques et d'infrastructure, ainsi que de la dépendance aux importations alimentaires. </t>
  </si>
  <si>
    <t>15 à 20 % de la demande alimentaire provient des importations, principalement de pays voisins comme le Cameroun. Parfois il s'agit de grains tchadiens transformés et emballés dans le pays à côté.</t>
  </si>
  <si>
    <t>pas de progrès ; subsistance</t>
  </si>
  <si>
    <t>inflation et variations saisonnières</t>
  </si>
  <si>
    <t>parlant de la préparation des bouillies: stable à décroissante (remplacement des sucrs par édulcorant, du tapioca par du manioc, eyc)</t>
  </si>
  <si>
    <t>pauvreté et insécurité alimentaire accrues pour les populations en cas d'inondations (2024) et pour les réfugiés/riverains de la zone Est</t>
  </si>
  <si>
    <t xml:space="preserve">c'est le rôle de l'ONASA. La structure existe mais fonctionnelent très insuffisant. </t>
  </si>
  <si>
    <t>hors sujet de l'étude</t>
  </si>
  <si>
    <t>autour des préparatrices: le crédit (pour leurs achats, parfois leur vente au gobelet), et la qualité le contenu des bouillies sont importants. Importance du savoir faire des détaillants (trempage etc) compte aussi dans la fidélisation de la clientèle.</t>
  </si>
  <si>
    <t>actrices isolées. Pas d'impact Sauf en participant à des tontines</t>
  </si>
  <si>
    <t>Oui si on considère les tontines</t>
  </si>
  <si>
    <t>taux général très faible au Tchad et les préparatices dont toutes partie des 80% de la population au dessous du seuil de pauvreté voire grande pauvreté.</t>
  </si>
  <si>
    <t>tx net de scolarisation primaire (6-11 ans) environ 75%, fortes disparités urbain/rural et garçons filles.</t>
  </si>
  <si>
    <t>Environ 18% de tx brut , bc plus faible en zones rural et pour les filles (FAO Youth 2025) Discrimination de genre confirmée dans nos entretiens avec préparatrices.</t>
  </si>
  <si>
    <t xml:space="preserve">  Reproduction des inégalités, accaparement valeur ajoutée, grande pauvreté des acteurs aval (meunier et préparatrices), impact nutritionnel pour les consommateurs en général (conditions nutri et sanitaires des bouillies)</t>
  </si>
  <si>
    <t>manque de formation et risques de santé</t>
  </si>
  <si>
    <t xml:space="preserve"> Reproduction des inégalités, accaparement valeur ajoutée, pauvreté et manque de développement</t>
  </si>
  <si>
    <t xml:space="preserve">  Reproduction des inégalités, accaparement valeur ajoutée, grande pauvreté des acteurs aval (meunier et préparatrices) signifiant risques de morbidité, faible espérance de vie, conditions de vie très difficiles. Impact nutritionnel pour les consommateurs en général (conditions nutri et sanitaires des bouillies)</t>
  </si>
  <si>
    <t xml:space="preserve">  Reproduction des inégalités, accaparement valeur ajoutée, grande pauvreté des acteurs aval (détaillantes et préparatrices), signifiant risques de morbidité, faible espérance de vie, conditions de vie très difficiles. Impact nutritionnel pour les consommateurs en général (conditions nutri et sanitaires des bouillies aliments de rue.</t>
  </si>
  <si>
    <t xml:space="preserve"> Reproduction des inégalités, accaparement valeur ajoutée, grande pauvreté des acteurs aval (détaillantes et préparatrices), signifiant risques de morbidité, faible espérance de vie, conditions de vie très difficiles. Impact nutritionnel pour les consommateurs en général (conditions nutri et sanitaires des bouillies aliments de rue.</t>
  </si>
  <si>
    <t>Selon  études du coût de la faim par le Ministère du Plan et le PAM (avant restrictions USAID 2025), la malnutrition au Tchad convertie en points de PIB diminue celui-ci de 10% et provoque 30% du redoublement des classes. Mais surtout; retards de croissance, baisse niveau et espérance de vie.</t>
  </si>
  <si>
    <t>transition nutritionnelle néfaste pour de nombreux jeunes travailleurs urbains (clients)</t>
  </si>
  <si>
    <t>Reproduction des inégalités, accaparement valeur ajoutée, pauvreté et manque de développement</t>
  </si>
  <si>
    <t>il suffit de voir les indicateurs: espérance de vie 54 ans en 2023 ; mortalité infantile très élevée: 95 /1000 ; dont 40 à 50 néonatale. Les préparatrices font partie des très pauvres.</t>
  </si>
  <si>
    <t>idem. Reproduction des inégalités par souc de protection du futur. (scolarisation )</t>
  </si>
  <si>
    <t>food-flour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</si>
</sst>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3">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10" fillId="0" borderId="0" xfId="0" applyFont="1" applyAlignment="1" applyProtection="1">
      <alignment horizontal="left" vertical="top" wrapText="1"/>
      <protection locked="0"/>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2" borderId="43"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9" borderId="6" xfId="0" applyFont="1" applyFill="1" applyBorder="1" applyAlignment="1">
      <alignment horizontal="left" vertical="top" wrapText="1"/>
    </xf>
    <xf numFmtId="0" fontId="9" fillId="19" borderId="47"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22" xfId="0" applyFont="1" applyFill="1" applyBorder="1" applyAlignment="1">
      <alignment horizontal="left" vertical="top" wrapText="1"/>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66"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9" fillId="19" borderId="63" xfId="0" applyFont="1" applyFill="1" applyBorder="1" applyAlignment="1">
      <alignment horizontal="lef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10" fillId="0" borderId="36"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10" fillId="0" borderId="71" xfId="0" applyFont="1" applyBorder="1" applyAlignment="1" applyProtection="1">
      <alignment vertical="top" wrapText="1"/>
      <protection locked="0"/>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1" borderId="63" xfId="0" applyFont="1" applyFill="1" applyBorder="1" applyAlignment="1">
      <alignment horizontal="left" vertical="top" wrapText="1"/>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10" fillId="0" borderId="39" xfId="0" applyFont="1" applyBorder="1" applyAlignment="1" applyProtection="1">
      <alignment horizontal="left" vertical="top" wrapText="1"/>
      <protection locked="0"/>
    </xf>
    <xf numFmtId="0" fontId="10" fillId="0" borderId="71"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9" fillId="11" borderId="64" xfId="0" applyFont="1" applyFill="1" applyBorder="1" applyAlignment="1">
      <alignment horizontal="left" vertical="top" wrapText="1"/>
    </xf>
    <xf numFmtId="0" fontId="9" fillId="11" borderId="22" xfId="0" applyFont="1" applyFill="1" applyBorder="1" applyAlignment="1">
      <alignment horizontal="left" vertical="top" wrapText="1"/>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10" fillId="0" borderId="65" xfId="0" applyFont="1" applyBorder="1" applyAlignment="1" applyProtection="1">
      <alignment horizontal="left" vertical="top" wrapText="1"/>
      <protection locked="0"/>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2" fillId="11" borderId="61" xfId="0" applyFont="1" applyFill="1" applyBorder="1" applyAlignment="1">
      <alignment horizontal="center" vertical="center"/>
    </xf>
    <xf numFmtId="0" fontId="2" fillId="11" borderId="21" xfId="0" applyFont="1" applyFill="1" applyBorder="1" applyAlignment="1">
      <alignment horizontal="center" vertical="center"/>
    </xf>
    <xf numFmtId="0" fontId="10" fillId="0" borderId="40"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2" fillId="19" borderId="61"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2" fillId="11" borderId="25" xfId="0" applyFont="1" applyFill="1" applyBorder="1" applyAlignment="1">
      <alignment horizontal="center" vertical="center"/>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9" fillId="12" borderId="6"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10" fillId="0" borderId="72" xfId="0" applyFont="1" applyBorder="1" applyAlignment="1" applyProtection="1">
      <alignment vertical="top" wrapText="1"/>
      <protection locked="0"/>
    </xf>
    <xf numFmtId="0" fontId="9" fillId="7" borderId="47" xfId="0" applyFont="1" applyFill="1" applyBorder="1" applyAlignment="1">
      <alignment vertical="top" wrapText="1"/>
    </xf>
    <xf numFmtId="0" fontId="9" fillId="19" borderId="22" xfId="0" applyFont="1" applyFill="1" applyBorder="1"/>
    <xf numFmtId="0" fontId="2" fillId="19" borderId="25" xfId="0" applyFont="1" applyFill="1" applyBorder="1" applyAlignment="1">
      <alignment horizontal="center" vertical="center"/>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0" fillId="0" borderId="72" xfId="0" applyBorder="1" applyAlignment="1">
      <alignment vertical="top" wrapText="1"/>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100">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1.175</c:v>
                </c:pt>
                <c:pt idx="1">
                  <c:v>2</c:v>
                </c:pt>
                <c:pt idx="2">
                  <c:v>1.5666666666666667</c:v>
                </c:pt>
                <c:pt idx="3">
                  <c:v>1.625</c:v>
                </c:pt>
                <c:pt idx="4">
                  <c:v>2.3333333333333335</c:v>
                </c:pt>
                <c:pt idx="5">
                  <c:v>1.3333333333333333</c:v>
                </c:pt>
              </c:numCache>
            </c:numRef>
          </c:val>
          <c:extLst>
            <c:ext xmlns:c16="http://schemas.microsoft.com/office/drawing/2014/chart" uri="{C3380CC4-5D6E-409C-BE32-E72D297353CC}">
              <c16:uniqueId val="{00000000-6BA9-46DC-AE3A-4EAAEEEF5C79}"/>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6BA9-46DC-AE3A-4EAAEEEF5C79}"/>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fr-FR"/>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fr-FR"/>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tabSelected="1" view="pageBreakPreview" zoomScaleNormal="100" zoomScaleSheetLayoutView="100" workbookViewId="0">
      <pane ySplit="3" topLeftCell="A4" activePane="bottomLeft" state="frozen"/>
      <selection pane="bottomLeft" activeCell="E2" sqref="E2:G2"/>
    </sheetView>
  </sheetViews>
  <sheetFormatPr defaultColWidth="8.90625" defaultRowHeight="12.5" x14ac:dyDescent="0.25"/>
  <cols>
    <col min="1" max="1" width="20" customWidth="1"/>
    <col min="2" max="2" width="13.36328125" customWidth="1"/>
    <col min="3" max="3" width="14.36328125" customWidth="1"/>
    <col min="4" max="4" width="10.453125" customWidth="1"/>
    <col min="5" max="5" width="8.453125" customWidth="1"/>
    <col min="6" max="6" width="13.453125" customWidth="1"/>
    <col min="7" max="7" width="11.36328125" customWidth="1"/>
    <col min="9" max="9" width="10.90625" hidden="1" customWidth="1"/>
  </cols>
  <sheetData>
    <row r="1" spans="1:10" ht="22.5" customHeight="1" thickBot="1" x14ac:dyDescent="0.35">
      <c r="A1" s="453" t="s">
        <v>212</v>
      </c>
      <c r="B1" s="454"/>
      <c r="C1" s="455"/>
      <c r="D1" s="398" t="s">
        <v>27</v>
      </c>
      <c r="E1" s="328"/>
      <c r="F1" s="424" t="s">
        <v>262</v>
      </c>
      <c r="G1" s="425"/>
      <c r="I1" s="218"/>
    </row>
    <row r="2" spans="1:10" ht="16.5" customHeight="1" thickBot="1" x14ac:dyDescent="0.35">
      <c r="A2" s="400"/>
      <c r="B2" s="113"/>
      <c r="C2" s="113"/>
      <c r="D2" s="329" t="s">
        <v>124</v>
      </c>
      <c r="E2" s="426" t="s">
        <v>221</v>
      </c>
      <c r="F2" s="426"/>
      <c r="G2" s="427"/>
    </row>
    <row r="3" spans="1:10" ht="18" customHeight="1" thickBot="1" x14ac:dyDescent="0.35">
      <c r="A3" s="15" t="s">
        <v>25</v>
      </c>
      <c r="B3" s="428">
        <v>45868</v>
      </c>
      <c r="C3" s="429"/>
      <c r="D3" s="16"/>
      <c r="G3" s="14"/>
      <c r="J3" s="285"/>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 hidden="1" thickBot="1" x14ac:dyDescent="0.3">
      <c r="A11" s="13"/>
      <c r="G11" s="14"/>
    </row>
    <row r="12" spans="1:10" ht="13.5" thickBot="1" x14ac:dyDescent="0.35">
      <c r="A12" s="445" t="s">
        <v>83</v>
      </c>
      <c r="B12" s="446"/>
      <c r="C12" s="449" t="s">
        <v>84</v>
      </c>
      <c r="D12" s="450"/>
      <c r="E12" s="430" t="s">
        <v>7</v>
      </c>
      <c r="F12" s="17" t="s">
        <v>85</v>
      </c>
      <c r="G12" s="18" t="str">
        <f>Register!H3</f>
        <v>../../20..</v>
      </c>
    </row>
    <row r="13" spans="1:10" ht="13.5" thickBot="1" x14ac:dyDescent="0.35">
      <c r="A13" s="447"/>
      <c r="B13" s="448"/>
      <c r="C13" s="86" t="s">
        <v>87</v>
      </c>
      <c r="D13" s="87" t="s">
        <v>88</v>
      </c>
      <c r="E13" s="431"/>
      <c r="F13" s="19" t="s">
        <v>87</v>
      </c>
      <c r="G13" s="20" t="s">
        <v>88</v>
      </c>
      <c r="I13" s="219" t="s">
        <v>15</v>
      </c>
    </row>
    <row r="14" spans="1:10" ht="14" x14ac:dyDescent="0.25">
      <c r="A14" s="435" t="str">
        <f>Register!A5</f>
        <v>1. WORKING CONDITIONS</v>
      </c>
      <c r="B14" s="436"/>
      <c r="C14" s="330" t="str">
        <f>Register!C10</f>
        <v>Not at all</v>
      </c>
      <c r="D14" s="314">
        <f>Register!B10</f>
        <v>1.175</v>
      </c>
      <c r="E14" s="315" t="str">
        <f>Register!D10</f>
        <v>↑</v>
      </c>
      <c r="F14" s="21" t="str">
        <f>Register!I10</f>
        <v>Not at all</v>
      </c>
      <c r="G14" s="321">
        <f>Register!H10</f>
        <v>0</v>
      </c>
      <c r="I14" s="220" t="e">
        <f>Register!#REF!</f>
        <v>#REF!</v>
      </c>
    </row>
    <row r="15" spans="1:10" ht="14" x14ac:dyDescent="0.25">
      <c r="A15" s="437" t="str">
        <f>Register!A11</f>
        <v>2. LAND &amp; WATER RIGHTS</v>
      </c>
      <c r="B15" s="438"/>
      <c r="C15" s="331" t="str">
        <f>Register!C15</f>
        <v>Moderate/Low</v>
      </c>
      <c r="D15" s="316">
        <f>Register!B15</f>
        <v>2</v>
      </c>
      <c r="E15" s="317" t="str">
        <f>Register!D15</f>
        <v>↑</v>
      </c>
      <c r="F15" s="22" t="str">
        <f>Register!I15</f>
        <v>Not at all</v>
      </c>
      <c r="G15" s="322">
        <f>Register!H15</f>
        <v>0</v>
      </c>
      <c r="I15" s="221" t="e">
        <f>Register!#REF!</f>
        <v>#REF!</v>
      </c>
    </row>
    <row r="16" spans="1:10" ht="14" x14ac:dyDescent="0.25">
      <c r="A16" s="439" t="str">
        <f>Register!A16</f>
        <v>3. GENDER EQUALITY</v>
      </c>
      <c r="B16" s="440"/>
      <c r="C16" s="331" t="str">
        <f>Register!C22</f>
        <v>Moderate/Low</v>
      </c>
      <c r="D16" s="316">
        <f>Register!B22</f>
        <v>1.5666666666666667</v>
      </c>
      <c r="E16" s="317" t="str">
        <f>Register!D22</f>
        <v>↑</v>
      </c>
      <c r="F16" s="22" t="str">
        <f>Register!I22</f>
        <v>Not at all</v>
      </c>
      <c r="G16" s="322">
        <f>Register!H22</f>
        <v>0</v>
      </c>
      <c r="I16" s="221" t="e">
        <f>Register!#REF!</f>
        <v>#REF!</v>
      </c>
    </row>
    <row r="17" spans="1:9" ht="14" x14ac:dyDescent="0.25">
      <c r="A17" s="441" t="str">
        <f>Register!A23</f>
        <v>4. FOOD AND NUTRITION SECURITY</v>
      </c>
      <c r="B17" s="442"/>
      <c r="C17" s="331" t="str">
        <f>Register!C28</f>
        <v>Moderate/Low</v>
      </c>
      <c r="D17" s="316">
        <f>Register!B28</f>
        <v>1.625</v>
      </c>
      <c r="E17" s="317" t="str">
        <f>Register!D28</f>
        <v>↑</v>
      </c>
      <c r="F17" s="22" t="str">
        <f>Register!I28</f>
        <v>Not at all</v>
      </c>
      <c r="G17" s="322">
        <f>Register!H28</f>
        <v>0</v>
      </c>
      <c r="I17" s="221" t="e">
        <f>Register!#REF!</f>
        <v>#REF!</v>
      </c>
    </row>
    <row r="18" spans="1:9" ht="14" x14ac:dyDescent="0.25">
      <c r="A18" s="451" t="str">
        <f>Register!A29</f>
        <v>5. SOCIAL CAPITAL</v>
      </c>
      <c r="B18" s="452"/>
      <c r="C18" s="331" t="str">
        <f>Register!C33</f>
        <v>Moderate/Low</v>
      </c>
      <c r="D18" s="318">
        <f>Register!B33</f>
        <v>2.3333333333333335</v>
      </c>
      <c r="E18" s="317" t="str">
        <f>Register!D33</f>
        <v>↑</v>
      </c>
      <c r="F18" s="308" t="str">
        <f>Register!I33</f>
        <v>Not at all</v>
      </c>
      <c r="G18" s="322">
        <f>Register!H33</f>
        <v>0</v>
      </c>
      <c r="I18" s="307"/>
    </row>
    <row r="19" spans="1:9" ht="14.5" thickBot="1" x14ac:dyDescent="0.3">
      <c r="A19" s="443" t="str">
        <f>Register!A34</f>
        <v>6. LIVING CONDITIONS</v>
      </c>
      <c r="B19" s="444"/>
      <c r="C19" s="332" t="str">
        <f>Register!C39</f>
        <v>Not at all</v>
      </c>
      <c r="D19" s="319">
        <f>Register!B39</f>
        <v>1.3333333333333333</v>
      </c>
      <c r="E19" s="320" t="str">
        <f>Register!D39</f>
        <v>↑</v>
      </c>
      <c r="F19" s="23" t="str">
        <f>Register!I39</f>
        <v>Not at all</v>
      </c>
      <c r="G19" s="323">
        <f>Register!H39</f>
        <v>0</v>
      </c>
      <c r="I19" s="222" t="e">
        <f>Register!#REF!</f>
        <v>#REF!</v>
      </c>
    </row>
    <row r="20" spans="1:9" s="25" customFormat="1" ht="9" customHeight="1" thickBot="1" x14ac:dyDescent="0.3">
      <c r="A20" s="24"/>
      <c r="E20"/>
      <c r="F20"/>
      <c r="G20" s="14"/>
      <c r="I20" s="223" t="e">
        <f>AVERAGE(I14:I19)</f>
        <v>#REF!</v>
      </c>
    </row>
    <row r="21" spans="1:9" ht="13.5" thickBot="1" x14ac:dyDescent="0.35">
      <c r="A21" s="432" t="s">
        <v>8</v>
      </c>
      <c r="B21" s="433"/>
      <c r="C21" s="433"/>
      <c r="D21" s="433"/>
      <c r="E21" s="433"/>
      <c r="F21" s="433"/>
      <c r="G21" s="434"/>
    </row>
    <row r="22" spans="1:9" ht="107.25" customHeight="1" thickBot="1" x14ac:dyDescent="0.3">
      <c r="A22" s="411"/>
      <c r="B22" s="412"/>
      <c r="C22" s="412"/>
      <c r="D22" s="412"/>
      <c r="E22" s="412"/>
      <c r="F22" s="412"/>
      <c r="G22" s="413"/>
    </row>
    <row r="23" spans="1:9" ht="7.5" customHeight="1" thickBot="1" x14ac:dyDescent="0.3">
      <c r="A23" s="13"/>
      <c r="G23" s="14"/>
    </row>
    <row r="24" spans="1:9" ht="13.5" thickBot="1" x14ac:dyDescent="0.35">
      <c r="A24" s="414" t="s">
        <v>89</v>
      </c>
      <c r="B24" s="415"/>
      <c r="C24" s="415"/>
      <c r="D24" s="422"/>
      <c r="E24" s="422"/>
      <c r="F24" s="422"/>
      <c r="G24" s="423"/>
    </row>
    <row r="25" spans="1:9" ht="105.75" customHeight="1" thickBot="1" x14ac:dyDescent="0.3">
      <c r="A25" s="411"/>
      <c r="B25" s="417"/>
      <c r="C25" s="417"/>
      <c r="D25" s="417"/>
      <c r="E25" s="417"/>
      <c r="F25" s="417"/>
      <c r="G25" s="418"/>
    </row>
    <row r="26" spans="1:9" ht="13.5" thickBot="1" x14ac:dyDescent="0.35">
      <c r="A26" s="414" t="s">
        <v>90</v>
      </c>
      <c r="B26" s="415"/>
      <c r="C26" s="415"/>
      <c r="D26" s="415"/>
      <c r="E26" s="415"/>
      <c r="F26" s="415"/>
      <c r="G26" s="416"/>
    </row>
    <row r="27" spans="1:9" ht="83.25" customHeight="1" thickBot="1" x14ac:dyDescent="0.3">
      <c r="A27" s="419"/>
      <c r="B27" s="420"/>
      <c r="C27" s="420"/>
      <c r="D27" s="420"/>
      <c r="E27" s="420"/>
      <c r="F27" s="420"/>
      <c r="G27" s="421"/>
    </row>
    <row r="28" spans="1:9" ht="13.5" thickBot="1" x14ac:dyDescent="0.35">
      <c r="A28" s="414" t="s">
        <v>17</v>
      </c>
      <c r="B28" s="415"/>
      <c r="C28" s="415"/>
      <c r="D28" s="415"/>
      <c r="E28" s="415"/>
      <c r="F28" s="415"/>
      <c r="G28" s="416"/>
    </row>
    <row r="29" spans="1:9" ht="83.25" customHeight="1" thickBot="1" x14ac:dyDescent="0.3">
      <c r="A29" s="411"/>
      <c r="B29" s="412"/>
      <c r="C29" s="412"/>
      <c r="D29" s="412"/>
      <c r="E29" s="412"/>
      <c r="F29" s="412"/>
      <c r="G29" s="413"/>
    </row>
  </sheetData>
  <sheetProtection password="CC15" sheet="1" objects="1" scenarios="1" formatRows="0"/>
  <mergeCells count="21">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 ref="A29:G29"/>
    <mergeCell ref="A28:G28"/>
    <mergeCell ref="A22:G22"/>
    <mergeCell ref="A25:G25"/>
    <mergeCell ref="A26:G26"/>
    <mergeCell ref="A27:G27"/>
    <mergeCell ref="A24:G24"/>
  </mergeCells>
  <phoneticPr fontId="1" type="noConversion"/>
  <conditionalFormatting sqref="A8:G9">
    <cfRule type="cellIs" dxfId="95" priority="1" operator="equal">
      <formula>"High"</formula>
    </cfRule>
    <cfRule type="cellIs" dxfId="94" priority="2" operator="equal">
      <formula>"Substantial"</formula>
    </cfRule>
    <cfRule type="cellIs" dxfId="93" priority="3" operator="equal">
      <formula>"Moderate"</formula>
    </cfRule>
    <cfRule type="cellIs" dxfId="92"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26" activePane="bottomLeft" state="frozen"/>
      <selection pane="bottomLeft" sqref="A1:B1"/>
    </sheetView>
  </sheetViews>
  <sheetFormatPr defaultColWidth="8.90625" defaultRowHeight="12.5" x14ac:dyDescent="0.25"/>
  <cols>
    <col min="1" max="1" width="36.6328125" customWidth="1"/>
    <col min="2" max="2" width="10.36328125" style="275" customWidth="1"/>
    <col min="3" max="3" width="15.08984375" style="25" customWidth="1"/>
    <col min="4" max="4" width="6.36328125" style="25" customWidth="1"/>
    <col min="5" max="5" width="66.453125" customWidth="1"/>
    <col min="6" max="7" width="39.36328125" customWidth="1"/>
    <col min="8" max="8" width="6" style="275" customWidth="1"/>
    <col min="9" max="9" width="14.08984375" style="25" customWidth="1"/>
    <col min="10" max="10" width="8.90625" hidden="1" customWidth="1"/>
    <col min="11" max="11" width="9.08984375" hidden="1" customWidth="1"/>
    <col min="12" max="12" width="14.90625" hidden="1" customWidth="1"/>
    <col min="13" max="13" width="9.08984375" hidden="1" customWidth="1"/>
    <col min="14" max="14" width="9.08984375" customWidth="1"/>
  </cols>
  <sheetData>
    <row r="1" spans="1:15" s="105" customFormat="1" ht="27.75" customHeight="1" thickBot="1" x14ac:dyDescent="0.4">
      <c r="A1" s="460" t="str">
        <f>Profile!F1</f>
        <v>food-flour</v>
      </c>
      <c r="B1" s="461"/>
      <c r="C1" s="367" t="s">
        <v>22</v>
      </c>
      <c r="D1" s="456" t="str">
        <f>Profile!E2</f>
        <v>Chad</v>
      </c>
      <c r="E1" s="457"/>
      <c r="F1" s="365" t="s">
        <v>26</v>
      </c>
      <c r="G1" s="366">
        <f>Profile!B3</f>
        <v>45868</v>
      </c>
      <c r="H1" s="458" t="s">
        <v>80</v>
      </c>
      <c r="I1" s="459"/>
      <c r="M1" s="106"/>
    </row>
    <row r="2" spans="1:15" s="105" customFormat="1" ht="10.5" customHeight="1" x14ac:dyDescent="0.25">
      <c r="A2" s="464" t="s">
        <v>9</v>
      </c>
      <c r="B2" s="476" t="s">
        <v>88</v>
      </c>
      <c r="C2" s="479" t="s">
        <v>87</v>
      </c>
      <c r="D2" s="467" t="s">
        <v>7</v>
      </c>
      <c r="E2" s="473" t="s">
        <v>10</v>
      </c>
      <c r="F2" s="467" t="s">
        <v>18</v>
      </c>
      <c r="G2" s="470" t="s">
        <v>86</v>
      </c>
      <c r="H2" s="458" t="s">
        <v>82</v>
      </c>
      <c r="I2" s="459"/>
      <c r="M2" s="106"/>
    </row>
    <row r="3" spans="1:15" s="106" customFormat="1" ht="13.5" customHeight="1" thickBot="1" x14ac:dyDescent="0.3">
      <c r="A3" s="465"/>
      <c r="B3" s="477"/>
      <c r="C3" s="480"/>
      <c r="D3" s="468"/>
      <c r="E3" s="474"/>
      <c r="F3" s="468"/>
      <c r="G3" s="471"/>
      <c r="H3" s="462" t="s">
        <v>81</v>
      </c>
      <c r="I3" s="463"/>
      <c r="L3" s="107" t="str">
        <f>Questionnaire!$N$3</f>
        <v>High</v>
      </c>
      <c r="M3" s="106" t="s">
        <v>20</v>
      </c>
    </row>
    <row r="4" spans="1:15" s="108" customFormat="1" ht="13.5" thickBot="1" x14ac:dyDescent="0.3">
      <c r="A4" s="466"/>
      <c r="B4" s="478"/>
      <c r="C4" s="481"/>
      <c r="D4" s="469"/>
      <c r="E4" s="475"/>
      <c r="F4" s="469"/>
      <c r="G4" s="472"/>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9"/>
      <c r="L5" s="107" t="str">
        <f>Questionnaire!$N$5</f>
        <v>Moderate/Low</v>
      </c>
      <c r="M5" s="106" t="s">
        <v>21</v>
      </c>
    </row>
    <row r="6" spans="1:15" s="109" customFormat="1" ht="70" x14ac:dyDescent="0.25">
      <c r="A6" s="56" t="str">
        <f>Questionnaire!$A$4</f>
        <v>1.1 Respect of labour rights</v>
      </c>
      <c r="B6" s="333">
        <f>Questionnaire!J10</f>
        <v>1.2</v>
      </c>
      <c r="C6" s="334" t="str">
        <f>IF(B6&lt;1.5,$L$6,IF(B6&lt;2.5,$L$5,IF(B6&lt;3.5,$L$4,IF(B6&lt;4.5,$L$3,"n/a"))))</f>
        <v>Not at all</v>
      </c>
      <c r="D6" s="335" t="str">
        <f>IF(H6&lt;B6,"↑",IF(H6&gt;B6,"↓","↔"))</f>
        <v>↑</v>
      </c>
      <c r="E6" s="2" t="s">
        <v>254</v>
      </c>
      <c r="F6" s="1"/>
      <c r="G6" s="1"/>
      <c r="H6" s="236">
        <v>0</v>
      </c>
      <c r="I6" s="278" t="str">
        <f>IF(H6&lt;1.5,$L$6,IF(H6&lt;2.5,$L$5,IF(H6&lt;3.5,$L$4,IF(H6&lt;4.5,$L$3,"n/a"))))</f>
        <v>Not at all</v>
      </c>
      <c r="K6" s="109" t="s">
        <v>11</v>
      </c>
      <c r="L6" s="107" t="str">
        <f>Questionnaire!$N$6</f>
        <v>Not at all</v>
      </c>
      <c r="M6" s="109" t="s">
        <v>4</v>
      </c>
    </row>
    <row r="7" spans="1:15" s="109" customFormat="1" ht="14" x14ac:dyDescent="0.25">
      <c r="A7" s="57" t="str">
        <f>Questionnaire!$A$11</f>
        <v>1.2 Child Labour</v>
      </c>
      <c r="B7" s="336">
        <f>Questionnaire!J14</f>
        <v>1.5</v>
      </c>
      <c r="C7" s="337" t="str">
        <f>IF(B7&lt;1.5,$L$6,IF(B7&lt;2.5,$L$5,IF(B7&lt;3.5,$L$4,IF(B7&lt;4.5,$L$3,"n/a"))))</f>
        <v>Moderate/Low</v>
      </c>
      <c r="D7" s="338" t="str">
        <f>IF(H7&lt;B7,"↑",IF(H7&gt;B7,"↓","↔"))</f>
        <v>↑</v>
      </c>
      <c r="E7" s="3" t="s">
        <v>252</v>
      </c>
      <c r="F7" s="3"/>
      <c r="G7" s="3"/>
      <c r="H7" s="237">
        <v>0</v>
      </c>
      <c r="I7" s="278" t="str">
        <f>IF(H7&lt;1.5,$L$6,IF(H7&lt;2.5,$L$5,IF(H7&lt;3.5,$L$4,IF(H7&lt;4.5,$L$3,"n/a"))))</f>
        <v>Not at all</v>
      </c>
      <c r="K7" s="109" t="s">
        <v>12</v>
      </c>
      <c r="L7" s="107" t="str">
        <f>Questionnaire!$N$7</f>
        <v>n/a</v>
      </c>
    </row>
    <row r="8" spans="1:15" s="109" customFormat="1" ht="56" x14ac:dyDescent="0.25">
      <c r="A8" s="57" t="str">
        <f>Questionnaire!$A$15</f>
        <v>1.3 Job safety</v>
      </c>
      <c r="B8" s="336">
        <f>Questionnaire!J17</f>
        <v>1</v>
      </c>
      <c r="C8" s="339" t="str">
        <f>IF(B8&lt;1.5,$L$6,IF(B8&lt;2.5,$L$5,IF(B8&lt;3.5,$L$4,IF(B8&lt;4.5,$L$3,"n/a"))))</f>
        <v>Not at all</v>
      </c>
      <c r="D8" s="338" t="str">
        <f>IF(H8&lt;B8,"↑",IF(H8&gt;B8,"↓","↔"))</f>
        <v>↑</v>
      </c>
      <c r="E8" s="3" t="s">
        <v>251</v>
      </c>
      <c r="F8" s="3"/>
      <c r="G8" s="3"/>
      <c r="H8" s="237">
        <v>0</v>
      </c>
      <c r="I8" s="278" t="str">
        <f>IF(H8&lt;1.5,$L$6,IF(H8&lt;2.5,$L$5,IF(H8&lt;3.5,$L$4,IF(H8&lt;4.5,$L$3,"n/a"))))</f>
        <v>Not at all</v>
      </c>
      <c r="K8" s="109" t="s">
        <v>13</v>
      </c>
      <c r="L8" s="107"/>
    </row>
    <row r="9" spans="1:15" s="109" customFormat="1" ht="14.5" thickBot="1" x14ac:dyDescent="0.3">
      <c r="A9" s="58" t="str">
        <f>Questionnaire!$A$18</f>
        <v>1.4 Attractiveness</v>
      </c>
      <c r="B9" s="340">
        <f>Questionnaire!J21</f>
        <v>1</v>
      </c>
      <c r="C9" s="337" t="str">
        <f>IF(B9&lt;1.5,$L$6,IF(B9&lt;2.5,$L$5,IF(B9&lt;3.5,$L$4,IF(B9&lt;4.5,$L$3,"n/a"))))</f>
        <v>Not at all</v>
      </c>
      <c r="D9" s="341" t="str">
        <f>IF(H9&lt;B9,"↑",IF(H9&gt;B9,"↓","↔"))</f>
        <v>↑</v>
      </c>
      <c r="E9" s="4"/>
      <c r="F9" s="4"/>
      <c r="G9" s="4"/>
      <c r="H9" s="238">
        <v>0</v>
      </c>
      <c r="I9" s="249" t="str">
        <f>IF(H9&lt;1.5,$L$6,IF(H9&lt;2.5,$L$5,IF(H9&lt;3.5,$L$4,IF(H9&lt;4.5,$L$3,"n/a"))))</f>
        <v>Not at all</v>
      </c>
      <c r="L9" s="107"/>
    </row>
    <row r="10" spans="1:15" s="109" customFormat="1" ht="18" customHeight="1" thickTop="1" thickBot="1" x14ac:dyDescent="0.35">
      <c r="A10" s="59" t="s">
        <v>14</v>
      </c>
      <c r="B10" s="342">
        <f>IF(COUNT(B6:B9)=0,"n/a",(AVERAGE(B6:B9)))</f>
        <v>1.175</v>
      </c>
      <c r="C10" s="399" t="str">
        <f>IF(B10&lt;1.5,$L$6,IF(B10&lt;2.5,$L$5,IF(B10&lt;3.5,$L$4,IF(B10&lt;4.5,$L$3,"n/a"))))</f>
        <v>Not at all</v>
      </c>
      <c r="D10" s="343" t="str">
        <f>IF(H10&lt;B10,"↑",IF(H10&gt;B10,"↓","↔"))</f>
        <v>↑</v>
      </c>
      <c r="E10" s="11"/>
      <c r="F10" s="110"/>
      <c r="G10" s="110"/>
      <c r="H10" s="12">
        <f>AVERAGE(H6:H9)</f>
        <v>0</v>
      </c>
      <c r="I10" s="277" t="str">
        <f>IF(H10&lt;1.5,$L$6,IF(H10&lt;2.5,$L$5,IF(H10&lt;3.5,$L$4,IF(H10&lt;4.5,$L$3,"n/a"))))</f>
        <v>Not at all</v>
      </c>
      <c r="O10" s="285"/>
    </row>
    <row r="11" spans="1:15" s="109" customFormat="1" ht="15" customHeight="1" thickBot="1" x14ac:dyDescent="0.3">
      <c r="A11" s="60" t="str">
        <f>Questionnaire!$A$22</f>
        <v>2. LAND &amp; WATER RIGHTS</v>
      </c>
      <c r="B11" s="344"/>
      <c r="C11" s="344"/>
      <c r="D11" s="345"/>
      <c r="E11" s="61"/>
      <c r="F11" s="61"/>
      <c r="G11" s="61"/>
      <c r="H11" s="61"/>
      <c r="I11" s="280"/>
    </row>
    <row r="12" spans="1:15" s="109" customFormat="1" ht="18" customHeight="1" x14ac:dyDescent="0.25">
      <c r="A12" s="62" t="str">
        <f>Questionnaire!$A$23</f>
        <v xml:space="preserve">2.1 Adherence to VGGT </v>
      </c>
      <c r="B12" s="346">
        <f>Questionnaire!J26</f>
        <v>3</v>
      </c>
      <c r="C12" s="347" t="str">
        <f>IF(B12&lt;1.5,$L$6,IF(B12&lt;2.5,$L$5,IF(B12&lt;3.5,$L$4,IF(B12&lt;4.5,$L$3,"n/a"))))</f>
        <v>Substantial</v>
      </c>
      <c r="D12" s="338" t="str">
        <f>IF(H12&lt;B12,"↑",IF(H12&gt;B12,"↓","↔"))</f>
        <v>↑</v>
      </c>
      <c r="E12" s="5"/>
      <c r="F12" s="1"/>
      <c r="G12" s="1"/>
      <c r="H12" s="236">
        <v>0</v>
      </c>
      <c r="I12" s="278" t="str">
        <f>IF(H12&lt;1.5,$L$6,IF(H12&lt;2.5,$L$5,IF(H12&lt;3.5,$L$4,IF(H12&lt;4.5,$L$3,"n/a"))))</f>
        <v>Not at all</v>
      </c>
    </row>
    <row r="13" spans="1:15" s="109" customFormat="1" ht="16.5" customHeight="1" x14ac:dyDescent="0.25">
      <c r="A13" s="63" t="str">
        <f>Questionnaire!$A$27</f>
        <v>2.2 Transparency, participation and consultation</v>
      </c>
      <c r="B13" s="348">
        <f>Questionnaire!J32</f>
        <v>1</v>
      </c>
      <c r="C13" s="339" t="str">
        <f>IF(B13&lt;1.5,$L$6,IF(B13&lt;2.5,$L$5,IF(B13&lt;3.5,$L$4,IF(B13&lt;4.5,$L$3,"n/a"))))</f>
        <v>Not at all</v>
      </c>
      <c r="D13" s="338" t="str">
        <f>IF(H13&lt;B13,"↑",IF(H13&gt;B13,"↓","↔"))</f>
        <v>↑</v>
      </c>
      <c r="E13" s="6" t="s">
        <v>253</v>
      </c>
      <c r="F13" s="3"/>
      <c r="G13" s="3"/>
      <c r="H13" s="237">
        <v>0</v>
      </c>
      <c r="I13" s="278" t="str">
        <f>IF(H13&lt;1.5,$L$6,IF(H13&lt;2.5,$L$5,IF(H13&lt;3.5,$L$4,IF(H13&lt;4.5,$L$3,"n/a"))))</f>
        <v>Not at all</v>
      </c>
    </row>
    <row r="14" spans="1:15" s="109" customFormat="1" ht="18.75" customHeight="1" thickBot="1" x14ac:dyDescent="0.3">
      <c r="A14" s="64" t="str">
        <f>Questionnaire!$A$33</f>
        <v>2.3  Equity,compensation and justice</v>
      </c>
      <c r="B14" s="349" t="str">
        <f>Questionnaire!J38</f>
        <v>n/a</v>
      </c>
      <c r="C14" s="337" t="str">
        <f>IF(B14&lt;1.5,$L$6,IF(B14&lt;2.5,$L$5,IF(B14&lt;3.5,$L$4,IF(B14&lt;4.5,$L$3,"n/a"))))</f>
        <v>n/a</v>
      </c>
      <c r="D14" s="341" t="str">
        <f>IF(H14&lt;B14,"↑",IF(H14&gt;B14,"↓","↔"))</f>
        <v>↑</v>
      </c>
      <c r="E14" s="7"/>
      <c r="F14" s="4"/>
      <c r="G14" s="4"/>
      <c r="H14" s="238">
        <v>0</v>
      </c>
      <c r="I14" s="249" t="str">
        <f>IF(H14&lt;1.5,$L$6,IF(H14&lt;2.5,$L$5,IF(H14&lt;3.5,$L$4,IF(H14&lt;4.5,$L$3,"n/a"))))</f>
        <v>Not at all</v>
      </c>
    </row>
    <row r="15" spans="1:15" s="106" customFormat="1" ht="13.5" thickTop="1" thickBot="1" x14ac:dyDescent="0.3">
      <c r="A15" s="65" t="s">
        <v>14</v>
      </c>
      <c r="B15" s="350">
        <f>IF(COUNT(B12:B14)=0,"n/a",(AVERAGE(B12:B14)))</f>
        <v>2</v>
      </c>
      <c r="C15" s="351" t="str">
        <f>IF(B15&lt;1.5,$L$6,IF(B15&lt;2.5,$L$5,IF(B15&lt;3.5,$L$4,IF(B15&lt;4.5,$L$3,"n/a"))))</f>
        <v>Moderate/Low</v>
      </c>
      <c r="D15" s="343" t="str">
        <f>IF(H15&lt;B15,"↑",IF(H15&gt;B15,"↓","↔"))</f>
        <v>↑</v>
      </c>
      <c r="E15" s="110"/>
      <c r="F15" s="110"/>
      <c r="G15" s="110"/>
      <c r="H15" s="10">
        <f>AVERAGE(H12:H14)</f>
        <v>0</v>
      </c>
      <c r="I15" s="277" t="str">
        <f>IF(H15&lt;1.5,$L$6,IF(H15&lt;2.5,$L$5,IF(H15&lt;3.5,$L$4,IF(H15&lt;4.5,$L$3,"n/a"))))</f>
        <v>Not at all</v>
      </c>
    </row>
    <row r="16" spans="1:15" s="109" customFormat="1" ht="15" customHeight="1" thickBot="1" x14ac:dyDescent="0.3">
      <c r="A16" s="66" t="str">
        <f>Questionnaire!$A$39</f>
        <v>3. GENDER EQUALITY</v>
      </c>
      <c r="B16" s="344"/>
      <c r="C16" s="344"/>
      <c r="D16" s="344"/>
      <c r="E16" s="67"/>
      <c r="F16" s="67"/>
      <c r="G16" s="67"/>
      <c r="H16" s="67"/>
      <c r="I16" s="281"/>
    </row>
    <row r="17" spans="1:9" s="109" customFormat="1" ht="14" x14ac:dyDescent="0.25">
      <c r="A17" s="68" t="str">
        <f>Questionnaire!$A$40</f>
        <v>3.1 Economic activities</v>
      </c>
      <c r="B17" s="346">
        <f>Questionnaire!J43</f>
        <v>2.5</v>
      </c>
      <c r="C17" s="347" t="str">
        <f t="shared" ref="C17:C22" si="0">IF(B17&lt;1.5,$L$6,IF(B17&lt;2.5,$L$5,IF(B17&lt;3.5,$L$4,IF(B17&lt;4.5,$L$3,"n/a"))))</f>
        <v>Substantial</v>
      </c>
      <c r="D17" s="338" t="str">
        <f>IF(H17&lt;B17,"↑",IF(H17&gt;B17,"↓","↔"))</f>
        <v>↑</v>
      </c>
      <c r="E17" s="5"/>
      <c r="F17" s="1"/>
      <c r="G17" s="1"/>
      <c r="H17" s="236">
        <v>0</v>
      </c>
      <c r="I17" s="278" t="str">
        <f t="shared" ref="I17:I22" si="1">IF(H17&lt;1.5,$L$6,IF(H17&lt;2.5,$L$5,IF(H17&lt;3.5,$L$4,IF(H17&lt;4.5,$L$3,"n/a"))))</f>
        <v>Not at all</v>
      </c>
    </row>
    <row r="18" spans="1:9" s="109" customFormat="1" ht="70" x14ac:dyDescent="0.25">
      <c r="A18" s="68" t="str">
        <f>Questionnaire!$A$44</f>
        <v>3.2 Access to resources and services</v>
      </c>
      <c r="B18" s="348">
        <f>Questionnaire!J49</f>
        <v>1</v>
      </c>
      <c r="C18" s="352" t="str">
        <f t="shared" si="0"/>
        <v>Not at all</v>
      </c>
      <c r="D18" s="338" t="str">
        <f t="shared" ref="D18:D20" si="2">IF(H18&lt;B18,"↑",IF(H18&gt;B18,"↓","↔"))</f>
        <v>↑</v>
      </c>
      <c r="E18" s="6" t="s">
        <v>255</v>
      </c>
      <c r="F18" s="3"/>
      <c r="G18" s="3"/>
      <c r="H18" s="237">
        <v>0</v>
      </c>
      <c r="I18" s="278" t="str">
        <f t="shared" si="1"/>
        <v>Not at all</v>
      </c>
    </row>
    <row r="19" spans="1:9" s="109" customFormat="1" ht="70" x14ac:dyDescent="0.25">
      <c r="A19" s="68" t="str">
        <f>Questionnaire!$A$50</f>
        <v>3.3 Decision making</v>
      </c>
      <c r="B19" s="348">
        <f>Questionnaire!J56</f>
        <v>2</v>
      </c>
      <c r="C19" s="339" t="str">
        <f t="shared" si="0"/>
        <v>Moderate/Low</v>
      </c>
      <c r="D19" s="353" t="str">
        <f t="shared" si="2"/>
        <v>↑</v>
      </c>
      <c r="E19" s="241" t="s">
        <v>256</v>
      </c>
      <c r="F19" s="3"/>
      <c r="G19" s="242"/>
      <c r="H19" s="240">
        <v>0</v>
      </c>
      <c r="I19" s="278" t="str">
        <f t="shared" si="1"/>
        <v>Not at all</v>
      </c>
    </row>
    <row r="20" spans="1:9" s="109" customFormat="1" ht="14" x14ac:dyDescent="0.25">
      <c r="A20" s="68" t="str">
        <f>Questionnaire!$A$57</f>
        <v>3.4 Leadership and empowerment</v>
      </c>
      <c r="B20" s="348">
        <f>Questionnaire!J62</f>
        <v>1.3333333333333333</v>
      </c>
      <c r="C20" s="337" t="str">
        <f t="shared" si="0"/>
        <v>Not at all</v>
      </c>
      <c r="D20" s="338" t="str">
        <f t="shared" si="2"/>
        <v>↑</v>
      </c>
      <c r="E20" s="82" t="s">
        <v>236</v>
      </c>
      <c r="F20" s="83"/>
      <c r="G20" s="83"/>
      <c r="H20" s="237">
        <v>0</v>
      </c>
      <c r="I20" s="278" t="str">
        <f t="shared" si="1"/>
        <v>Not at all</v>
      </c>
    </row>
    <row r="21" spans="1:9" s="109" customFormat="1" ht="14.5" thickBot="1" x14ac:dyDescent="0.3">
      <c r="A21" s="69" t="str">
        <f>Questionnaire!$A$63</f>
        <v>3.5 Hardship and division of labour</v>
      </c>
      <c r="B21" s="349">
        <f>Questionnaire!J66</f>
        <v>1</v>
      </c>
      <c r="C21" s="354" t="str">
        <f t="shared" si="0"/>
        <v>Not at all</v>
      </c>
      <c r="D21" s="341" t="str">
        <f>IF(H21&lt;B21,"↑",IF(H21&gt;B21,"↓","↔"))</f>
        <v>↑</v>
      </c>
      <c r="E21" s="7" t="s">
        <v>236</v>
      </c>
      <c r="F21" s="4"/>
      <c r="G21" s="4"/>
      <c r="H21" s="238">
        <v>0</v>
      </c>
      <c r="I21" s="249" t="str">
        <f t="shared" si="1"/>
        <v>Not at all</v>
      </c>
    </row>
    <row r="22" spans="1:9" s="106" customFormat="1" ht="13.5" thickTop="1" thickBot="1" x14ac:dyDescent="0.3">
      <c r="A22" s="81" t="s">
        <v>14</v>
      </c>
      <c r="B22" s="350">
        <f>IF(COUNT(B17:B21)=0,"n/a",(AVERAGE(B17:B21)))</f>
        <v>1.5666666666666667</v>
      </c>
      <c r="C22" s="355" t="str">
        <f t="shared" si="0"/>
        <v>Moderate/Low</v>
      </c>
      <c r="D22" s="343" t="str">
        <f>IF(H22&lt;B22,"↑",IF(H22&gt;B22,"↓","↔"))</f>
        <v>↑</v>
      </c>
      <c r="E22" s="110"/>
      <c r="F22" s="110"/>
      <c r="G22" s="110"/>
      <c r="H22" s="10">
        <f>AVERAGE(H17:H21)</f>
        <v>0</v>
      </c>
      <c r="I22" s="277" t="str">
        <f t="shared" si="1"/>
        <v>Not at all</v>
      </c>
    </row>
    <row r="23" spans="1:9" s="109" customFormat="1" ht="15" customHeight="1" thickBot="1" x14ac:dyDescent="0.3">
      <c r="A23" s="52" t="str">
        <f>Questionnaire!$A$67</f>
        <v>4. FOOD AND NUTRITION SECURITY</v>
      </c>
      <c r="B23" s="344"/>
      <c r="C23" s="344"/>
      <c r="D23" s="344"/>
      <c r="E23" s="70"/>
      <c r="F23" s="70"/>
      <c r="G23" s="70"/>
      <c r="H23" s="70"/>
      <c r="I23" s="282"/>
    </row>
    <row r="24" spans="1:9" s="109" customFormat="1" ht="18.75" customHeight="1" x14ac:dyDescent="0.25">
      <c r="A24" s="71" t="str">
        <f>Questionnaire!$A$68</f>
        <v xml:space="preserve">4.1 Availability of food </v>
      </c>
      <c r="B24" s="346">
        <f>Questionnaire!J71</f>
        <v>2</v>
      </c>
      <c r="C24" s="347" t="str">
        <f>IF(B24&lt;1.5,$L$6,IF(B24&lt;2.5,$L$5,IF(B24&lt;3.5,$L$4,IF(B24&lt;4.5,$L$3,"n/a"))))</f>
        <v>Moderate/Low</v>
      </c>
      <c r="D24" s="335" t="str">
        <f>IF(H24&lt;B24,"↑",IF(H24&gt;B24,"↓","↔"))</f>
        <v>↑</v>
      </c>
      <c r="E24" s="5" t="s">
        <v>257</v>
      </c>
      <c r="F24" s="1"/>
      <c r="G24" s="1"/>
      <c r="H24" s="236">
        <v>0</v>
      </c>
      <c r="I24" s="278" t="str">
        <f>IF(H24&lt;1.5,$L$6,IF(H24&lt;2.5,$L$5,IF(H24&lt;3.5,$L$4,IF(H24&lt;4.5,$L$3,"n/a"))))</f>
        <v>Not at all</v>
      </c>
    </row>
    <row r="25" spans="1:9" s="109" customFormat="1" ht="16.5" customHeight="1" x14ac:dyDescent="0.25">
      <c r="A25" s="72" t="str">
        <f>Questionnaire!$A$72</f>
        <v xml:space="preserve">4.2 Accessibility of food </v>
      </c>
      <c r="B25" s="348">
        <f>Questionnaire!J75</f>
        <v>2</v>
      </c>
      <c r="C25" s="339" t="str">
        <f>IF(B25&lt;1.5,$L$6,IF(B25&lt;2.5,$L$5,IF(B25&lt;3.5,$L$4,IF(B25&lt;4.5,$L$3,"n/a"))))</f>
        <v>Moderate/Low</v>
      </c>
      <c r="D25" s="338" t="str">
        <f>IF(H25&lt;B25,"↑",IF(H25&gt;B25,"↓","↔"))</f>
        <v>↑</v>
      </c>
      <c r="E25" s="6" t="s">
        <v>236</v>
      </c>
      <c r="F25" s="3"/>
      <c r="G25" s="3"/>
      <c r="H25" s="237">
        <v>0</v>
      </c>
      <c r="I25" s="278" t="str">
        <f>IF(H25&lt;1.5,$L$6,IF(H25&lt;2.5,$L$5,IF(H25&lt;3.5,$L$4,IF(H25&lt;4.5,$L$3,"n/a"))))</f>
        <v>Not at all</v>
      </c>
    </row>
    <row r="26" spans="1:9" s="109" customFormat="1" ht="28" x14ac:dyDescent="0.25">
      <c r="A26" s="73" t="str">
        <f>Questionnaire!$A$76</f>
        <v xml:space="preserve">4.3 Utilisation and nutritional adequacy </v>
      </c>
      <c r="B26" s="348">
        <f>Questionnaire!J80</f>
        <v>1</v>
      </c>
      <c r="C26" s="339" t="str">
        <f>IF(B26&lt;1.5,$L$6,IF(B26&lt;2.5,$L$5,IF(B26&lt;3.5,$L$4,IF(B26&lt;4.5,$L$3,"n/a"))))</f>
        <v>Not at all</v>
      </c>
      <c r="D26" s="338" t="str">
        <f>IF(H26&lt;B26,"↑",IF(H26&gt;B26,"↓","↔"))</f>
        <v>↑</v>
      </c>
      <c r="E26" s="6" t="s">
        <v>258</v>
      </c>
      <c r="F26" s="3"/>
      <c r="G26" s="3"/>
      <c r="H26" s="237">
        <v>0</v>
      </c>
      <c r="I26" s="278" t="str">
        <f>IF(H26&lt;1.5,$L$6,IF(H26&lt;2.5,$L$5,IF(H26&lt;3.5,$L$4,IF(H26&lt;4.5,$L$3,"n/a"))))</f>
        <v>Not at all</v>
      </c>
    </row>
    <row r="27" spans="1:9" s="109" customFormat="1" ht="14.5" thickBot="1" x14ac:dyDescent="0.3">
      <c r="A27" s="74" t="str">
        <f>Questionnaire!$A$81</f>
        <v xml:space="preserve">4.4 Stability </v>
      </c>
      <c r="B27" s="349">
        <f>Questionnaire!J84</f>
        <v>1.5</v>
      </c>
      <c r="C27" s="337" t="str">
        <f>IF(B27&lt;1.5,$L$6,IF(B27&lt;2.5,$L$5,IF(B27&lt;3.5,$L$4,IF(B27&lt;4.5,$L$3,"n/a"))))</f>
        <v>Moderate/Low</v>
      </c>
      <c r="D27" s="341" t="str">
        <f>IF(H27&lt;B27,"↑",IF(H27&gt;B27,"↓","↔"))</f>
        <v>↑</v>
      </c>
      <c r="E27" s="7" t="s">
        <v>236</v>
      </c>
      <c r="F27" s="4"/>
      <c r="G27" s="4"/>
      <c r="H27" s="238">
        <v>0</v>
      </c>
      <c r="I27" s="249" t="str">
        <f>IF(H27&lt;1.5,$L$6,IF(H27&lt;2.5,$L$5,IF(H27&lt;3.5,$L$4,IF(H27&lt;4.5,$L$3,"n/a"))))</f>
        <v>Not at all</v>
      </c>
    </row>
    <row r="28" spans="1:9" s="106" customFormat="1" ht="13.5" thickTop="1" thickBot="1" x14ac:dyDescent="0.3">
      <c r="A28" s="75" t="s">
        <v>14</v>
      </c>
      <c r="B28" s="350">
        <f>IF(COUNT(B24:B27)=0,"n/a",(AVERAGE(B24:B27)))</f>
        <v>1.625</v>
      </c>
      <c r="C28" s="351" t="str">
        <f>IF(B28&lt;1.5,$L$6,IF(B28&lt;2.5,$L$5,IF(B28&lt;3.5,$L$4,IF(B28&lt;4.5,$L$3,"n/a"))))</f>
        <v>Moderate/Low</v>
      </c>
      <c r="D28" s="343" t="str">
        <f>IF(H28&lt;B28,"↑",IF(H28&gt;B28,"↓","↔"))</f>
        <v>↑</v>
      </c>
      <c r="E28" s="110"/>
      <c r="F28" s="110"/>
      <c r="G28" s="110"/>
      <c r="H28" s="10">
        <f>AVERAGE(H24:H27)</f>
        <v>0</v>
      </c>
      <c r="I28" s="277" t="str">
        <f>IF(H28&lt;1.5,$L$6,IF(H28&lt;2.5,$L$5,IF(H28&lt;3.5,$L$4,IF(H28&lt;4.5,$L$3,"n/a"))))</f>
        <v>Not at all</v>
      </c>
    </row>
    <row r="29" spans="1:9" s="106" customFormat="1" ht="13.5" thickBot="1" x14ac:dyDescent="0.3">
      <c r="A29" s="306" t="str">
        <f>Questionnaire!$A$85</f>
        <v>5. SOCIAL CAPITAL</v>
      </c>
      <c r="B29" s="356"/>
      <c r="C29" s="357"/>
      <c r="D29" s="357"/>
      <c r="E29" s="298"/>
      <c r="F29" s="298"/>
      <c r="G29" s="298"/>
      <c r="H29" s="299"/>
      <c r="I29" s="300"/>
    </row>
    <row r="30" spans="1:9" s="106" customFormat="1" x14ac:dyDescent="0.25">
      <c r="A30" s="303" t="str">
        <f>Questionnaire!$A$86</f>
        <v>5.1 Strength of producer organisations</v>
      </c>
      <c r="B30" s="358" t="str">
        <f>Questionnaire!J91</f>
        <v>n/a</v>
      </c>
      <c r="C30" s="334" t="str">
        <f>IF(B30&lt;1.5,$L$6,IF(B30&lt;2.5,$L$5,IF(B30&lt;3.5,$L$4,IF(B30&lt;4.5,$L$3,"n/a"))))</f>
        <v>n/a</v>
      </c>
      <c r="D30" s="335" t="str">
        <f t="shared" ref="D30:D32" si="3">IF(H30&lt;B30,"↑",IF(H30&gt;B30,"↓","↔"))</f>
        <v>↑</v>
      </c>
      <c r="E30" s="401"/>
      <c r="F30" s="402"/>
      <c r="G30" s="403"/>
      <c r="H30" s="236">
        <v>0</v>
      </c>
      <c r="I30" s="278" t="str">
        <f>IF(H30&lt;1.5,$L$6,IF(H30&lt;2.5,$L$5,IF(H30&lt;3.5,$L$4,IF(H30&lt;4.5,$L$3,"n/a"))))</f>
        <v>Not at all</v>
      </c>
    </row>
    <row r="31" spans="1:9" s="106" customFormat="1" x14ac:dyDescent="0.25">
      <c r="A31" s="304" t="str">
        <f>Questionnaire!$A$92</f>
        <v>5.2 Information and confidence</v>
      </c>
      <c r="B31" s="359">
        <f>Questionnaire!J95</f>
        <v>3</v>
      </c>
      <c r="C31" s="339" t="str">
        <f>IF(B31&lt;1.5,$L$6,IF(B31&lt;2.5,$L$5,IF(B31&lt;3.5,$L$4,IF(B31&lt;4.5,$L$3,"n/a"))))</f>
        <v>Substantial</v>
      </c>
      <c r="D31" s="352" t="str">
        <f t="shared" si="3"/>
        <v>↑</v>
      </c>
      <c r="E31" s="404"/>
      <c r="F31" s="405"/>
      <c r="G31" s="406"/>
      <c r="H31" s="236">
        <v>0</v>
      </c>
      <c r="I31" s="278" t="str">
        <f>IF(H31&lt;1.5,$L$6,IF(H31&lt;2.5,$L$5,IF(H31&lt;3.5,$L$4,IF(H31&lt;4.5,$L$3,"n/a"))))</f>
        <v>Not at all</v>
      </c>
    </row>
    <row r="32" spans="1:9" s="106" customFormat="1" ht="13" thickBot="1" x14ac:dyDescent="0.3">
      <c r="A32" s="305" t="str">
        <f>Questionnaire!$A$96</f>
        <v>5.3 Social involvement</v>
      </c>
      <c r="B32" s="360">
        <f>Questionnaire!J100</f>
        <v>1.6666666666666667</v>
      </c>
      <c r="C32" s="337" t="str">
        <f>IF(B32&lt;1.5,$L$6,IF(B32&lt;2.5,$L$5,IF(B32&lt;3.5,$L$4,IF(B32&lt;4.5,$L$3,"n/a"))))</f>
        <v>Moderate/Low</v>
      </c>
      <c r="D32" s="354" t="str">
        <f t="shared" si="3"/>
        <v>↑</v>
      </c>
      <c r="E32" s="407" t="s">
        <v>259</v>
      </c>
      <c r="F32" s="408"/>
      <c r="G32" s="409"/>
      <c r="H32" s="238">
        <v>0</v>
      </c>
      <c r="I32" s="245" t="str">
        <f>IF(H32&lt;1.5,$L$6,IF(H32&lt;2.5,$L$5,IF(H32&lt;3.5,$L$4,IF(H32&lt;4.5,$L$3,"n/a"))))</f>
        <v>Not at all</v>
      </c>
    </row>
    <row r="33" spans="1:9" s="106" customFormat="1" ht="13.5" thickTop="1" thickBot="1" x14ac:dyDescent="0.3">
      <c r="A33" s="301" t="s">
        <v>14</v>
      </c>
      <c r="B33" s="350">
        <f>IF(COUNT(B30:B32)=0,"n/a",(AVERAGE(B30:B32)))</f>
        <v>2.3333333333333335</v>
      </c>
      <c r="C33" s="351" t="str">
        <f>IF(B33&lt;1.5,$L$6,IF(B33&lt;2.5,$L$5,IF(B33&lt;3.5,$L$4,IF(B33&lt;4.5,$L$3,"n/a"))))</f>
        <v>Moderate/Low</v>
      </c>
      <c r="D33" s="343" t="str">
        <f>IF(H33&lt;B33,"↑",IF(H33&gt;B33,"↓","↔"))</f>
        <v>↑</v>
      </c>
      <c r="E33" s="110"/>
      <c r="F33" s="302"/>
      <c r="G33" s="110"/>
      <c r="H33" s="10">
        <f>AVERAGE(H30:H32)</f>
        <v>0</v>
      </c>
      <c r="I33" s="286" t="str">
        <f>IF(H33&lt;1.5,$L$6,IF(H33&lt;2.5,$L$5,IF(H33&lt;3.5,$L$4,IF(H33&lt;4.5,$L$3,"n/a"))))</f>
        <v>Not at all</v>
      </c>
    </row>
    <row r="34" spans="1:9" s="109" customFormat="1" ht="15" customHeight="1" thickBot="1" x14ac:dyDescent="0.3">
      <c r="A34" s="76" t="str">
        <f>Questionnaire!$A$101</f>
        <v>6. LIVING CONDITIONS</v>
      </c>
      <c r="B34" s="361"/>
      <c r="C34" s="362"/>
      <c r="D34" s="362"/>
      <c r="E34" s="78"/>
      <c r="F34" s="78"/>
      <c r="G34" s="78"/>
      <c r="H34" s="77"/>
      <c r="I34" s="283"/>
    </row>
    <row r="35" spans="1:9" s="109" customFormat="1" ht="15" customHeight="1" thickBot="1" x14ac:dyDescent="0.3">
      <c r="A35" s="246" t="str">
        <f>Questionnaire!$A$102</f>
        <v>6.1 Health services</v>
      </c>
      <c r="B35" s="363">
        <f>Questionnaire!J106</f>
        <v>1.3333333333333333</v>
      </c>
      <c r="C35" s="347" t="str">
        <f>IF(B35&lt;1.5,$L$6,IF(B35&lt;2.5,$L$5,IF(B35&lt;3.5,$L$4,IF(B35&lt;4.5,$L$3,"n/a"))))</f>
        <v>Not at all</v>
      </c>
      <c r="D35" s="364" t="str">
        <f>IF(H35&lt;B35,"↑",IF(H35&gt;B35,"↓","↔"))</f>
        <v>↑</v>
      </c>
      <c r="E35" s="5" t="s">
        <v>260</v>
      </c>
      <c r="F35" s="243"/>
      <c r="G35" s="5"/>
      <c r="H35" s="239">
        <v>0</v>
      </c>
      <c r="I35" s="278" t="str">
        <f>IF(H35&lt;1.5,$L$6,IF(H35&lt;2.5,$L$5,IF(H35&lt;3.5,$L$4,IF(H35&lt;4.5,$L$3,"n/a"))))</f>
        <v>Not at all</v>
      </c>
    </row>
    <row r="36" spans="1:9" s="109" customFormat="1" ht="15" customHeight="1" thickTop="1" thickBot="1" x14ac:dyDescent="0.3">
      <c r="A36" s="79" t="str">
        <f>Questionnaire!$A$107</f>
        <v>6.2 Housing</v>
      </c>
      <c r="B36" s="348">
        <f>Questionnaire!J110</f>
        <v>1</v>
      </c>
      <c r="C36" s="339" t="str">
        <f>IF(B36&lt;1.5,$L$6,IF(B36&lt;2.5,$L$5,IF(B36&lt;3.5,$L$4,IF(B36&lt;4.5,$L$3,"n/a"))))</f>
        <v>Not at all</v>
      </c>
      <c r="D36" s="339" t="str">
        <f>IF(H36&lt;B36,"↑",IF(H36&gt;B36,"↓","↔"))</f>
        <v>↑</v>
      </c>
      <c r="E36" s="6" t="s">
        <v>236</v>
      </c>
      <c r="F36" s="244"/>
      <c r="G36" s="6"/>
      <c r="H36" s="239">
        <v>0</v>
      </c>
      <c r="I36" s="278" t="str">
        <f>IF(H36&lt;1.5,$L$6,IF(H36&lt;2.5,$L$5,IF(H36&lt;3.5,$L$4,IF(H36&lt;4.5,$L$3,"n/a"))))</f>
        <v>Not at all</v>
      </c>
    </row>
    <row r="37" spans="1:9" s="109" customFormat="1" ht="15" customHeight="1" thickTop="1" thickBot="1" x14ac:dyDescent="0.3">
      <c r="A37" s="247" t="str">
        <f>Questionnaire!$A$111</f>
        <v>6.3 Education and training</v>
      </c>
      <c r="B37" s="363">
        <f>Questionnaire!J115</f>
        <v>1.6666666666666667</v>
      </c>
      <c r="C37" s="339" t="str">
        <f>IF(B37&lt;1.5,$L$6,IF(B37&lt;2.5,$L$5,IF(B37&lt;3.5,$L$4,IF(B37&lt;4.5,$L$3,"n/a"))))</f>
        <v>Moderate/Low</v>
      </c>
      <c r="D37" s="364" t="str">
        <f>IF(H37&lt;B37,"↑",IF(H37&gt;B37,"↓","↔"))</f>
        <v>↑</v>
      </c>
      <c r="E37" s="6" t="s">
        <v>261</v>
      </c>
      <c r="F37" s="244"/>
      <c r="G37" s="6"/>
      <c r="H37" s="239">
        <v>0</v>
      </c>
      <c r="I37" s="278" t="str">
        <f>IF(H37&lt;1.5,$L$6,IF(H37&lt;2.5,$L$5,IF(H37&lt;3.5,$L$4,IF(H37&lt;4.5,$L$3,"n/a"))))</f>
        <v>Not at all</v>
      </c>
    </row>
    <row r="38" spans="1:9" s="109" customFormat="1" ht="15" customHeight="1" thickTop="1" thickBot="1" x14ac:dyDescent="0.3">
      <c r="A38" s="248" t="str">
        <f>Questionnaire!$A$116</f>
        <v>6.4 Mobility ??????</v>
      </c>
      <c r="B38" s="349" t="str">
        <f>Questionnaire!J120</f>
        <v>n/a</v>
      </c>
      <c r="C38" s="337" t="str">
        <f>IF(B38&lt;1.5,$L$6,IF(B38&lt;2.5,$L$5,IF(B38&lt;3.5,$L$4,IF(B38&lt;4.5,$L$3,"n/a"))))</f>
        <v>n/a</v>
      </c>
      <c r="D38" s="354" t="str">
        <f>IF(H38&lt;B38,"↑",IF(H38&gt;B38,"↓","↔"))</f>
        <v>↑</v>
      </c>
      <c r="E38" s="8"/>
      <c r="F38" s="9"/>
      <c r="G38" s="9"/>
      <c r="H38" s="239">
        <v>0</v>
      </c>
      <c r="I38" s="249" t="str">
        <f>IF(H38&lt;1.5,$L$6,IF(H38&lt;2.5,$L$5,IF(H38&lt;3.5,$L$4,IF(H38&lt;4.5,$L$3,"n/a"))))</f>
        <v>Not at all</v>
      </c>
    </row>
    <row r="39" spans="1:9" s="106" customFormat="1" ht="13.5" thickTop="1" thickBot="1" x14ac:dyDescent="0.3">
      <c r="A39" s="80" t="s">
        <v>14</v>
      </c>
      <c r="B39" s="342">
        <f>IF(COUNT(B35:B38)=0,"n/a",(AVERAGE(B35:B38)))</f>
        <v>1.3333333333333333</v>
      </c>
      <c r="C39" s="351" t="str">
        <f>IF(B39&lt;1.5,$L$6,IF(B39&lt;2.5,$L$5,IF(B39&lt;3.5,$L$4,IF(B39&lt;4.5,$L$3,"n/a"))))</f>
        <v>Not at all</v>
      </c>
      <c r="D39" s="343" t="str">
        <f>IF(H39&lt;B39,"↑",IF(H39&gt;B39,"↓","↔"))</f>
        <v>↑</v>
      </c>
      <c r="E39" s="110"/>
      <c r="F39" s="110"/>
      <c r="G39" s="110"/>
      <c r="H39" s="10">
        <f>AVERAGE(H35:H38)</f>
        <v>0</v>
      </c>
      <c r="I39" s="284" t="str">
        <f>IF(H39&lt;1.5,$L$6,IF(H39&lt;2.5,$L$5,IF(H39&lt;3.5,$L$4,IF(H39&lt;4.5,$L$3,"n/a"))))</f>
        <v>Not at all</v>
      </c>
    </row>
    <row r="40" spans="1:9" x14ac:dyDescent="0.25">
      <c r="B40" s="274"/>
      <c r="C40" s="276"/>
      <c r="I40" s="276"/>
    </row>
    <row r="41" spans="1:9" x14ac:dyDescent="0.25">
      <c r="C41" s="111"/>
    </row>
    <row r="44" spans="1:9" x14ac:dyDescent="0.25">
      <c r="D44"/>
      <c r="I44"/>
    </row>
    <row r="45" spans="1:9" x14ac:dyDescent="0.25">
      <c r="F45" s="112"/>
    </row>
    <row r="46" spans="1:9" x14ac:dyDescent="0.25">
      <c r="B46" s="273"/>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91" priority="6" operator="equal">
      <formula>$L$4</formula>
    </cfRule>
    <cfRule type="cellIs" dxfId="90" priority="7" operator="equal">
      <formula>$L$3</formula>
    </cfRule>
    <cfRule type="cellIs" dxfId="89" priority="8" operator="equal">
      <formula>$L$6</formula>
    </cfRule>
  </conditionalFormatting>
  <conditionalFormatting sqref="A5:I9 A10 C10:I10 A11:I14 A15 C15:I15 A16:I21 A22 C22:I22 A23:I27 A34:I38 A39 C39:I39">
    <cfRule type="cellIs" dxfId="88" priority="47" operator="equal">
      <formula>$L$4</formula>
    </cfRule>
    <cfRule type="cellIs" dxfId="87" priority="48" operator="equal">
      <formula>$L$3</formula>
    </cfRule>
    <cfRule type="cellIs" dxfId="86" priority="57" operator="equal">
      <formula>$L$6</formula>
    </cfRule>
  </conditionalFormatting>
  <conditionalFormatting sqref="A5:I9 C10:I10 A11:I14 C15:I15 A16:I21 C22:I22 A23:I27 A34:I38 C39:I39 A10 A15 A22 A39">
    <cfRule type="cellIs" dxfId="85" priority="46" operator="equal">
      <formula>$L$5</formula>
    </cfRule>
  </conditionalFormatting>
  <conditionalFormatting sqref="C1">
    <cfRule type="cellIs" dxfId="84" priority="21" operator="equal">
      <formula>"High"</formula>
    </cfRule>
    <cfRule type="cellIs" dxfId="83" priority="22" operator="equal">
      <formula>"Substantial"</formula>
    </cfRule>
    <cfRule type="cellIs" dxfId="82" priority="23" operator="equal">
      <formula>"Moderate"</formula>
    </cfRule>
    <cfRule type="cellIs" dxfId="81" priority="24" operator="equal">
      <formula>"Low"</formula>
    </cfRule>
  </conditionalFormatting>
  <conditionalFormatting sqref="C28:I33 A28:A33">
    <cfRule type="cellIs" dxfId="80" priority="5" operator="equal">
      <formula>$L$5</formula>
    </cfRule>
  </conditionalFormatting>
  <conditionalFormatting sqref="F1">
    <cfRule type="cellIs" dxfId="79" priority="17" operator="equal">
      <formula>"High"</formula>
    </cfRule>
    <cfRule type="cellIs" dxfId="78" priority="18" operator="equal">
      <formula>"Substantial"</formula>
    </cfRule>
    <cfRule type="cellIs" dxfId="77" priority="19" operator="equal">
      <formula>"Moderate"</formula>
    </cfRule>
    <cfRule type="cellIs" dxfId="76" priority="20" operator="equal">
      <formula>"Low"</formula>
    </cfRule>
  </conditionalFormatting>
  <conditionalFormatting sqref="G2 G5 G10:G11 G15:G16 G22:G23">
    <cfRule type="cellIs" dxfId="75" priority="41" operator="equal">
      <formula>"High"</formula>
    </cfRule>
    <cfRule type="cellIs" dxfId="74" priority="42" operator="equal">
      <formula>"Substantial"</formula>
    </cfRule>
    <cfRule type="cellIs" dxfId="73" priority="43" operator="equal">
      <formula>"Moderate"</formula>
    </cfRule>
    <cfRule type="containsText" dxfId="72" priority="44" operator="containsText" text="Low">
      <formula>NOT(ISERROR(SEARCH("Low",G2)))</formula>
    </cfRule>
  </conditionalFormatting>
  <conditionalFormatting sqref="G28:G34">
    <cfRule type="cellIs" dxfId="71" priority="1" operator="equal">
      <formula>"High"</formula>
    </cfRule>
    <cfRule type="cellIs" dxfId="70" priority="2" operator="equal">
      <formula>"Substantial"</formula>
    </cfRule>
    <cfRule type="cellIs" dxfId="69" priority="3" operator="equal">
      <formula>"Moderate"</formula>
    </cfRule>
    <cfRule type="containsText" dxfId="68" priority="4" operator="containsText" text="Low">
      <formula>NOT(ISERROR(SEARCH("Low",G28)))</formula>
    </cfRule>
  </conditionalFormatting>
  <conditionalFormatting sqref="G39:H39">
    <cfRule type="cellIs" dxfId="67" priority="29" operator="equal">
      <formula>"High"</formula>
    </cfRule>
    <cfRule type="cellIs" dxfId="66" priority="30" operator="equal">
      <formula>"Substantial"</formula>
    </cfRule>
    <cfRule type="cellIs" dxfId="65" priority="31" operator="equal">
      <formula>"Moderate"</formula>
    </cfRule>
    <cfRule type="containsText" dxfId="64" priority="32" operator="containsText" text="Low">
      <formula>NOT(ISERROR(SEARCH("Low",G39)))</formula>
    </cfRule>
  </conditionalFormatting>
  <conditionalFormatting sqref="H35:I38">
    <cfRule type="cellIs" dxfId="63" priority="33" operator="equal">
      <formula>"High"</formula>
    </cfRule>
    <cfRule type="cellIs" dxfId="62" priority="34" operator="equal">
      <formula>"Substantial"</formula>
    </cfRule>
    <cfRule type="cellIs" dxfId="61" priority="35" operator="equal">
      <formula>"Moderate"</formula>
    </cfRule>
    <cfRule type="containsText" dxfId="60"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85" zoomScaleNormal="85" zoomScaleSheetLayoutView="100" workbookViewId="0">
      <pane ySplit="2" topLeftCell="A66" activePane="bottomLeft" state="frozen"/>
      <selection pane="bottomLeft" activeCell="B1" sqref="B1"/>
    </sheetView>
  </sheetViews>
  <sheetFormatPr defaultColWidth="8.90625" defaultRowHeight="12.5" x14ac:dyDescent="0.25"/>
  <cols>
    <col min="1" max="1" width="18" customWidth="1"/>
    <col min="2" max="2" width="29" customWidth="1"/>
    <col min="3" max="3" width="30.54296875" style="160" customWidth="1"/>
    <col min="4" max="4" width="14.453125" style="161" customWidth="1"/>
    <col min="5" max="6" width="7.453125" style="25" customWidth="1"/>
    <col min="7" max="7" width="1.08984375" style="25" customWidth="1"/>
    <col min="8" max="8" width="7.453125" style="25" customWidth="1"/>
    <col min="9" max="9" width="12.54296875" style="25" customWidth="1"/>
    <col min="10" max="10" width="12.36328125" style="25" customWidth="1"/>
    <col min="11" max="11" width="65.90625" customWidth="1"/>
    <col min="12" max="12" width="15.54296875" style="160" customWidth="1"/>
    <col min="13" max="13" width="13.453125" hidden="1" customWidth="1"/>
    <col min="14" max="14" width="14.90625" hidden="1" customWidth="1"/>
    <col min="15" max="15" width="11.08984375" hidden="1" customWidth="1"/>
    <col min="16" max="16" width="13.90625" customWidth="1"/>
  </cols>
  <sheetData>
    <row r="1" spans="1:15" ht="21" customHeight="1" thickBot="1" x14ac:dyDescent="0.4">
      <c r="A1" s="368" t="s">
        <v>27</v>
      </c>
      <c r="B1" s="369" t="str">
        <f>Profile!F1</f>
        <v>food-flour</v>
      </c>
      <c r="C1" s="367" t="s">
        <v>22</v>
      </c>
      <c r="D1" s="456" t="str">
        <f>Profile!E2</f>
        <v>Chad</v>
      </c>
      <c r="E1" s="457"/>
      <c r="F1" s="365" t="s">
        <v>26</v>
      </c>
      <c r="G1" s="370"/>
      <c r="H1" s="371"/>
      <c r="I1" s="372"/>
      <c r="J1" s="366">
        <f>Profile!B3</f>
        <v>45868</v>
      </c>
      <c r="K1" s="113"/>
      <c r="L1" s="373" t="s">
        <v>179</v>
      </c>
    </row>
    <row r="2" spans="1:15" s="105" customFormat="1" ht="15" customHeight="1" thickBot="1" x14ac:dyDescent="0.3">
      <c r="A2" s="568" t="s">
        <v>0</v>
      </c>
      <c r="B2" s="569"/>
      <c r="C2" s="374" t="s">
        <v>2</v>
      </c>
      <c r="D2" s="374" t="s">
        <v>87</v>
      </c>
      <c r="E2" s="374" t="s">
        <v>88</v>
      </c>
      <c r="F2" s="568" t="s">
        <v>86</v>
      </c>
      <c r="G2" s="569"/>
      <c r="H2" s="569"/>
      <c r="I2" s="569"/>
      <c r="J2" s="569"/>
      <c r="K2" s="569"/>
      <c r="L2" s="375"/>
      <c r="M2" s="107"/>
    </row>
    <row r="3" spans="1:15" s="105" customFormat="1" ht="24.75" customHeight="1" thickBot="1" x14ac:dyDescent="0.35">
      <c r="A3" s="114" t="s">
        <v>215</v>
      </c>
      <c r="B3" s="115"/>
      <c r="C3" s="115"/>
      <c r="D3" s="115"/>
      <c r="E3" s="115"/>
      <c r="F3" s="115"/>
      <c r="G3" s="115"/>
      <c r="H3" s="115"/>
      <c r="I3" s="115"/>
      <c r="J3" s="115"/>
      <c r="K3" s="115"/>
      <c r="L3" s="376"/>
      <c r="N3" s="16" t="s">
        <v>4</v>
      </c>
      <c r="O3" s="105">
        <v>4.5</v>
      </c>
    </row>
    <row r="4" spans="1:15" s="105" customFormat="1" ht="21" customHeight="1" x14ac:dyDescent="0.3">
      <c r="A4" s="116" t="s">
        <v>29</v>
      </c>
      <c r="B4" s="117"/>
      <c r="C4" s="117"/>
      <c r="D4" s="117"/>
      <c r="E4" s="117"/>
      <c r="F4" s="117"/>
      <c r="G4" s="117"/>
      <c r="H4" s="117"/>
      <c r="I4" s="117"/>
      <c r="J4" s="117"/>
      <c r="K4" s="117"/>
      <c r="L4" s="376"/>
      <c r="N4" s="16" t="s">
        <v>5</v>
      </c>
      <c r="O4" s="105">
        <v>3.5</v>
      </c>
    </row>
    <row r="5" spans="1:15" s="105" customFormat="1" ht="60.75" customHeight="1" x14ac:dyDescent="0.25">
      <c r="A5" s="547" t="s">
        <v>71</v>
      </c>
      <c r="B5" s="547"/>
      <c r="C5" s="37"/>
      <c r="D5" s="48" t="s">
        <v>42</v>
      </c>
      <c r="E5" s="118">
        <f>IF(D5=$N$6,1,IF(D5=$N$5,2,IF(D5=$N$4,3,IF(D5=$N$3,4,"n/a"))))</f>
        <v>2</v>
      </c>
      <c r="F5" s="576" t="s">
        <v>222</v>
      </c>
      <c r="G5" s="576"/>
      <c r="H5" s="576"/>
      <c r="I5" s="576"/>
      <c r="J5" s="576"/>
      <c r="K5" s="576"/>
      <c r="L5" s="376"/>
      <c r="N5" s="107" t="s">
        <v>42</v>
      </c>
      <c r="O5" s="106">
        <v>2.5</v>
      </c>
    </row>
    <row r="6" spans="1:15" s="105" customFormat="1" ht="31.5" customHeight="1" x14ac:dyDescent="0.25">
      <c r="A6" s="547" t="s">
        <v>30</v>
      </c>
      <c r="B6" s="547"/>
      <c r="C6" s="37"/>
      <c r="D6" s="48" t="s">
        <v>79</v>
      </c>
      <c r="E6" s="118">
        <f>IF(D6=$N$6,1,IF(D6=$N$5,2,IF(D6=$N$4,3,IF(D6=$N$3,4,"n/a"))))</f>
        <v>1</v>
      </c>
      <c r="F6" s="576" t="s">
        <v>223</v>
      </c>
      <c r="G6" s="576"/>
      <c r="H6" s="576"/>
      <c r="I6" s="576"/>
      <c r="J6" s="576"/>
      <c r="K6" s="576"/>
      <c r="L6" s="376"/>
      <c r="N6" s="107" t="s">
        <v>79</v>
      </c>
      <c r="O6" s="106">
        <v>1.5</v>
      </c>
    </row>
    <row r="7" spans="1:15" s="105" customFormat="1" ht="28.5" customHeight="1" x14ac:dyDescent="0.3">
      <c r="A7" s="547" t="s">
        <v>188</v>
      </c>
      <c r="B7" s="547"/>
      <c r="C7" s="37"/>
      <c r="D7" s="48" t="s">
        <v>79</v>
      </c>
      <c r="E7" s="118">
        <f>IF(D7=$N$6,1,IF(D7=$N$5,2,IF(D7=$N$4,3,IF(D7=$N$3,4,"n/a"))))</f>
        <v>1</v>
      </c>
      <c r="F7" s="576" t="s">
        <v>223</v>
      </c>
      <c r="G7" s="576"/>
      <c r="H7" s="576"/>
      <c r="I7" s="576"/>
      <c r="J7" s="576"/>
      <c r="K7" s="576"/>
      <c r="L7" s="376"/>
      <c r="N7" s="16" t="s">
        <v>19</v>
      </c>
    </row>
    <row r="8" spans="1:15" s="105" customFormat="1" ht="30" customHeight="1" x14ac:dyDescent="0.25">
      <c r="A8" s="547" t="s">
        <v>40</v>
      </c>
      <c r="B8" s="547"/>
      <c r="C8" s="37"/>
      <c r="D8" s="48" t="s">
        <v>79</v>
      </c>
      <c r="E8" s="118">
        <f>IF(D8=$N$6,1,IF(D8=$N$5,2,IF(D8=$N$4,3,IF(D8=$N$3,4,"n/a"))))</f>
        <v>1</v>
      </c>
      <c r="F8" s="576" t="s">
        <v>223</v>
      </c>
      <c r="G8" s="576"/>
      <c r="H8" s="576"/>
      <c r="I8" s="576"/>
      <c r="J8" s="576"/>
      <c r="K8" s="576"/>
      <c r="L8" s="376"/>
      <c r="N8" s="107"/>
    </row>
    <row r="9" spans="1:15" s="105" customFormat="1" ht="45.75" customHeight="1" thickBot="1" x14ac:dyDescent="0.3">
      <c r="A9" s="546" t="s">
        <v>59</v>
      </c>
      <c r="B9" s="546"/>
      <c r="C9" s="179"/>
      <c r="D9" s="167" t="s">
        <v>79</v>
      </c>
      <c r="E9" s="175">
        <f>IF(D9=$N$6,1,IF(D9=$N$5,2,IF(D9=$N$4,3,IF(D9=$N$3,4,"n/a"))))</f>
        <v>1</v>
      </c>
      <c r="F9" s="532" t="s">
        <v>224</v>
      </c>
      <c r="G9" s="533"/>
      <c r="H9" s="532"/>
      <c r="I9" s="532"/>
      <c r="J9" s="532"/>
      <c r="K9" s="532"/>
      <c r="L9" s="376"/>
      <c r="N9" s="119"/>
    </row>
    <row r="10" spans="1:15" s="105" customFormat="1" ht="28.5" customHeight="1" thickBot="1" x14ac:dyDescent="0.35">
      <c r="A10" s="556"/>
      <c r="B10" s="572"/>
      <c r="C10" s="183" t="s">
        <v>24</v>
      </c>
      <c r="D10" s="90" t="str">
        <f>IF(E10&lt;1.5,$N$6,IF(E10&lt;2.5,$N$5,IF(E10&lt;3.5,$N$4,IF(E10&lt;4.5,$N$3,"n/a"))))</f>
        <v>Not at all</v>
      </c>
      <c r="E10" s="250">
        <f>IF(COUNT(E5:E9)=0,"n/a",AVERAGE(E5:E9))</f>
        <v>1.2</v>
      </c>
      <c r="F10" s="49">
        <f>E10</f>
        <v>1.2</v>
      </c>
      <c r="G10" s="216"/>
      <c r="H10" s="50" t="s">
        <v>23</v>
      </c>
      <c r="I10" s="26" t="str">
        <f>D10</f>
        <v>Not at all</v>
      </c>
      <c r="J10" s="91">
        <f>IF(I10=$N$7,"n/a",IF(AND(I10=$N$5,D10=$N$6),1.5,IF(AND(I10=$N$4,D10=$N$5),2.5,IF(AND(I10=$N$3,D10=$N$4),3.5,IF(AND(I10=$N$6,D10=$N$5),1.49,IF(AND(I10=$N$5,D10=$N$4),2.49,IF(AND(I10=$N$4,D10=$N$3),3.49,E10)))))))</f>
        <v>1.2</v>
      </c>
      <c r="K10" s="92" t="s">
        <v>91</v>
      </c>
      <c r="L10" s="377"/>
      <c r="N10" s="16"/>
    </row>
    <row r="11" spans="1:15" s="105" customFormat="1" ht="20.25" customHeight="1" thickBot="1" x14ac:dyDescent="0.35">
      <c r="A11" s="121" t="s">
        <v>28</v>
      </c>
      <c r="B11" s="122"/>
      <c r="C11" s="180"/>
      <c r="D11" s="123"/>
      <c r="E11" s="123"/>
      <c r="F11" s="123"/>
      <c r="G11" s="123"/>
      <c r="H11" s="123"/>
      <c r="I11" s="123"/>
      <c r="J11" s="123"/>
      <c r="K11" s="123"/>
      <c r="L11" s="376"/>
      <c r="N11" s="16"/>
    </row>
    <row r="12" spans="1:15" ht="45.75" customHeight="1" x14ac:dyDescent="0.3">
      <c r="A12" s="547" t="s">
        <v>189</v>
      </c>
      <c r="B12" s="547"/>
      <c r="C12" s="37"/>
      <c r="D12" s="166" t="s">
        <v>42</v>
      </c>
      <c r="E12" s="177">
        <f>IF(D12=$N$6,1,IF(D12=$N$5,2,IF(D12=$N$4,3,IF(D12=$N$3,4,"n/a"))))</f>
        <v>2</v>
      </c>
      <c r="F12" s="558" t="s">
        <v>225</v>
      </c>
      <c r="G12" s="558"/>
      <c r="H12" s="558"/>
      <c r="I12" s="558"/>
      <c r="J12" s="558"/>
      <c r="K12" s="558"/>
      <c r="L12" s="378" t="s">
        <v>96</v>
      </c>
      <c r="N12" s="16"/>
    </row>
    <row r="13" spans="1:15" ht="43.5" customHeight="1" thickBot="1" x14ac:dyDescent="0.3">
      <c r="A13" s="534" t="s">
        <v>190</v>
      </c>
      <c r="B13" s="534"/>
      <c r="C13" s="184"/>
      <c r="D13" s="182" t="s">
        <v>79</v>
      </c>
      <c r="E13" s="178">
        <f>IF(D13=$N$6,1,IF(D13=$N$5,2,IF(D13=$N$4,3,IF(D13=$N$3,4,"n/a"))))</f>
        <v>1</v>
      </c>
      <c r="F13" s="553" t="s">
        <v>16</v>
      </c>
      <c r="G13" s="499"/>
      <c r="H13" s="499"/>
      <c r="I13" s="499"/>
      <c r="J13" s="499"/>
      <c r="K13" s="537"/>
      <c r="L13" s="378" t="s">
        <v>96</v>
      </c>
    </row>
    <row r="14" spans="1:15" s="108" customFormat="1" ht="28.5" customHeight="1" thickBot="1" x14ac:dyDescent="0.35">
      <c r="A14" s="556"/>
      <c r="B14" s="557"/>
      <c r="C14" s="183" t="s">
        <v>24</v>
      </c>
      <c r="D14" s="27" t="str">
        <f>IF(E14&lt;1.5,$N$6,IF(E14&lt;2.5,$N$5,IF(E14&lt;3.5,$N$4,IF(E14&lt;4.5,$N$3,"n/a"))))</f>
        <v>Moderate/Low</v>
      </c>
      <c r="E14" s="145">
        <f>IF(COUNT(E12:E13)=0,"n/a",AVERAGE(E12:E13))</f>
        <v>1.5</v>
      </c>
      <c r="F14" s="28">
        <f>E14</f>
        <v>1.5</v>
      </c>
      <c r="G14" s="216"/>
      <c r="H14" s="29" t="s">
        <v>23</v>
      </c>
      <c r="I14" s="26" t="str">
        <f>D14</f>
        <v>Moderate/Low</v>
      </c>
      <c r="J14" s="30">
        <f>IF(I14=$N$7,"n/a",IF(AND(I14=$N$5,D14=$N$6),1.5,IF(AND(I14=$N$4,D14=$N$5),2.5,IF(AND(I14=$N$3,D14=$N$4),3.5,IF(AND(I14=$N$6,D14=$N$5),1.49,IF(AND(I14=$N$5,D14=$N$4),2.49,IF(AND(I14=$N$4,D14=$N$3),3.49,E14)))))))</f>
        <v>1.5</v>
      </c>
      <c r="K14" s="181" t="s">
        <v>91</v>
      </c>
      <c r="L14" s="379"/>
      <c r="N14" s="16"/>
    </row>
    <row r="15" spans="1:15" ht="21.75" customHeight="1" x14ac:dyDescent="0.3">
      <c r="A15" s="397" t="s">
        <v>31</v>
      </c>
      <c r="B15" s="121"/>
      <c r="C15" s="121"/>
      <c r="D15" s="121"/>
      <c r="E15" s="121"/>
      <c r="F15" s="121"/>
      <c r="G15" s="121"/>
      <c r="H15" s="121"/>
      <c r="I15" s="121"/>
      <c r="J15" s="121"/>
      <c r="K15" s="121"/>
      <c r="L15" s="380"/>
      <c r="N15" s="16"/>
    </row>
    <row r="16" spans="1:15" ht="46.5" customHeight="1" thickBot="1" x14ac:dyDescent="0.3">
      <c r="A16" s="546" t="s">
        <v>191</v>
      </c>
      <c r="B16" s="546"/>
      <c r="C16" s="184"/>
      <c r="D16" s="167" t="s">
        <v>79</v>
      </c>
      <c r="E16" s="171">
        <f>IF(D16=$N$6,1,IF(D16=$N$5,2,IF(D16=$N$4,3,IF(D16=$N$3,4,"n/a"))))</f>
        <v>1</v>
      </c>
      <c r="F16" s="535" t="s">
        <v>226</v>
      </c>
      <c r="G16" s="499"/>
      <c r="H16" s="536"/>
      <c r="I16" s="536"/>
      <c r="J16" s="499"/>
      <c r="K16" s="537"/>
      <c r="L16" s="380"/>
    </row>
    <row r="17" spans="1:14" s="105" customFormat="1" ht="24.75" customHeight="1" thickBot="1" x14ac:dyDescent="0.3">
      <c r="A17" s="579"/>
      <c r="B17" s="580"/>
      <c r="C17" s="183" t="s">
        <v>24</v>
      </c>
      <c r="D17" s="27" t="str">
        <f>IF(E17&lt;1.5,$N$6,IF(E17&lt;2.5,$N$5,IF(E17&lt;3.5,$N$4,IF(E17&lt;4.5,$N$3,"n/a"))))</f>
        <v>Not at all</v>
      </c>
      <c r="E17" s="145">
        <f>IF(COUNT(E16)=0,"n/a",AVERAGE(E16))</f>
        <v>1</v>
      </c>
      <c r="F17" s="28">
        <f>E17</f>
        <v>1</v>
      </c>
      <c r="G17" s="216"/>
      <c r="H17" s="29" t="s">
        <v>23</v>
      </c>
      <c r="I17" s="26" t="str">
        <f>D17</f>
        <v>Not at all</v>
      </c>
      <c r="J17" s="30">
        <f>IF(I17=$N$7,"n/a",IF(AND(I17=$N$5,D17=$N$6),1.5,IF(AND(I17=$N$4,D17=$N$5),2.5,IF(AND(I17=$N$3,D17=$N$4),3.5,IF(AND(I17=$N$6,D17=$N$5),1.49,IF(AND(I17=$N$5,D17=$N$4),2.49,IF(AND(I17=$N$4,D17=$N$3),3.49,E17)))))))</f>
        <v>1</v>
      </c>
      <c r="K17" s="181" t="s">
        <v>91</v>
      </c>
      <c r="L17" s="376"/>
      <c r="N17" s="107"/>
    </row>
    <row r="18" spans="1:14" s="124" customFormat="1" ht="21" customHeight="1" x14ac:dyDescent="0.3">
      <c r="A18" s="121" t="s">
        <v>69</v>
      </c>
      <c r="B18" s="121"/>
      <c r="C18" s="121"/>
      <c r="D18" s="121"/>
      <c r="E18" s="121"/>
      <c r="F18" s="121"/>
      <c r="G18" s="121"/>
      <c r="H18" s="121"/>
      <c r="I18" s="121"/>
      <c r="J18" s="121"/>
      <c r="K18" s="121"/>
      <c r="L18" s="380"/>
      <c r="N18" s="16"/>
    </row>
    <row r="19" spans="1:14" s="124" customFormat="1" ht="32.25" customHeight="1" x14ac:dyDescent="0.3">
      <c r="A19" s="547" t="s">
        <v>73</v>
      </c>
      <c r="B19" s="547"/>
      <c r="C19" s="37"/>
      <c r="D19" s="48" t="s">
        <v>79</v>
      </c>
      <c r="E19" s="163">
        <f>IF(D19=$N$6,1,IF(D19=$N$5,2,IF(D19=$N$4,3,IF(D19=$N$3,4,"n/a"))))</f>
        <v>1</v>
      </c>
      <c r="F19" s="535" t="s">
        <v>227</v>
      </c>
      <c r="G19" s="536"/>
      <c r="H19" s="536"/>
      <c r="I19" s="536"/>
      <c r="J19" s="536"/>
      <c r="K19" s="537"/>
      <c r="L19" s="378" t="s">
        <v>96</v>
      </c>
      <c r="N19" s="16"/>
    </row>
    <row r="20" spans="1:14" s="124" customFormat="1" ht="33" customHeight="1" thickBot="1" x14ac:dyDescent="0.35">
      <c r="A20" s="534" t="s">
        <v>70</v>
      </c>
      <c r="B20" s="534"/>
      <c r="C20" s="184"/>
      <c r="D20" s="176" t="s">
        <v>79</v>
      </c>
      <c r="E20" s="175">
        <f>IF(D20=$N$6,1,IF(D20=$N$5,2,IF(D20=$N$4,3,IF(D20=$N$3,4,"n/a"))))</f>
        <v>1</v>
      </c>
      <c r="F20" s="483" t="s">
        <v>228</v>
      </c>
      <c r="G20" s="499"/>
      <c r="H20" s="484"/>
      <c r="I20" s="484"/>
      <c r="J20" s="484"/>
      <c r="K20" s="485"/>
      <c r="L20" s="381"/>
      <c r="N20" s="16"/>
    </row>
    <row r="21" spans="1:14" s="105" customFormat="1" ht="29.25" customHeight="1" thickBot="1" x14ac:dyDescent="0.3">
      <c r="A21" s="556"/>
      <c r="B21" s="557"/>
      <c r="C21" s="183" t="s">
        <v>24</v>
      </c>
      <c r="D21" s="27" t="str">
        <f>IF(E21&lt;1.5,$N$6,IF(E21&lt;2.5,$N$5,IF(E21&lt;3.5,$N$4,IF(E21&lt;4.5,$N$3,"n/a"))))</f>
        <v>Not at all</v>
      </c>
      <c r="E21" s="145">
        <f>IF(COUNT(E19:E20)=0,"n/a",AVERAGE(E19:E20))</f>
        <v>1</v>
      </c>
      <c r="F21" s="28">
        <f>E21</f>
        <v>1</v>
      </c>
      <c r="G21" s="216"/>
      <c r="H21" s="29" t="s">
        <v>23</v>
      </c>
      <c r="I21" s="26" t="str">
        <f>D21</f>
        <v>Not at all</v>
      </c>
      <c r="J21" s="91">
        <f>IF(I21=$N$7,"n/a",IF(AND(I21=$N$5,D21=$N$6),1.5,IF(AND(I21=$N$4,D21=$N$5),2.5,IF(AND(I21=$N$3,D21=$N$4),3.5,IF(AND(I21=$N$6,D21=$N$5),1.49,IF(AND(I21=$N$5,D21=$N$4),2.49,IF(AND(I21=$N$4,D21=$N$3),3.49,E21)))))))</f>
        <v>1</v>
      </c>
      <c r="K21" s="89" t="s">
        <v>91</v>
      </c>
      <c r="L21" s="382"/>
    </row>
    <row r="22" spans="1:14" s="105" customFormat="1" ht="22.5" customHeight="1" thickBot="1" x14ac:dyDescent="0.3">
      <c r="A22" s="125" t="s">
        <v>216</v>
      </c>
      <c r="B22" s="126"/>
      <c r="C22" s="126"/>
      <c r="D22" s="127"/>
      <c r="E22" s="127"/>
      <c r="F22" s="127"/>
      <c r="G22" s="127"/>
      <c r="H22" s="127"/>
      <c r="I22" s="127"/>
      <c r="J22" s="127"/>
      <c r="K22" s="127"/>
      <c r="L22" s="376"/>
    </row>
    <row r="23" spans="1:14" ht="21.75" customHeight="1" thickBot="1" x14ac:dyDescent="0.3">
      <c r="A23" s="128" t="s">
        <v>44</v>
      </c>
      <c r="B23" s="129"/>
      <c r="C23" s="129"/>
      <c r="D23" s="129"/>
      <c r="E23" s="129"/>
      <c r="F23" s="129"/>
      <c r="G23" s="129"/>
      <c r="H23" s="129"/>
      <c r="I23" s="129"/>
      <c r="J23" s="129"/>
      <c r="K23" s="129"/>
      <c r="L23" s="378" t="s">
        <v>96</v>
      </c>
    </row>
    <row r="24" spans="1:14" ht="54" customHeight="1" x14ac:dyDescent="0.25">
      <c r="A24" s="570" t="s">
        <v>45</v>
      </c>
      <c r="B24" s="571"/>
      <c r="C24" s="173"/>
      <c r="D24" s="164" t="s">
        <v>5</v>
      </c>
      <c r="E24" s="174">
        <f>IF(D24=$N$6,1,IF(D24=$N$5,2,IF(D24=$N$4,3,IF(D24=$N$3,4,"n/a"))))</f>
        <v>3</v>
      </c>
      <c r="F24" s="558" t="s">
        <v>229</v>
      </c>
      <c r="G24" s="558"/>
      <c r="H24" s="558"/>
      <c r="I24" s="558"/>
      <c r="J24" s="558"/>
      <c r="K24" s="558"/>
      <c r="L24" s="378" t="s">
        <v>96</v>
      </c>
    </row>
    <row r="25" spans="1:14" ht="73.5" customHeight="1" thickBot="1" x14ac:dyDescent="0.3">
      <c r="A25" s="577" t="s">
        <v>62</v>
      </c>
      <c r="B25" s="578"/>
      <c r="C25" s="185"/>
      <c r="D25" s="165" t="s">
        <v>19</v>
      </c>
      <c r="E25" s="175" t="str">
        <f>IF(D25=$N$6,1,IF(D25=$N$5,2,IF(D25=$N$4,3,IF(D25=$N$3,4,"n/a"))))</f>
        <v>n/a</v>
      </c>
      <c r="F25" s="483" t="s">
        <v>230</v>
      </c>
      <c r="G25" s="484"/>
      <c r="H25" s="484"/>
      <c r="I25" s="484"/>
      <c r="J25" s="484"/>
      <c r="K25" s="485"/>
      <c r="L25" s="380"/>
    </row>
    <row r="26" spans="1:14" ht="35.25" customHeight="1" thickBot="1" x14ac:dyDescent="0.3">
      <c r="A26" s="544"/>
      <c r="B26" s="545"/>
      <c r="C26" s="40" t="s">
        <v>24</v>
      </c>
      <c r="D26" s="27" t="str">
        <f>IF(E26&lt;1.5,"Low",IF(E26&lt;2.5,"Moderate",IF(E26&lt;3.5,"Substantial",IF(E26&lt;4.5,"High","n/a"))))</f>
        <v>Substantial</v>
      </c>
      <c r="E26" s="145">
        <f>IF(COUNT(E24:E25)=0,"n/a",AVERAGE(E24:E25))</f>
        <v>3</v>
      </c>
      <c r="F26" s="49">
        <f>E26</f>
        <v>3</v>
      </c>
      <c r="G26" s="216"/>
      <c r="H26" s="50" t="s">
        <v>23</v>
      </c>
      <c r="I26" s="26" t="str">
        <f>D26</f>
        <v>Substantial</v>
      </c>
      <c r="J26" s="91">
        <f>IF(I26=$N$7,"n/a",IF(AND(I26=$N$5,D26=$N$6),1.5,IF(AND(I26=$N$4,D26=$N$5),2.5,IF(AND(I26=$N$3,D26=$N$4),3.5,IF(AND(I26=$N$6,D26=$N$5),1.49,IF(AND(I26=$N$5,D26=$N$4),2.49,IF(AND(I26=$N$4,D26=$N$3),3.49,E26)))))))</f>
        <v>3</v>
      </c>
      <c r="K26" s="326" t="s">
        <v>91</v>
      </c>
      <c r="L26" s="380"/>
    </row>
    <row r="27" spans="1:14" ht="20.25" customHeight="1" thickBot="1" x14ac:dyDescent="0.3">
      <c r="A27" s="130" t="s">
        <v>48</v>
      </c>
      <c r="B27" s="131"/>
      <c r="C27" s="132"/>
      <c r="D27" s="133"/>
      <c r="E27" s="133"/>
      <c r="F27" s="133"/>
      <c r="G27" s="133"/>
      <c r="H27" s="133"/>
      <c r="I27" s="133"/>
      <c r="J27" s="133"/>
      <c r="K27" s="133"/>
      <c r="L27" s="380"/>
    </row>
    <row r="28" spans="1:14" ht="30.75" customHeight="1" x14ac:dyDescent="0.25">
      <c r="A28" s="488" t="s">
        <v>65</v>
      </c>
      <c r="B28" s="489"/>
      <c r="C28" s="41"/>
      <c r="D28" s="166" t="s">
        <v>19</v>
      </c>
      <c r="E28" s="177" t="str">
        <f>IF(D28=$N$6,1,IF(D28=$N$5,2,IF(D28=$N$4,3,IF(D28=$N$3,4,"n/a"))))</f>
        <v>n/a</v>
      </c>
      <c r="F28" s="538" t="s">
        <v>16</v>
      </c>
      <c r="G28" s="539"/>
      <c r="H28" s="539"/>
      <c r="I28" s="539"/>
      <c r="J28" s="539"/>
      <c r="K28" s="540"/>
      <c r="L28" s="380"/>
    </row>
    <row r="29" spans="1:14" ht="50.25" customHeight="1" x14ac:dyDescent="0.25">
      <c r="A29" s="488" t="s">
        <v>46</v>
      </c>
      <c r="B29" s="489"/>
      <c r="C29" s="41"/>
      <c r="D29" s="48" t="s">
        <v>79</v>
      </c>
      <c r="E29" s="163">
        <f>IF(D29=$N$6,1,IF(D29=$N$5,2,IF(D29=$N$4,3,IF(D29=$N$3,4,"n/a"))))</f>
        <v>1</v>
      </c>
      <c r="F29" s="535" t="s">
        <v>16</v>
      </c>
      <c r="G29" s="536"/>
      <c r="H29" s="536"/>
      <c r="I29" s="536"/>
      <c r="J29" s="536"/>
      <c r="K29" s="537"/>
      <c r="L29" s="380"/>
    </row>
    <row r="30" spans="1:14" s="134" customFormat="1" ht="56.25" customHeight="1" x14ac:dyDescent="0.25">
      <c r="A30" s="488" t="s">
        <v>60</v>
      </c>
      <c r="B30" s="489"/>
      <c r="C30" s="41"/>
      <c r="D30" s="48" t="s">
        <v>79</v>
      </c>
      <c r="E30" s="163">
        <f>IF(D30=$N$6,1,IF(D30=$N$5,2,IF(D30=$N$4,3,IF(D30=$N$3,4,"n/a"))))</f>
        <v>1</v>
      </c>
      <c r="F30" s="482" t="s">
        <v>16</v>
      </c>
      <c r="G30" s="482"/>
      <c r="H30" s="482"/>
      <c r="I30" s="482"/>
      <c r="J30" s="482"/>
      <c r="K30" s="482"/>
      <c r="L30" s="376"/>
    </row>
    <row r="31" spans="1:14" s="105" customFormat="1" ht="36" customHeight="1" thickBot="1" x14ac:dyDescent="0.3">
      <c r="A31" s="551" t="s">
        <v>61</v>
      </c>
      <c r="B31" s="552"/>
      <c r="C31" s="185"/>
      <c r="D31" s="167" t="s">
        <v>79</v>
      </c>
      <c r="E31" s="172">
        <f>IF(D31=$N$6,1,IF(D31=$N$5,2,IF(D31=$N$4,3,IF(D31=$N$3,4,"n/a"))))</f>
        <v>1</v>
      </c>
      <c r="F31" s="553" t="s">
        <v>16</v>
      </c>
      <c r="G31" s="499"/>
      <c r="H31" s="499"/>
      <c r="I31" s="499"/>
      <c r="J31" s="499"/>
      <c r="K31" s="500"/>
      <c r="L31" s="378" t="s">
        <v>96</v>
      </c>
    </row>
    <row r="32" spans="1:14" s="105" customFormat="1" ht="25.5" customHeight="1" thickBot="1" x14ac:dyDescent="0.3">
      <c r="A32" s="188"/>
      <c r="B32" s="189"/>
      <c r="C32" s="40" t="s">
        <v>24</v>
      </c>
      <c r="D32" s="27" t="str">
        <f>IF(E32&lt;1.5,"Low",IF(E32&lt;2.5,"Moderate",IF(E32&lt;3.5,"Substantial",IF(E32&lt;4.5,"High","n/a"))))</f>
        <v>Low</v>
      </c>
      <c r="E32" s="145">
        <f>IF(COUNT(E28:E31)=0,"n/a",AVERAGE(E28:E31))</f>
        <v>1</v>
      </c>
      <c r="F32" s="28">
        <f>E32</f>
        <v>1</v>
      </c>
      <c r="G32" s="216"/>
      <c r="H32" s="29" t="s">
        <v>23</v>
      </c>
      <c r="I32" s="26" t="str">
        <f>D32</f>
        <v>Low</v>
      </c>
      <c r="J32" s="30">
        <f>IF(I32=$N$7,"n/a",IF(AND(I32=$N$5,D32=$N$6),1.5,IF(AND(I32=$N$4,D32=$N$5),2.5,IF(AND(I32=$N$3,D32=$N$4),3.5,IF(AND(I32=$N$6,D32=$N$5),1.49,IF(AND(I32=$N$5,D32=$N$4),2.49,IF(AND(I32=$N$4,D32=$N$3),3.49,E32)))))))</f>
        <v>1</v>
      </c>
      <c r="K32" s="181" t="s">
        <v>91</v>
      </c>
      <c r="L32" s="376"/>
    </row>
    <row r="33" spans="1:12" s="105" customFormat="1" ht="25.5" customHeight="1" thickBot="1" x14ac:dyDescent="0.3">
      <c r="A33" s="186" t="s">
        <v>49</v>
      </c>
      <c r="B33" s="187"/>
      <c r="C33" s="187"/>
      <c r="D33" s="187"/>
      <c r="E33" s="187"/>
      <c r="F33" s="187"/>
      <c r="G33" s="187"/>
      <c r="H33" s="187"/>
      <c r="I33" s="187"/>
      <c r="J33" s="187"/>
      <c r="K33" s="187"/>
      <c r="L33" s="376"/>
    </row>
    <row r="34" spans="1:12" s="105" customFormat="1" ht="45.75" customHeight="1" x14ac:dyDescent="0.25">
      <c r="A34" s="573" t="s">
        <v>50</v>
      </c>
      <c r="B34" s="574"/>
      <c r="C34" s="47"/>
      <c r="D34" s="48" t="s">
        <v>19</v>
      </c>
      <c r="E34" s="118" t="str">
        <f>IF(D34=$N$6,1,IF(D34=$N$5,2,IF(D34=$N$4,3,IF(D34=$N$3,4,"n/a"))))</f>
        <v>n/a</v>
      </c>
      <c r="F34" s="558" t="s">
        <v>16</v>
      </c>
      <c r="G34" s="558"/>
      <c r="H34" s="558"/>
      <c r="I34" s="558"/>
      <c r="J34" s="558"/>
      <c r="K34" s="558"/>
      <c r="L34" s="378" t="s">
        <v>96</v>
      </c>
    </row>
    <row r="35" spans="1:12" s="105" customFormat="1" ht="33" customHeight="1" x14ac:dyDescent="0.25">
      <c r="A35" s="575" t="s">
        <v>51</v>
      </c>
      <c r="B35" s="489"/>
      <c r="C35" s="47"/>
      <c r="D35" s="168" t="s">
        <v>19</v>
      </c>
      <c r="E35" s="118" t="str">
        <f>IF(D35=$N$6,1,IF(D35=$N$5,2,IF(D35=$N$4,3,IF(D35=$N$3,4,"n/a"))))</f>
        <v>n/a</v>
      </c>
      <c r="F35" s="535" t="s">
        <v>16</v>
      </c>
      <c r="G35" s="536"/>
      <c r="H35" s="536"/>
      <c r="I35" s="536"/>
      <c r="J35" s="536"/>
      <c r="K35" s="537"/>
      <c r="L35" s="376"/>
    </row>
    <row r="36" spans="1:12" s="105" customFormat="1" ht="60.75" customHeight="1" x14ac:dyDescent="0.25">
      <c r="A36" s="573" t="s">
        <v>67</v>
      </c>
      <c r="B36" s="574"/>
      <c r="C36" s="47"/>
      <c r="D36" s="168" t="s">
        <v>19</v>
      </c>
      <c r="E36" s="118" t="str">
        <f>IF(D36=$N$6,1,IF(D36=$N$5,2,IF(D36=$N$4,3,IF(D36=$N$3,4,"n/a"))))</f>
        <v>n/a</v>
      </c>
      <c r="F36" s="535" t="s">
        <v>16</v>
      </c>
      <c r="G36" s="536"/>
      <c r="H36" s="536"/>
      <c r="I36" s="536"/>
      <c r="J36" s="536"/>
      <c r="K36" s="537"/>
      <c r="L36" s="376"/>
    </row>
    <row r="37" spans="1:12" s="105" customFormat="1" ht="60.75" customHeight="1" thickBot="1" x14ac:dyDescent="0.3">
      <c r="A37" s="564" t="s">
        <v>68</v>
      </c>
      <c r="B37" s="565"/>
      <c r="C37" s="190"/>
      <c r="D37" s="167" t="s">
        <v>19</v>
      </c>
      <c r="E37" s="171" t="str">
        <f>IF(D37=$N$6,1,IF(D37=$N$5,2,IF(D37=$N$4,3,IF(D37=$N$3,4,"n/a"))))</f>
        <v>n/a</v>
      </c>
      <c r="F37" s="566" t="s">
        <v>16</v>
      </c>
      <c r="G37" s="482"/>
      <c r="H37" s="482"/>
      <c r="I37" s="482"/>
      <c r="J37" s="482"/>
      <c r="K37" s="567"/>
      <c r="L37" s="376"/>
    </row>
    <row r="38" spans="1:12" s="105" customFormat="1" ht="25.5" customHeight="1" thickBot="1" x14ac:dyDescent="0.3">
      <c r="A38" s="42"/>
      <c r="B38" s="43"/>
      <c r="C38" s="44" t="s">
        <v>24</v>
      </c>
      <c r="D38" s="27" t="str">
        <f>IF(E38&lt;1.5,"Low",IF(E38&lt;2.5,"Moderate",IF(E38&lt;3.5,"Substantial",IF(E38&lt;4.5,"High","n/a"))))</f>
        <v>n/a</v>
      </c>
      <c r="E38" s="145" t="str">
        <f>IF(COUNT(E34:E37)=0,"n/a",AVERAGE(E34:E37))</f>
        <v>n/a</v>
      </c>
      <c r="F38" s="28" t="str">
        <f>E38</f>
        <v>n/a</v>
      </c>
      <c r="G38" s="216"/>
      <c r="H38" s="29" t="s">
        <v>23</v>
      </c>
      <c r="I38" s="26" t="str">
        <f>D38</f>
        <v>n/a</v>
      </c>
      <c r="J38" s="30" t="str">
        <f>IF(I38=$N$7,"n/a",IF(AND(I38=$N$5,D38=$N$6),1.5,IF(AND(I38=$N$4,D38=$N$5),2.5,IF(AND(I38=$N$3,D38=$N$4),3.5,IF(AND(I38=$N$6,D38=$N$5),1.49,IF(AND(I38=$N$5,D38=$N$4),2.49,IF(AND(I38=$N$4,D38=$N$3),3.49,E38)))))))</f>
        <v>n/a</v>
      </c>
      <c r="K38" s="181" t="s">
        <v>91</v>
      </c>
      <c r="L38" s="376"/>
    </row>
    <row r="39" spans="1:12" s="124" customFormat="1" ht="22.5" customHeight="1" thickBot="1" x14ac:dyDescent="0.35">
      <c r="A39" s="31" t="s">
        <v>217</v>
      </c>
      <c r="B39" s="32"/>
      <c r="C39" s="33"/>
      <c r="D39" s="35"/>
      <c r="E39" s="35"/>
      <c r="F39" s="34"/>
      <c r="G39" s="135"/>
      <c r="H39" s="35"/>
      <c r="I39" s="35"/>
      <c r="J39" s="34"/>
      <c r="K39" s="136"/>
      <c r="L39" s="380"/>
    </row>
    <row r="40" spans="1:12" s="124" customFormat="1" ht="22.5" customHeight="1" x14ac:dyDescent="0.3">
      <c r="A40" s="137" t="s">
        <v>33</v>
      </c>
      <c r="B40" s="138"/>
      <c r="C40" s="138"/>
      <c r="D40" s="138"/>
      <c r="E40" s="138"/>
      <c r="F40" s="138"/>
      <c r="G40" s="138"/>
      <c r="H40" s="138"/>
      <c r="I40" s="138"/>
      <c r="J40" s="138"/>
      <c r="K40" s="138"/>
      <c r="L40" s="380"/>
    </row>
    <row r="41" spans="1:12" s="105" customFormat="1" ht="33.75" customHeight="1" x14ac:dyDescent="0.25">
      <c r="A41" s="494" t="s">
        <v>41</v>
      </c>
      <c r="B41" s="494"/>
      <c r="C41" s="38"/>
      <c r="D41" s="48" t="s">
        <v>79</v>
      </c>
      <c r="E41" s="163">
        <f>IF(D41=$N$6,1,IF(D41=$N$5,2,IF(D41=$N$4,3,IF(D41=$N$3,4,"n/a"))))</f>
        <v>1</v>
      </c>
      <c r="F41" s="499" t="s">
        <v>231</v>
      </c>
      <c r="G41" s="499"/>
      <c r="H41" s="499"/>
      <c r="I41" s="499"/>
      <c r="J41" s="499"/>
      <c r="K41" s="499"/>
      <c r="L41" s="378" t="s">
        <v>96</v>
      </c>
    </row>
    <row r="42" spans="1:12" s="105" customFormat="1" ht="44.25" customHeight="1" thickBot="1" x14ac:dyDescent="0.3">
      <c r="A42" s="561" t="s">
        <v>139</v>
      </c>
      <c r="B42" s="562"/>
      <c r="C42" s="191"/>
      <c r="D42" s="48" t="s">
        <v>4</v>
      </c>
      <c r="E42" s="163">
        <f>IF(D42=$N$6,1,IF(D42=$N$5,2,IF(D42=$N$4,3,IF(D42=$N$3,4,"n/a"))))</f>
        <v>4</v>
      </c>
      <c r="F42" s="499" t="s">
        <v>232</v>
      </c>
      <c r="G42" s="499"/>
      <c r="H42" s="499"/>
      <c r="I42" s="499"/>
      <c r="J42" s="499"/>
      <c r="K42" s="500"/>
      <c r="L42" s="376"/>
    </row>
    <row r="43" spans="1:12" s="124" customFormat="1" ht="30" customHeight="1" thickBot="1" x14ac:dyDescent="0.35">
      <c r="A43" s="559"/>
      <c r="B43" s="560"/>
      <c r="C43" s="36" t="s">
        <v>24</v>
      </c>
      <c r="D43" s="27" t="str">
        <f>IF(E43&lt;1.5,"Low",IF(E43&lt;2.5,"Moderate",IF(E43&lt;3.5,"Substantial",IF(E43&lt;4.5,"High","n/a"))))</f>
        <v>Substantial</v>
      </c>
      <c r="E43" s="145">
        <f>IF(COUNT(E41:E42)=0,"n/a",AVERAGE(E41:E42))</f>
        <v>2.5</v>
      </c>
      <c r="F43" s="28">
        <f>E43</f>
        <v>2.5</v>
      </c>
      <c r="G43" s="216"/>
      <c r="H43" s="29" t="s">
        <v>23</v>
      </c>
      <c r="I43" s="26" t="str">
        <f>D43</f>
        <v>Substantial</v>
      </c>
      <c r="J43" s="30">
        <f>IF(I43=$N$7,"n/a",IF(AND(I43=$N$5,D43=$N$6),1.5,IF(AND(I43=$N$4,D43=$N$5),2.5,IF(AND(I43=$N$3,D43=$N$4),3.5,IF(AND(I43=$N$6,D43=$N$5),1.49,IF(AND(I43=$N$5,D43=$N$4),2.49,IF(AND(I43=$N$4,D43=$N$3),3.49,E43)))))))</f>
        <v>2.5</v>
      </c>
      <c r="K43" s="192" t="s">
        <v>91</v>
      </c>
      <c r="L43" s="383"/>
    </row>
    <row r="44" spans="1:12" s="124" customFormat="1" ht="18" customHeight="1" thickBot="1" x14ac:dyDescent="0.35">
      <c r="A44" s="139" t="s">
        <v>34</v>
      </c>
      <c r="B44" s="140"/>
      <c r="C44" s="140"/>
      <c r="D44" s="141"/>
      <c r="E44" s="141"/>
      <c r="F44" s="141"/>
      <c r="G44" s="141"/>
      <c r="H44" s="141"/>
      <c r="I44" s="141"/>
      <c r="J44" s="141"/>
      <c r="K44" s="141"/>
      <c r="L44" s="380"/>
    </row>
    <row r="45" spans="1:12" s="105" customFormat="1" ht="30.75" customHeight="1" x14ac:dyDescent="0.3">
      <c r="A45" s="494" t="s">
        <v>140</v>
      </c>
      <c r="B45" s="589"/>
      <c r="C45" s="38"/>
      <c r="D45" s="48" t="s">
        <v>79</v>
      </c>
      <c r="E45" s="163">
        <f>IF(D45=$N$6,1,IF(D45=$N$5,2,IF(D45=$N$4,3,IF(D45=$N$3,4,"n/a"))))</f>
        <v>1</v>
      </c>
      <c r="F45" s="538" t="s">
        <v>16</v>
      </c>
      <c r="G45" s="539"/>
      <c r="H45" s="539"/>
      <c r="I45" s="539"/>
      <c r="J45" s="539"/>
      <c r="K45" s="540"/>
      <c r="L45" s="376"/>
    </row>
    <row r="46" spans="1:12" s="105" customFormat="1" ht="21" customHeight="1" x14ac:dyDescent="0.25">
      <c r="A46" s="563" t="s">
        <v>39</v>
      </c>
      <c r="B46" s="491"/>
      <c r="C46" s="38"/>
      <c r="D46" s="48" t="s">
        <v>79</v>
      </c>
      <c r="E46" s="163">
        <f>IF(D46=$N$6,1,IF(D46=$N$5,2,IF(D46=$N$4,3,IF(D46=$N$3,4,"n/a"))))</f>
        <v>1</v>
      </c>
      <c r="F46" s="542" t="s">
        <v>16</v>
      </c>
      <c r="G46" s="542"/>
      <c r="H46" s="542"/>
      <c r="I46" s="542"/>
      <c r="J46" s="542"/>
      <c r="K46" s="542"/>
      <c r="L46" s="376"/>
    </row>
    <row r="47" spans="1:12" s="105" customFormat="1" ht="20.25" customHeight="1" x14ac:dyDescent="0.25">
      <c r="A47" s="563" t="s">
        <v>142</v>
      </c>
      <c r="B47" s="491"/>
      <c r="C47" s="38"/>
      <c r="D47" s="48" t="s">
        <v>79</v>
      </c>
      <c r="E47" s="163">
        <f>IF(D47=$N$6,1,IF(D47=$N$5,2,IF(D47=$N$4,3,IF(D47=$N$3,4,"n/a"))))</f>
        <v>1</v>
      </c>
      <c r="F47" s="536" t="s">
        <v>16</v>
      </c>
      <c r="G47" s="536"/>
      <c r="H47" s="536"/>
      <c r="I47" s="536"/>
      <c r="J47" s="536"/>
      <c r="K47" s="536"/>
      <c r="L47" s="376"/>
    </row>
    <row r="48" spans="1:12" s="105" customFormat="1" ht="31.5" customHeight="1" thickBot="1" x14ac:dyDescent="0.3">
      <c r="A48" s="561" t="s">
        <v>143</v>
      </c>
      <c r="B48" s="562"/>
      <c r="C48" s="193"/>
      <c r="D48" s="167" t="s">
        <v>79</v>
      </c>
      <c r="E48" s="163">
        <f>IF(D48=$N$6,1,IF(D48=$N$5,2,IF(D48=$N$4,3,IF(D48=$N$3,4,"n/a"))))</f>
        <v>1</v>
      </c>
      <c r="F48" s="483" t="s">
        <v>16</v>
      </c>
      <c r="G48" s="484"/>
      <c r="H48" s="484"/>
      <c r="I48" s="484"/>
      <c r="J48" s="484"/>
      <c r="K48" s="485"/>
      <c r="L48" s="376"/>
    </row>
    <row r="49" spans="1:19" s="124" customFormat="1" ht="32.25" customHeight="1" thickBot="1" x14ac:dyDescent="0.35">
      <c r="A49" s="560"/>
      <c r="B49" s="590"/>
      <c r="C49" s="36" t="s">
        <v>24</v>
      </c>
      <c r="D49" s="27" t="str">
        <f>IF(E49&lt;1.5,"Low",IF(E49&lt;2.5,"Moderate",IF(E49&lt;3.5,"Substantial",IF(E49&lt;4.5,"High","n/a"))))</f>
        <v>Low</v>
      </c>
      <c r="E49" s="145">
        <f>IF(COUNT(E45:E48)=0,"n/a",AVERAGE(E45:E48))</f>
        <v>1</v>
      </c>
      <c r="F49" s="49">
        <f>E49</f>
        <v>1</v>
      </c>
      <c r="G49" s="216"/>
      <c r="H49" s="50" t="s">
        <v>23</v>
      </c>
      <c r="I49" s="325" t="str">
        <f>D49</f>
        <v>Low</v>
      </c>
      <c r="J49" s="91">
        <f>IF(I49=$N$7,"n/a",IF(AND(I49=$N$5,D49=$N$6),1.5,IF(AND(I49=$N$4,D49=$N$5),2.5,IF(AND(I49=$N$3,D49=$N$4),3.5,IF(AND(I49=$N$6,D49=$N$5),1.49,IF(AND(I49=$N$5,D49=$N$4),2.49,IF(AND(I49=$N$4,D49=$N$3),3.49,E49)))))))</f>
        <v>1</v>
      </c>
      <c r="K49" s="92" t="s">
        <v>91</v>
      </c>
      <c r="L49" s="380"/>
    </row>
    <row r="50" spans="1:19" s="124" customFormat="1" ht="22.5" customHeight="1" thickBot="1" x14ac:dyDescent="0.35">
      <c r="A50" s="142" t="s">
        <v>146</v>
      </c>
      <c r="B50" s="143"/>
      <c r="C50" s="169"/>
      <c r="D50" s="169"/>
      <c r="E50" s="170"/>
      <c r="F50" s="144"/>
      <c r="G50" s="144"/>
      <c r="H50" s="144"/>
      <c r="I50" s="144"/>
      <c r="J50" s="144"/>
      <c r="K50" s="144"/>
      <c r="L50" s="380"/>
    </row>
    <row r="51" spans="1:19" s="124" customFormat="1" ht="34.5" customHeight="1" x14ac:dyDescent="0.3">
      <c r="A51" s="503" t="s">
        <v>145</v>
      </c>
      <c r="B51" s="503"/>
      <c r="C51" s="193"/>
      <c r="D51" s="168" t="s">
        <v>42</v>
      </c>
      <c r="E51" s="162">
        <f>IF(D51=$N$6,1,IF(D51=$N$5,2,IF(D51=$N$4,3,IF(D51=$N$3,4,"n/a"))))</f>
        <v>2</v>
      </c>
      <c r="F51" s="538" t="s">
        <v>233</v>
      </c>
      <c r="G51" s="539"/>
      <c r="H51" s="539"/>
      <c r="I51" s="539"/>
      <c r="J51" s="539"/>
      <c r="K51" s="540"/>
      <c r="L51" s="380"/>
    </row>
    <row r="52" spans="1:19" s="124" customFormat="1" ht="34.5" customHeight="1" x14ac:dyDescent="0.3">
      <c r="A52" s="503" t="s">
        <v>141</v>
      </c>
      <c r="B52" s="503"/>
      <c r="C52" s="193"/>
      <c r="D52" s="168" t="s">
        <v>42</v>
      </c>
      <c r="E52" s="162">
        <f>IF(D52=$N$6,1,IF(D52=$N$5,2,IF(D52=$N$4,3,IF(D52=$N$3,4,"n/a"))))</f>
        <v>2</v>
      </c>
      <c r="F52" s="535" t="s">
        <v>234</v>
      </c>
      <c r="G52" s="536"/>
      <c r="H52" s="536"/>
      <c r="I52" s="536"/>
      <c r="J52" s="536"/>
      <c r="K52" s="537"/>
      <c r="L52" s="380"/>
    </row>
    <row r="53" spans="1:19" s="124" customFormat="1" ht="24.75" customHeight="1" x14ac:dyDescent="0.3">
      <c r="A53" s="494" t="s">
        <v>144</v>
      </c>
      <c r="B53" s="494"/>
      <c r="C53" s="38"/>
      <c r="D53" s="168" t="s">
        <v>42</v>
      </c>
      <c r="E53" s="162">
        <f>IF(D53=$N$6,1,IF(D53=$N$5,2,IF(D53=$N$4,3,IF(D53=$N$3,4,"n/a"))))</f>
        <v>2</v>
      </c>
      <c r="F53" s="541" t="s">
        <v>235</v>
      </c>
      <c r="G53" s="542"/>
      <c r="H53" s="542"/>
      <c r="I53" s="542"/>
      <c r="J53" s="542"/>
      <c r="K53" s="543"/>
      <c r="L53" s="380"/>
    </row>
    <row r="54" spans="1:19" s="124" customFormat="1" ht="21" customHeight="1" x14ac:dyDescent="0.3">
      <c r="A54" s="503" t="s">
        <v>147</v>
      </c>
      <c r="B54" s="503"/>
      <c r="C54" s="193"/>
      <c r="D54" s="48" t="s">
        <v>42</v>
      </c>
      <c r="E54" s="171">
        <f>IF(D54=$N$6,1,IF(D54=$N$5,2,IF(D54=$N$4,3,IF(D54=$N$3,4,"n/a"))))</f>
        <v>2</v>
      </c>
      <c r="F54" s="535" t="s">
        <v>236</v>
      </c>
      <c r="G54" s="499"/>
      <c r="H54" s="536"/>
      <c r="I54" s="536"/>
      <c r="J54" s="536"/>
      <c r="K54" s="537"/>
      <c r="L54" s="380"/>
    </row>
    <row r="55" spans="1:19" s="124" customFormat="1" ht="34.5" customHeight="1" thickBot="1" x14ac:dyDescent="0.35">
      <c r="A55" s="494" t="s">
        <v>148</v>
      </c>
      <c r="B55" s="494"/>
      <c r="C55" s="38"/>
      <c r="D55" s="168" t="s">
        <v>19</v>
      </c>
      <c r="E55" s="163" t="str">
        <f>IF(D55=$N$6,1,IF(D55=$N$5,2,IF(D55=$N$4,3,IF(D55=$N$3,4,"n/a"))))</f>
        <v>n/a</v>
      </c>
      <c r="F55" s="536" t="s">
        <v>16</v>
      </c>
      <c r="G55" s="536"/>
      <c r="H55" s="536"/>
      <c r="I55" s="536"/>
      <c r="J55" s="499"/>
      <c r="K55" s="536"/>
      <c r="L55" s="380"/>
    </row>
    <row r="56" spans="1:19" s="105" customFormat="1" ht="28.5" customHeight="1" thickBot="1" x14ac:dyDescent="0.3">
      <c r="A56" s="554"/>
      <c r="B56" s="555"/>
      <c r="C56" s="36" t="s">
        <v>24</v>
      </c>
      <c r="D56" s="27" t="str">
        <f>IF(E56&lt;1.5,"Low",IF(E56&lt;2.5,"Moderate",IF(E56&lt;3.5,"Substantial",IF(E56&lt;4.5,"High","n/a"))))</f>
        <v>Moderate</v>
      </c>
      <c r="E56" s="145">
        <f>IF(COUNT(E51:E55)=0,"n/a",AVERAGE(E51:E55))</f>
        <v>2</v>
      </c>
      <c r="F56" s="28">
        <f>E56</f>
        <v>2</v>
      </c>
      <c r="G56" s="216"/>
      <c r="H56" s="29" t="s">
        <v>23</v>
      </c>
      <c r="I56" s="26" t="str">
        <f>D56</f>
        <v>Moderate</v>
      </c>
      <c r="J56" s="30">
        <f>IF(I56=$N$7,"n/a",IF(AND(I56=$N$5,D56=$N$6),1.5,IF(AND(I56=$N$4,D56=$N$5),2.5,IF(AND(I56=$N$3,D56=$N$4),3.5,IF(AND(I56=$N$6,D56=$N$5),1.49,IF(AND(I56=$N$5,D56=$N$4),2.49,IF(AND(I56=$N$4,D56=$N$3),3.49,E56)))))))</f>
        <v>2</v>
      </c>
      <c r="K56" s="89" t="s">
        <v>91</v>
      </c>
      <c r="L56" s="376"/>
    </row>
    <row r="57" spans="1:19" s="105" customFormat="1" ht="19.5" customHeight="1" thickBot="1" x14ac:dyDescent="0.3">
      <c r="A57" s="139" t="s">
        <v>149</v>
      </c>
      <c r="B57" s="146"/>
      <c r="C57" s="194"/>
      <c r="D57" s="147"/>
      <c r="E57" s="147"/>
      <c r="F57" s="147"/>
      <c r="G57" s="147"/>
      <c r="H57" s="147"/>
      <c r="I57" s="147"/>
      <c r="J57" s="147"/>
      <c r="K57" s="147"/>
      <c r="L57" s="376"/>
    </row>
    <row r="58" spans="1:19" s="124" customFormat="1" ht="32.25" customHeight="1" x14ac:dyDescent="0.3">
      <c r="A58" s="494" t="s">
        <v>38</v>
      </c>
      <c r="B58" s="494"/>
      <c r="C58" s="38"/>
      <c r="D58" s="166" t="s">
        <v>79</v>
      </c>
      <c r="E58" s="171">
        <f>IF(D58=$N$6,1,IF(D58=$N$5,2,IF(D58=$N$4,3,IF(D58=$N$3,4,"n/a"))))</f>
        <v>1</v>
      </c>
      <c r="F58" s="548" t="s">
        <v>16</v>
      </c>
      <c r="G58" s="549"/>
      <c r="H58" s="549"/>
      <c r="I58" s="549"/>
      <c r="J58" s="549"/>
      <c r="K58" s="550"/>
      <c r="L58" s="380"/>
    </row>
    <row r="59" spans="1:19" s="124" customFormat="1" ht="32.25" customHeight="1" x14ac:dyDescent="0.3">
      <c r="A59" s="494" t="s">
        <v>35</v>
      </c>
      <c r="B59" s="494"/>
      <c r="C59" s="38"/>
      <c r="D59" s="48" t="s">
        <v>19</v>
      </c>
      <c r="E59" s="118" t="str">
        <f>IF(D59=$N$6,1,IF(D59=$N$5,2,IF(D59=$N$4,3,IF(D59=$N$3,4,"n/a"))))</f>
        <v>n/a</v>
      </c>
      <c r="F59" s="535" t="s">
        <v>16</v>
      </c>
      <c r="G59" s="536"/>
      <c r="H59" s="536"/>
      <c r="I59" s="536"/>
      <c r="J59" s="536"/>
      <c r="K59" s="537"/>
      <c r="L59" s="380"/>
    </row>
    <row r="60" spans="1:19" s="124" customFormat="1" ht="48.75" customHeight="1" x14ac:dyDescent="0.3">
      <c r="A60" s="494" t="s">
        <v>36</v>
      </c>
      <c r="B60" s="494"/>
      <c r="C60" s="38"/>
      <c r="D60" s="48" t="s">
        <v>79</v>
      </c>
      <c r="E60" s="118">
        <f>IF(D60=$N$6,1,IF(D60=$N$5,2,IF(D60=$N$4,3,IF(D60=$N$3,4,"n/a"))))</f>
        <v>1</v>
      </c>
      <c r="F60" s="535" t="s">
        <v>16</v>
      </c>
      <c r="G60" s="536"/>
      <c r="H60" s="536"/>
      <c r="I60" s="536"/>
      <c r="J60" s="536"/>
      <c r="K60" s="537"/>
      <c r="L60" s="384"/>
    </row>
    <row r="61" spans="1:19" s="124" customFormat="1" ht="21" customHeight="1" thickBot="1" x14ac:dyDescent="0.35">
      <c r="A61" s="503" t="s">
        <v>37</v>
      </c>
      <c r="B61" s="503"/>
      <c r="C61" s="193"/>
      <c r="D61" s="176" t="s">
        <v>42</v>
      </c>
      <c r="E61" s="175">
        <f>IF(D61=$N$6,1,IF(D61=$N$5,2,IF(D61=$N$4,3,IF(D61=$N$3,4,"n/a"))))</f>
        <v>2</v>
      </c>
      <c r="F61" s="483" t="s">
        <v>16</v>
      </c>
      <c r="G61" s="484"/>
      <c r="H61" s="484"/>
      <c r="I61" s="484"/>
      <c r="J61" s="484"/>
      <c r="K61" s="485"/>
      <c r="L61" s="380"/>
    </row>
    <row r="62" spans="1:19" s="105" customFormat="1" ht="28.5" customHeight="1" thickBot="1" x14ac:dyDescent="0.3">
      <c r="A62" s="504"/>
      <c r="B62" s="505"/>
      <c r="C62" s="36" t="s">
        <v>24</v>
      </c>
      <c r="D62" s="27" t="str">
        <f>IF(E62&lt;1.5,"Low",IF(E62&lt;2.5,"Moderate",IF(E62&lt;3.5,"Substantial",IF(E62&lt;4.5,"High","n/a"))))</f>
        <v>Low</v>
      </c>
      <c r="E62" s="145">
        <f>IF(COUNT(E58:E61)=0,"n/a",AVERAGE(E58:E61))</f>
        <v>1.3333333333333333</v>
      </c>
      <c r="F62" s="49">
        <f>E62</f>
        <v>1.3333333333333333</v>
      </c>
      <c r="G62" s="120"/>
      <c r="H62" s="50" t="s">
        <v>23</v>
      </c>
      <c r="I62" s="325" t="str">
        <f>D62</f>
        <v>Low</v>
      </c>
      <c r="J62" s="91">
        <f>IF(I62=$N$7,"n/a",IF(AND(I62=$N$5,D62=$N$6),1.5,IF(AND(I62=$N$4,D62=$N$5),2.5,IF(AND(I62=$N$3,D62=$N$4),3.5,IF(AND(I62=$N$6,D62=$N$5),1.49,IF(AND(I62=$N$5,D62=$N$4),2.49,IF(AND(I62=$N$4,D62=$N$3),3.49,E62)))))))</f>
        <v>1.3333333333333333</v>
      </c>
      <c r="K62" s="326" t="s">
        <v>91</v>
      </c>
      <c r="L62" s="376"/>
    </row>
    <row r="63" spans="1:19" s="105" customFormat="1" ht="21.75" customHeight="1" x14ac:dyDescent="0.25">
      <c r="A63" s="198" t="s">
        <v>150</v>
      </c>
      <c r="B63" s="138"/>
      <c r="C63" s="146"/>
      <c r="D63" s="138"/>
      <c r="E63" s="194"/>
      <c r="F63" s="194"/>
      <c r="G63" s="194"/>
      <c r="H63" s="194"/>
      <c r="I63" s="194"/>
      <c r="J63" s="194"/>
      <c r="K63" s="197"/>
      <c r="L63" s="376"/>
    </row>
    <row r="64" spans="1:19" s="148" customFormat="1" ht="47.25" customHeight="1" x14ac:dyDescent="0.25">
      <c r="A64" s="490" t="s">
        <v>151</v>
      </c>
      <c r="B64" s="491"/>
      <c r="C64" s="38"/>
      <c r="D64" s="195" t="s">
        <v>79</v>
      </c>
      <c r="E64" s="196">
        <f>IF(D64=$N$6,1,IF(D64=$N$5,2,IF(D64=$N$4,3,IF(D64=$N$3,4,"n/a"))))</f>
        <v>1</v>
      </c>
      <c r="F64" s="482" t="s">
        <v>16</v>
      </c>
      <c r="G64" s="482"/>
      <c r="H64" s="482"/>
      <c r="I64" s="482"/>
      <c r="J64" s="482"/>
      <c r="K64" s="482"/>
      <c r="L64" s="385"/>
      <c r="S64" s="149"/>
    </row>
    <row r="65" spans="1:19" s="148" customFormat="1" ht="48.75" customHeight="1" thickBot="1" x14ac:dyDescent="0.3">
      <c r="A65" s="495" t="s">
        <v>152</v>
      </c>
      <c r="B65" s="496"/>
      <c r="C65" s="191"/>
      <c r="D65" s="165" t="s">
        <v>79</v>
      </c>
      <c r="E65" s="163">
        <f>IF(D65=$N$6,1,IF(D65=$N$5,2,IF(D65=$N$4,3,IF(D65=$N$3,4,"n/a"))))</f>
        <v>1</v>
      </c>
      <c r="F65" s="483" t="s">
        <v>16</v>
      </c>
      <c r="G65" s="484"/>
      <c r="H65" s="484"/>
      <c r="I65" s="484"/>
      <c r="J65" s="484"/>
      <c r="K65" s="485"/>
      <c r="L65" s="385"/>
      <c r="S65" s="149"/>
    </row>
    <row r="66" spans="1:19" s="148" customFormat="1" ht="30" customHeight="1" thickBot="1" x14ac:dyDescent="0.3">
      <c r="A66" s="492"/>
      <c r="B66" s="493"/>
      <c r="C66" s="36" t="s">
        <v>24</v>
      </c>
      <c r="D66" s="27" t="str">
        <f>IF(E66&lt;1.5,"Low",IF(E66&lt;2.5,"Moderate",IF(E66&lt;3.5,"Substantial",IF(E66&lt;4.5,"High","n/a"))))</f>
        <v>Low</v>
      </c>
      <c r="E66" s="145">
        <f>IF(COUNT(E64:E65)=0,"n/a",AVERAGE(E64:E65))</f>
        <v>1</v>
      </c>
      <c r="F66" s="49">
        <f>E66</f>
        <v>1</v>
      </c>
      <c r="G66" s="216"/>
      <c r="H66" s="50" t="s">
        <v>23</v>
      </c>
      <c r="I66" s="325" t="str">
        <f>D66</f>
        <v>Low</v>
      </c>
      <c r="J66" s="91">
        <f>IF(I66=$N$7,"n/a",IF(AND(I66=$N$5,D66=$N$6),1.5,IF(AND(I66=$N$4,D66=$N$5),2.5,IF(AND(I66=$N$3,D66=$N$4),3.5,IF(AND(I66=$N$6,D66=$N$5),1.49,IF(AND(I66=$N$5,D66=$N$4),2.49,IF(AND(I66=$N$4,D66=$N$3),3.49,E66)))))))</f>
        <v>1</v>
      </c>
      <c r="K66" s="327" t="s">
        <v>91</v>
      </c>
      <c r="L66" s="386"/>
      <c r="S66" s="149"/>
    </row>
    <row r="67" spans="1:19" s="152" customFormat="1" ht="24.75" customHeight="1" thickBot="1" x14ac:dyDescent="0.3">
      <c r="A67" s="150" t="s">
        <v>218</v>
      </c>
      <c r="B67" s="151"/>
      <c r="C67" s="208"/>
      <c r="D67" s="208"/>
      <c r="E67" s="208"/>
      <c r="F67" s="208"/>
      <c r="G67" s="208"/>
      <c r="H67" s="208"/>
      <c r="I67" s="208"/>
      <c r="J67" s="208"/>
      <c r="K67" s="209"/>
      <c r="L67" s="378" t="s">
        <v>96</v>
      </c>
      <c r="Q67" s="153"/>
    </row>
    <row r="68" spans="1:19" s="152" customFormat="1" ht="23.25" customHeight="1" x14ac:dyDescent="0.25">
      <c r="A68" s="202" t="s">
        <v>211</v>
      </c>
      <c r="B68" s="203"/>
      <c r="C68" s="205"/>
      <c r="D68" s="206"/>
      <c r="E68" s="206"/>
      <c r="F68" s="206"/>
      <c r="G68" s="206"/>
      <c r="H68" s="206"/>
      <c r="I68" s="206"/>
      <c r="J68" s="206"/>
      <c r="K68" s="207"/>
      <c r="L68" s="385"/>
    </row>
    <row r="69" spans="1:19" s="152" customFormat="1" ht="24.75" customHeight="1" x14ac:dyDescent="0.25">
      <c r="A69" s="517" t="s">
        <v>52</v>
      </c>
      <c r="B69" s="588"/>
      <c r="C69" s="224"/>
      <c r="D69" s="225" t="s">
        <v>42</v>
      </c>
      <c r="E69" s="118">
        <f>IF(D69=$N$6,1,IF(D69=$N$5,2,IF(D69=$N$4,3,IF(D69=$N$3,4,"n/a"))))</f>
        <v>2</v>
      </c>
      <c r="F69" s="512" t="s">
        <v>237</v>
      </c>
      <c r="G69" s="512"/>
      <c r="H69" s="512"/>
      <c r="I69" s="512"/>
      <c r="J69" s="512"/>
      <c r="K69" s="512"/>
      <c r="L69" s="378" t="s">
        <v>96</v>
      </c>
    </row>
    <row r="70" spans="1:19" s="152" customFormat="1" ht="33.75" customHeight="1" thickBot="1" x14ac:dyDescent="0.3">
      <c r="A70" s="497" t="s">
        <v>53</v>
      </c>
      <c r="B70" s="498"/>
      <c r="C70" s="226"/>
      <c r="D70" s="165" t="s">
        <v>42</v>
      </c>
      <c r="E70" s="175">
        <f>IF(D70=$N$6,1,IF(D70=$N$5,2,IF(D70=$N$4,3,IF(D70=$N$3,4,"n/a"))))</f>
        <v>2</v>
      </c>
      <c r="F70" s="506" t="s">
        <v>238</v>
      </c>
      <c r="G70" s="507"/>
      <c r="H70" s="506"/>
      <c r="I70" s="506"/>
      <c r="J70" s="507"/>
      <c r="K70" s="506"/>
      <c r="L70" s="378" t="s">
        <v>96</v>
      </c>
    </row>
    <row r="71" spans="1:19" s="152" customFormat="1" ht="27" customHeight="1" thickBot="1" x14ac:dyDescent="0.3">
      <c r="A71" s="501"/>
      <c r="B71" s="502"/>
      <c r="C71" s="212" t="s">
        <v>24</v>
      </c>
      <c r="D71" s="46" t="str">
        <f>IF(E71&lt;1.5,"Low",IF(E71&lt;2.5,"Moderate",IF(E71&lt;3.5,"Substantial",IF(E71&lt;4.5,"High","n/a"))))</f>
        <v>Moderate</v>
      </c>
      <c r="E71" s="145">
        <f>IF(COUNT(E69:E70)=0,"n/a",AVERAGE(E69:E70))</f>
        <v>2</v>
      </c>
      <c r="F71" s="28">
        <f>E71</f>
        <v>2</v>
      </c>
      <c r="G71" s="216"/>
      <c r="H71" s="29" t="s">
        <v>23</v>
      </c>
      <c r="I71" s="26" t="str">
        <f>D71</f>
        <v>Moderate</v>
      </c>
      <c r="J71" s="30">
        <f>IF(I71=$N$7,"n/a",IF(AND(I71=$N$5,D71=$N$6),1.5,IF(AND(I71=$N$4,D71=$N$5),2.5,IF(AND(I71=$N$3,D71=$N$4),3.5,IF(AND(I71=$N$6,D71=$N$5),1.49,IF(AND(I71=$N$5,D71=$N$4),2.49,IF(AND(I71=$N$4,D71=$N$3),3.49,E71)))))))</f>
        <v>2</v>
      </c>
      <c r="K71" s="181" t="s">
        <v>91</v>
      </c>
      <c r="L71" s="385"/>
    </row>
    <row r="72" spans="1:19" s="152" customFormat="1" ht="20.25" customHeight="1" x14ac:dyDescent="0.25">
      <c r="A72" s="313" t="s">
        <v>43</v>
      </c>
      <c r="B72" s="205"/>
      <c r="C72" s="206"/>
      <c r="D72" s="199"/>
      <c r="E72" s="200"/>
      <c r="F72" s="206"/>
      <c r="G72" s="206"/>
      <c r="H72" s="206"/>
      <c r="I72" s="206"/>
      <c r="J72" s="206"/>
      <c r="K72" s="207"/>
      <c r="L72" s="385"/>
    </row>
    <row r="73" spans="1:19" s="152" customFormat="1" ht="36" customHeight="1" x14ac:dyDescent="0.25">
      <c r="A73" s="486" t="s">
        <v>74</v>
      </c>
      <c r="B73" s="487"/>
      <c r="C73" s="227"/>
      <c r="D73" s="168" t="s">
        <v>42</v>
      </c>
      <c r="E73" s="118">
        <f>IF(D73=$N$6,1,IF(D73=$N$5,2,IF(D73=$N$4,3,IF(D73=$N$3,4,"n/a"))))</f>
        <v>2</v>
      </c>
      <c r="F73" s="593" t="s">
        <v>239</v>
      </c>
      <c r="G73" s="506"/>
      <c r="H73" s="506"/>
      <c r="I73" s="506"/>
      <c r="J73" s="506"/>
      <c r="K73" s="594"/>
      <c r="L73" s="378"/>
    </row>
    <row r="74" spans="1:19" s="152" customFormat="1" ht="33.75" customHeight="1" thickBot="1" x14ac:dyDescent="0.3">
      <c r="A74" s="497" t="s">
        <v>57</v>
      </c>
      <c r="B74" s="498"/>
      <c r="C74" s="228"/>
      <c r="D74" s="167" t="s">
        <v>42</v>
      </c>
      <c r="E74" s="175">
        <f>IF(D74=$N$6,1,IF(D74=$N$5,2,IF(D74=$N$4,3,IF(D74=$N$3,4,"n/a"))))</f>
        <v>2</v>
      </c>
      <c r="F74" s="585" t="s">
        <v>240</v>
      </c>
      <c r="G74" s="586"/>
      <c r="H74" s="586"/>
      <c r="I74" s="586"/>
      <c r="J74" s="586"/>
      <c r="K74" s="606"/>
      <c r="L74" s="378" t="s">
        <v>96</v>
      </c>
    </row>
    <row r="75" spans="1:19" s="152" customFormat="1" ht="25.5" customHeight="1" thickBot="1" x14ac:dyDescent="0.3">
      <c r="A75" s="513"/>
      <c r="B75" s="514"/>
      <c r="C75" s="45" t="s">
        <v>24</v>
      </c>
      <c r="D75" s="27" t="str">
        <f>IF(E75&lt;1.5,"Low",IF(E75&lt;2.5,"Moderate",IF(E75&lt;3.5,"Substantial",IF(E75&lt;4.5,"High","n/a"))))</f>
        <v>Moderate</v>
      </c>
      <c r="E75" s="145">
        <f>IF(COUNT(E73:E74)=0,"n/a",AVERAGE(E73:E74))</f>
        <v>2</v>
      </c>
      <c r="F75" s="49">
        <f>E75</f>
        <v>2</v>
      </c>
      <c r="G75" s="216"/>
      <c r="H75" s="50" t="s">
        <v>23</v>
      </c>
      <c r="I75" s="325" t="str">
        <f>D75</f>
        <v>Moderate</v>
      </c>
      <c r="J75" s="91">
        <f>IF(I75=$N$7,"n/a",IF(AND(I75=$N$5,D75=$N$6),1.5,IF(AND(I75=$N$4,D75=$N$5),2.5,IF(AND(I75=$N$3,D75=$N$4),3.5,IF(AND(I75=$N$6,D75=$N$5),1.49,IF(AND(I75=$N$5,D75=$N$4),2.49,IF(AND(I75=$N$4,D75=$N$3),3.49,E75)))))))</f>
        <v>2</v>
      </c>
      <c r="K75" s="92" t="s">
        <v>91</v>
      </c>
      <c r="L75" s="385"/>
    </row>
    <row r="76" spans="1:19" s="152" customFormat="1" ht="21" customHeight="1" x14ac:dyDescent="0.25">
      <c r="A76" s="202" t="s">
        <v>54</v>
      </c>
      <c r="B76" s="203"/>
      <c r="C76" s="199"/>
      <c r="D76" s="199"/>
      <c r="E76" s="199"/>
      <c r="F76" s="199"/>
      <c r="G76" s="199"/>
      <c r="H76" s="199"/>
      <c r="I76" s="199"/>
      <c r="J76" s="199"/>
      <c r="K76" s="201"/>
      <c r="L76" s="385"/>
    </row>
    <row r="77" spans="1:19" s="152" customFormat="1" ht="35.25" customHeight="1" x14ac:dyDescent="0.25">
      <c r="A77" s="517" t="s">
        <v>55</v>
      </c>
      <c r="B77" s="588"/>
      <c r="C77" s="229"/>
      <c r="D77" s="168" t="s">
        <v>79</v>
      </c>
      <c r="E77" s="118">
        <f>IF(D77=$N$6,1,IF(D77=$N$5,2,IF(D77=$N$4,3,IF(D77=$N$3,4,"n/a"))))</f>
        <v>1</v>
      </c>
      <c r="F77" s="512" t="s">
        <v>241</v>
      </c>
      <c r="G77" s="512"/>
      <c r="H77" s="512"/>
      <c r="I77" s="512"/>
      <c r="J77" s="512"/>
      <c r="K77" s="512"/>
      <c r="L77" s="385"/>
    </row>
    <row r="78" spans="1:19" s="152" customFormat="1" ht="26.25" customHeight="1" x14ac:dyDescent="0.25">
      <c r="A78" s="517" t="s">
        <v>56</v>
      </c>
      <c r="B78" s="518"/>
      <c r="C78" s="227"/>
      <c r="D78" s="48" t="s">
        <v>79</v>
      </c>
      <c r="E78" s="118">
        <f>IF(D78=$N$6,1,IF(D78=$N$5,2,IF(D78=$N$4,3,IF(D78=$N$3,4,"n/a"))))</f>
        <v>1</v>
      </c>
      <c r="F78" s="506" t="s">
        <v>16</v>
      </c>
      <c r="G78" s="506"/>
      <c r="H78" s="506"/>
      <c r="I78" s="506"/>
      <c r="J78" s="506"/>
      <c r="K78" s="506"/>
      <c r="L78" s="378" t="s">
        <v>96</v>
      </c>
    </row>
    <row r="79" spans="1:19" s="152" customFormat="1" ht="24" customHeight="1" thickBot="1" x14ac:dyDescent="0.3">
      <c r="A79" s="517" t="s">
        <v>75</v>
      </c>
      <c r="B79" s="518"/>
      <c r="C79" s="230"/>
      <c r="D79" s="167" t="s">
        <v>79</v>
      </c>
      <c r="E79" s="175">
        <f>IF(D79=$N$6,1,IF(D79=$N$5,2,IF(D79=$N$4,3,IF(D79=$N$3,4,"n/a"))))</f>
        <v>1</v>
      </c>
      <c r="F79" s="506" t="s">
        <v>16</v>
      </c>
      <c r="G79" s="507"/>
      <c r="H79" s="506"/>
      <c r="I79" s="506"/>
      <c r="J79" s="507"/>
      <c r="K79" s="506"/>
      <c r="L79" s="378" t="s">
        <v>96</v>
      </c>
    </row>
    <row r="80" spans="1:19" s="152" customFormat="1" ht="27.75" customHeight="1" thickBot="1" x14ac:dyDescent="0.3">
      <c r="A80" s="513"/>
      <c r="B80" s="514"/>
      <c r="C80" s="45" t="s">
        <v>24</v>
      </c>
      <c r="D80" s="27" t="str">
        <f>IF(E80&lt;1.5,"Low",IF(E80&lt;2.5,"Moderate",IF(E80&lt;3.5,"Substantial",IF(E80&lt;4.5,"High","n/a"))))</f>
        <v>Low</v>
      </c>
      <c r="E80" s="145">
        <f>IF(COUNT(E77:E79)=0,"n/a",AVERAGE(E77:E79))</f>
        <v>1</v>
      </c>
      <c r="F80" s="28">
        <f>E80</f>
        <v>1</v>
      </c>
      <c r="G80" s="216"/>
      <c r="H80" s="29" t="s">
        <v>23</v>
      </c>
      <c r="I80" s="26" t="str">
        <f>D80</f>
        <v>Low</v>
      </c>
      <c r="J80" s="30">
        <f>IF(I80=$N$7,"n/a",IF(AND(I80=$N$5,D80=$N$6),1.5,IF(AND(I80=$N$4,D80=$N$5),2.5,IF(AND(I80=$N$3,D80=$N$4),3.5,IF(AND(I80=$N$6,D80=$N$5),1.49,IF(AND(I80=$N$5,D80=$N$4),2.49,IF(AND(I80=$N$4,D80=$N$3),3.49,E80)))))))</f>
        <v>1</v>
      </c>
      <c r="K80" s="89" t="s">
        <v>91</v>
      </c>
      <c r="L80" s="385"/>
    </row>
    <row r="81" spans="1:17" s="152" customFormat="1" ht="21" customHeight="1" x14ac:dyDescent="0.25">
      <c r="A81" s="204" t="s">
        <v>58</v>
      </c>
      <c r="B81" s="199"/>
      <c r="C81" s="199"/>
      <c r="D81" s="199"/>
      <c r="E81" s="199"/>
      <c r="F81" s="199"/>
      <c r="G81" s="199"/>
      <c r="H81" s="199"/>
      <c r="I81" s="199"/>
      <c r="J81" s="199"/>
      <c r="K81" s="201"/>
      <c r="L81" s="385"/>
    </row>
    <row r="82" spans="1:17" s="152" customFormat="1" ht="34.5" customHeight="1" x14ac:dyDescent="0.25">
      <c r="A82" s="517" t="s">
        <v>77</v>
      </c>
      <c r="B82" s="588"/>
      <c r="C82" s="229"/>
      <c r="D82" s="168" t="s">
        <v>79</v>
      </c>
      <c r="E82" s="118">
        <f>IF(D82=$N$6,1,IF(D82=$N$5,2,IF(D82=$N$4,3,IF(D82=$N$3,4,"n/a"))))</f>
        <v>1</v>
      </c>
      <c r="F82" s="512" t="s">
        <v>242</v>
      </c>
      <c r="G82" s="512"/>
      <c r="H82" s="512"/>
      <c r="I82" s="512"/>
      <c r="J82" s="512"/>
      <c r="K82" s="512"/>
      <c r="L82" s="385"/>
    </row>
    <row r="83" spans="1:17" s="152" customFormat="1" ht="27.75" customHeight="1" thickBot="1" x14ac:dyDescent="0.3">
      <c r="A83" s="497" t="s">
        <v>78</v>
      </c>
      <c r="B83" s="498"/>
      <c r="C83" s="230"/>
      <c r="D83" s="167" t="s">
        <v>42</v>
      </c>
      <c r="E83" s="175">
        <f>IF(D83=$N$6,1,IF(D83=$N$5,2,IF(D83=$N$4,3,IF(D83=$N$3,4,"n/a"))))</f>
        <v>2</v>
      </c>
      <c r="F83" s="585" t="s">
        <v>243</v>
      </c>
      <c r="G83" s="586"/>
      <c r="H83" s="586"/>
      <c r="I83" s="586"/>
      <c r="J83" s="586"/>
      <c r="K83" s="587"/>
      <c r="L83" s="378" t="s">
        <v>96</v>
      </c>
      <c r="Q83" s="154"/>
    </row>
    <row r="84" spans="1:17" s="152" customFormat="1" ht="26.25" customHeight="1" thickBot="1" x14ac:dyDescent="0.3">
      <c r="A84" s="210"/>
      <c r="B84" s="211"/>
      <c r="C84" s="212" t="s">
        <v>24</v>
      </c>
      <c r="D84" s="27" t="str">
        <f>IF(E84&lt;1.5,"Low",IF(E84&lt;2.5,"Moderate",IF(E84&lt;3.5,"Substantial",IF(E84&lt;4.5,"High","n/a"))))</f>
        <v>Moderate</v>
      </c>
      <c r="E84" s="145">
        <f>IF(COUNT(E82:E83)=0,"n/a",AVERAGE(E82:E83))</f>
        <v>1.5</v>
      </c>
      <c r="F84" s="49">
        <f>E84</f>
        <v>1.5</v>
      </c>
      <c r="G84" s="217"/>
      <c r="H84" s="324" t="s">
        <v>23</v>
      </c>
      <c r="I84" s="325" t="str">
        <f>D84</f>
        <v>Moderate</v>
      </c>
      <c r="J84" s="91">
        <f>IF(I84=$N$7,"n/a",IF(AND(I84=$N$5,D84=$N$6),1.5,IF(AND(I84=$N$4,D84=$N$5),2.5,IF(AND(I84=$N$3,D84=$N$4),3.5,IF(AND(I84=$N$6,D84=$N$5),1.49,IF(AND(I84=$N$5,D84=$N$4),2.49,IF(AND(I84=$N$4,D84=$N$3),3.49,E84)))))))</f>
        <v>1.5</v>
      </c>
      <c r="K84" s="326" t="s">
        <v>91</v>
      </c>
      <c r="L84" s="385"/>
      <c r="Q84" s="155"/>
    </row>
    <row r="85" spans="1:17" s="152" customFormat="1" ht="26.25" customHeight="1" thickBot="1" x14ac:dyDescent="0.3">
      <c r="A85" s="290" t="s">
        <v>219</v>
      </c>
      <c r="B85" s="289"/>
      <c r="C85" s="289"/>
      <c r="D85" s="289"/>
      <c r="E85" s="289"/>
      <c r="F85" s="289"/>
      <c r="G85" s="289"/>
      <c r="H85" s="289"/>
      <c r="I85" s="289"/>
      <c r="J85" s="289"/>
      <c r="K85" s="289"/>
      <c r="L85" s="385"/>
      <c r="Q85" s="155"/>
    </row>
    <row r="86" spans="1:17" s="152" customFormat="1" ht="21.75" customHeight="1" x14ac:dyDescent="0.25">
      <c r="A86" s="394" t="s">
        <v>175</v>
      </c>
      <c r="B86" s="291"/>
      <c r="C86" s="291"/>
      <c r="D86" s="291"/>
      <c r="E86" s="291"/>
      <c r="F86" s="291"/>
      <c r="G86" s="291"/>
      <c r="H86" s="291"/>
      <c r="I86" s="291"/>
      <c r="J86" s="291"/>
      <c r="K86" s="292"/>
      <c r="L86" s="385"/>
      <c r="Q86" s="155"/>
    </row>
    <row r="87" spans="1:17" s="152" customFormat="1" ht="33.75" customHeight="1" x14ac:dyDescent="0.25">
      <c r="A87" s="525" t="s">
        <v>153</v>
      </c>
      <c r="B87" s="526"/>
      <c r="C87" s="293"/>
      <c r="D87" s="225" t="s">
        <v>19</v>
      </c>
      <c r="E87" s="213" t="str">
        <f>IF(D87=$N$6,1,IF(D87=$N$5,2,IF(D87=$N$4,3,IF(D87=$N$3,4,"n/a"))))</f>
        <v>n/a</v>
      </c>
      <c r="F87" s="512" t="s">
        <v>244</v>
      </c>
      <c r="G87" s="512"/>
      <c r="H87" s="512"/>
      <c r="I87" s="512"/>
      <c r="J87" s="512"/>
      <c r="K87" s="512"/>
      <c r="L87" s="385"/>
      <c r="Q87" s="155"/>
    </row>
    <row r="88" spans="1:17" s="152" customFormat="1" ht="33.75" customHeight="1" x14ac:dyDescent="0.25">
      <c r="A88" s="525" t="s">
        <v>154</v>
      </c>
      <c r="B88" s="526"/>
      <c r="C88" s="293"/>
      <c r="D88" s="225" t="s">
        <v>19</v>
      </c>
      <c r="E88" s="213" t="str">
        <f>IF(D88=$N$6,1,IF(D88=$N$5,2,IF(D88=$N$4,3,IF(D88=$N$3,4,"n/a"))))</f>
        <v>n/a</v>
      </c>
      <c r="F88" s="512" t="s">
        <v>244</v>
      </c>
      <c r="G88" s="512"/>
      <c r="H88" s="512"/>
      <c r="I88" s="512"/>
      <c r="J88" s="512"/>
      <c r="K88" s="512"/>
      <c r="L88" s="378" t="s">
        <v>96</v>
      </c>
      <c r="Q88" s="155"/>
    </row>
    <row r="89" spans="1:17" s="152" customFormat="1" ht="30.75" customHeight="1" x14ac:dyDescent="0.25">
      <c r="A89" s="525" t="s">
        <v>155</v>
      </c>
      <c r="B89" s="526"/>
      <c r="C89" s="293"/>
      <c r="D89" s="225" t="s">
        <v>19</v>
      </c>
      <c r="E89" s="213" t="str">
        <f>IF(D89=$N$6,1,IF(D89=$N$5,2,IF(D89=$N$4,3,IF(D89=$N$3,4,"n/a"))))</f>
        <v>n/a</v>
      </c>
      <c r="F89" s="512" t="s">
        <v>244</v>
      </c>
      <c r="G89" s="512"/>
      <c r="H89" s="512"/>
      <c r="I89" s="512"/>
      <c r="J89" s="512"/>
      <c r="K89" s="512"/>
      <c r="L89" s="385"/>
      <c r="Q89" s="155"/>
    </row>
    <row r="90" spans="1:17" s="152" customFormat="1" ht="45.75" customHeight="1" thickBot="1" x14ac:dyDescent="0.3">
      <c r="A90" s="525" t="s">
        <v>176</v>
      </c>
      <c r="B90" s="526"/>
      <c r="C90" s="293"/>
      <c r="D90" s="225" t="s">
        <v>19</v>
      </c>
      <c r="E90" s="213" t="str">
        <f>IF(D90=$N$6,1,IF(D90=$N$5,2,IF(D90=$N$4,3,IF(D90=$N$3,4,"n/a"))))</f>
        <v>n/a</v>
      </c>
      <c r="F90" s="512" t="s">
        <v>244</v>
      </c>
      <c r="G90" s="512"/>
      <c r="H90" s="512"/>
      <c r="I90" s="512"/>
      <c r="J90" s="527"/>
      <c r="K90" s="512"/>
      <c r="L90" s="385"/>
      <c r="Q90" s="155"/>
    </row>
    <row r="91" spans="1:17" s="152" customFormat="1" ht="26.25" customHeight="1" thickBot="1" x14ac:dyDescent="0.3">
      <c r="A91" s="530"/>
      <c r="B91" s="531"/>
      <c r="C91" s="294" t="s">
        <v>24</v>
      </c>
      <c r="D91" s="27" t="str">
        <f>IF(E91&lt;1.5,"Low",IF(E91&lt;2.5,"Moderate",IF(E91&lt;3.5,"Substantial",IF(E91&lt;4.5,"High","n/a"))))</f>
        <v>n/a</v>
      </c>
      <c r="E91" s="145" t="str">
        <f>IF(COUNT(E87:E90)=0,"n/a",AVERAGE(E87:E90))</f>
        <v>n/a</v>
      </c>
      <c r="F91" s="28" t="str">
        <f>E91</f>
        <v>n/a</v>
      </c>
      <c r="G91" s="217"/>
      <c r="H91" s="51" t="s">
        <v>23</v>
      </c>
      <c r="I91" s="26" t="str">
        <f>D91</f>
        <v>n/a</v>
      </c>
      <c r="J91" s="30" t="str">
        <f>IF(I91=$N$7,"n/a",IF(AND(I91=$N$5,D91=$N$6),1.5,IF(AND(I91=$N$4,D91=$N$5),2.5,IF(AND(I91=$N$3,D91=$N$4),3.5,IF(AND(I91=$N$6,D91=$N$5),1.49,IF(AND(I91=$N$5,D91=$N$4),2.49,IF(AND(I91=$N$4,D91=$N$3),3.49,E91)))))))</f>
        <v>n/a</v>
      </c>
      <c r="K91" s="89" t="s">
        <v>91</v>
      </c>
      <c r="L91" s="385"/>
      <c r="Q91" s="155"/>
    </row>
    <row r="92" spans="1:17" s="152" customFormat="1" ht="21" customHeight="1" x14ac:dyDescent="0.25">
      <c r="A92" s="394" t="s">
        <v>166</v>
      </c>
      <c r="B92" s="291"/>
      <c r="C92" s="291"/>
      <c r="D92" s="291"/>
      <c r="E92" s="291"/>
      <c r="F92" s="291"/>
      <c r="G92" s="291"/>
      <c r="H92" s="291"/>
      <c r="I92" s="291"/>
      <c r="J92" s="291"/>
      <c r="K92" s="292"/>
      <c r="L92" s="385"/>
      <c r="Q92" s="155"/>
    </row>
    <row r="93" spans="1:17" s="152" customFormat="1" ht="47.25" customHeight="1" x14ac:dyDescent="0.25">
      <c r="A93" s="525" t="s">
        <v>167</v>
      </c>
      <c r="B93" s="526"/>
      <c r="C93" s="293"/>
      <c r="D93" s="168" t="s">
        <v>19</v>
      </c>
      <c r="E93" s="213" t="str">
        <f>IF(D93=$N$6,1,IF(D93=$N$5,2,IF(D93=$N$4,3,IF(D93=$N$3,4,"n/a"))))</f>
        <v>n/a</v>
      </c>
      <c r="F93" s="512" t="s">
        <v>244</v>
      </c>
      <c r="G93" s="512"/>
      <c r="H93" s="512"/>
      <c r="I93" s="512"/>
      <c r="J93" s="512"/>
      <c r="K93" s="512"/>
      <c r="L93" s="385"/>
      <c r="Q93" s="155"/>
    </row>
    <row r="94" spans="1:17" s="152" customFormat="1" ht="31.5" customHeight="1" thickBot="1" x14ac:dyDescent="0.3">
      <c r="A94" s="599" t="s">
        <v>178</v>
      </c>
      <c r="B94" s="600"/>
      <c r="C94" s="295"/>
      <c r="D94" s="167" t="s">
        <v>5</v>
      </c>
      <c r="E94" s="175">
        <f>IF(D94=$N$6,1,IF(D94=$N$5,2,IF(D94=$N$4,3,IF(D94=$N$3,4,"n/a"))))</f>
        <v>3</v>
      </c>
      <c r="F94" s="597" t="s">
        <v>245</v>
      </c>
      <c r="G94" s="598"/>
      <c r="H94" s="598"/>
      <c r="I94" s="598"/>
      <c r="J94" s="598"/>
      <c r="K94" s="596"/>
      <c r="L94" s="378" t="s">
        <v>96</v>
      </c>
      <c r="Q94" s="155"/>
    </row>
    <row r="95" spans="1:17" s="152" customFormat="1" ht="26.25" customHeight="1" thickBot="1" x14ac:dyDescent="0.3">
      <c r="A95" s="601"/>
      <c r="B95" s="602"/>
      <c r="C95" s="294" t="s">
        <v>24</v>
      </c>
      <c r="D95" s="27" t="str">
        <f>IF(E95&lt;1.5,"Low",IF(E95&lt;2.5,"Moderate",IF(E95&lt;3.5,"Substantial",IF(E95&lt;4.5,"High","n/a"))))</f>
        <v>Substantial</v>
      </c>
      <c r="E95" s="145">
        <f>IF(COUNT(E93:E94)=0,"n/a",AVERAGE(E93:E94))</f>
        <v>3</v>
      </c>
      <c r="F95" s="28">
        <f>E95</f>
        <v>3</v>
      </c>
      <c r="G95" s="216"/>
      <c r="H95" s="29" t="s">
        <v>23</v>
      </c>
      <c r="I95" s="26" t="str">
        <f>D95</f>
        <v>Substantial</v>
      </c>
      <c r="J95" s="30">
        <f>IF(I95=$N$7,"n/a",IF(AND(I95=$N$5,D95=$N$6),1.5,IF(AND(I95=$N$4,D95=$N$5),2.5,IF(AND(I95=$N$3,D95=$N$4),3.5,IF(AND(I95=$N$6,D95=$N$5),1.49,IF(AND(I95=$N$5,D95=$N$4),2.49,IF(AND(I95=$N$4,D95=$N$3),3.49,E95)))))))</f>
        <v>3</v>
      </c>
      <c r="K95" s="89" t="s">
        <v>91</v>
      </c>
      <c r="L95" s="385"/>
      <c r="Q95" s="155"/>
    </row>
    <row r="96" spans="1:17" s="152" customFormat="1" ht="21" customHeight="1" x14ac:dyDescent="0.25">
      <c r="A96" s="394" t="s">
        <v>157</v>
      </c>
      <c r="B96" s="291"/>
      <c r="C96" s="291"/>
      <c r="D96" s="291"/>
      <c r="E96" s="291"/>
      <c r="F96" s="291"/>
      <c r="G96" s="291"/>
      <c r="H96" s="291"/>
      <c r="I96" s="291"/>
      <c r="J96" s="291"/>
      <c r="K96" s="292"/>
      <c r="L96" s="385"/>
      <c r="Q96" s="155"/>
    </row>
    <row r="97" spans="1:17" s="152" customFormat="1" ht="33.75" customHeight="1" x14ac:dyDescent="0.25">
      <c r="A97" s="525" t="s">
        <v>158</v>
      </c>
      <c r="B97" s="526"/>
      <c r="C97" s="296"/>
      <c r="D97" s="168" t="s">
        <v>42</v>
      </c>
      <c r="E97" s="118">
        <f>IF(D97=$N$6,1,IF(D97=$N$5,2,IF(D97=$N$4,3,IF(D97=$N$3,4,"n/a"))))</f>
        <v>2</v>
      </c>
      <c r="F97" s="512" t="s">
        <v>246</v>
      </c>
      <c r="G97" s="512"/>
      <c r="H97" s="512"/>
      <c r="I97" s="512"/>
      <c r="J97" s="512"/>
      <c r="K97" s="512"/>
      <c r="L97" s="378" t="s">
        <v>96</v>
      </c>
      <c r="Q97" s="155"/>
    </row>
    <row r="98" spans="1:17" s="152" customFormat="1" ht="33" customHeight="1" x14ac:dyDescent="0.25">
      <c r="A98" s="599" t="s">
        <v>159</v>
      </c>
      <c r="B98" s="603"/>
      <c r="C98" s="296"/>
      <c r="D98" s="48" t="s">
        <v>79</v>
      </c>
      <c r="E98" s="118">
        <f>IF(D98=$N$6,1,IF(D98=$N$5,2,IF(D98=$N$4,3,IF(D98=$N$3,4,"n/a"))))</f>
        <v>1</v>
      </c>
      <c r="F98" s="593" t="s">
        <v>16</v>
      </c>
      <c r="G98" s="506"/>
      <c r="H98" s="506"/>
      <c r="I98" s="506"/>
      <c r="J98" s="506"/>
      <c r="K98" s="594"/>
      <c r="L98" s="378" t="s">
        <v>96</v>
      </c>
      <c r="P98" s="311"/>
      <c r="Q98" s="155"/>
    </row>
    <row r="99" spans="1:17" s="152" customFormat="1" ht="31.5" customHeight="1" thickBot="1" x14ac:dyDescent="0.3">
      <c r="A99" s="604" t="s">
        <v>160</v>
      </c>
      <c r="B99" s="605"/>
      <c r="C99" s="297"/>
      <c r="D99" s="287" t="s">
        <v>42</v>
      </c>
      <c r="E99" s="288">
        <f>IF(D99=$N$6,1,IF(D99=$N$5,2,IF(D99=$N$4,3,IF(D99=$N$3,4,"n/a"))))</f>
        <v>2</v>
      </c>
      <c r="F99" s="595" t="s">
        <v>247</v>
      </c>
      <c r="G99" s="507"/>
      <c r="H99" s="507"/>
      <c r="I99" s="507"/>
      <c r="J99" s="507"/>
      <c r="K99" s="596"/>
      <c r="L99" s="385"/>
      <c r="P99" s="311"/>
      <c r="Q99" s="155"/>
    </row>
    <row r="100" spans="1:17" s="152" customFormat="1" ht="26.25" customHeight="1" thickBot="1" x14ac:dyDescent="0.3">
      <c r="A100" s="591"/>
      <c r="B100" s="592"/>
      <c r="C100" s="294" t="s">
        <v>24</v>
      </c>
      <c r="D100" s="27" t="str">
        <f>IF(E100&lt;1.5,"Low",IF(E100&lt;2.5,"Moderate",IF(E100&lt;3.5,"Substantial",IF(E100&lt;4.5,"High","n/a"))))</f>
        <v>Moderate</v>
      </c>
      <c r="E100" s="145">
        <f>IF(COUNT(E97:E99)=0,"n/a",AVERAGE(E97:E99))</f>
        <v>1.6666666666666667</v>
      </c>
      <c r="F100" s="28">
        <f>E100</f>
        <v>1.6666666666666667</v>
      </c>
      <c r="G100" s="216"/>
      <c r="H100" s="29" t="s">
        <v>23</v>
      </c>
      <c r="I100" s="26" t="str">
        <f>D100</f>
        <v>Moderate</v>
      </c>
      <c r="J100" s="30">
        <f>IF(I100=$N$7,"n/a",IF(AND(I100=$N$5,D100=$N$6),1.5,IF(AND(I100=$N$4,D100=$N$5),2.5,IF(AND(I100=$N$3,D100=$N$4),3.5,IF(AND(I100=$N$6,D100=$N$5),1.49,IF(AND(I100=$N$5,D100=$N$4),2.49,IF(AND(I100=$N$4,D100=$N$3),3.49,E100)))))))</f>
        <v>1.6666666666666667</v>
      </c>
      <c r="K100" s="89" t="s">
        <v>91</v>
      </c>
      <c r="L100" s="385"/>
      <c r="P100" s="311"/>
      <c r="Q100" s="155"/>
    </row>
    <row r="101" spans="1:17" s="152" customFormat="1" ht="23.25" customHeight="1" thickBot="1" x14ac:dyDescent="0.3">
      <c r="A101" s="156" t="s">
        <v>220</v>
      </c>
      <c r="B101" s="157"/>
      <c r="C101" s="157"/>
      <c r="D101" s="157"/>
      <c r="E101" s="157"/>
      <c r="F101" s="157"/>
      <c r="G101" s="157"/>
      <c r="H101" s="157"/>
      <c r="I101" s="157"/>
      <c r="J101" s="157"/>
      <c r="K101" s="157"/>
      <c r="L101" s="385"/>
      <c r="M101" s="155"/>
    </row>
    <row r="102" spans="1:17" s="152" customFormat="1" ht="20.25" customHeight="1" x14ac:dyDescent="0.25">
      <c r="A102" s="395" t="s">
        <v>162</v>
      </c>
      <c r="B102" s="214"/>
      <c r="C102" s="214"/>
      <c r="D102" s="214"/>
      <c r="E102" s="214"/>
      <c r="F102" s="214"/>
      <c r="G102" s="214"/>
      <c r="H102" s="214"/>
      <c r="I102" s="214"/>
      <c r="J102" s="214"/>
      <c r="K102" s="215"/>
      <c r="L102" s="385"/>
    </row>
    <row r="103" spans="1:17" s="152" customFormat="1" ht="30.75" customHeight="1" x14ac:dyDescent="0.25">
      <c r="A103" s="510" t="s">
        <v>181</v>
      </c>
      <c r="B103" s="511"/>
      <c r="C103" s="231"/>
      <c r="D103" s="225" t="s">
        <v>42</v>
      </c>
      <c r="E103" s="213">
        <f>IF(D103=$N$6,1,IF(D103=$N$5,2,IF(D103=$N$4,3,IF(D103=$N$3,4,"n/a"))))</f>
        <v>2</v>
      </c>
      <c r="F103" s="512" t="s">
        <v>248</v>
      </c>
      <c r="G103" s="512"/>
      <c r="H103" s="512"/>
      <c r="I103" s="512"/>
      <c r="J103" s="512"/>
      <c r="K103" s="512"/>
      <c r="L103" s="378" t="s">
        <v>96</v>
      </c>
      <c r="Q103" s="155"/>
    </row>
    <row r="104" spans="1:17" s="152" customFormat="1" ht="32.25" customHeight="1" x14ac:dyDescent="0.25">
      <c r="A104" s="581" t="s">
        <v>182</v>
      </c>
      <c r="B104" s="582"/>
      <c r="C104" s="232"/>
      <c r="D104" s="195" t="s">
        <v>79</v>
      </c>
      <c r="E104" s="118">
        <f>IF(D104=$N$6,1,IF(D104=$N$5,2,IF(D104=$N$4,3,IF(D104=$N$3,4,"n/a"))))</f>
        <v>1</v>
      </c>
      <c r="F104" s="506" t="s">
        <v>236</v>
      </c>
      <c r="G104" s="506"/>
      <c r="H104" s="506"/>
      <c r="I104" s="506"/>
      <c r="J104" s="506"/>
      <c r="K104" s="506"/>
      <c r="L104" s="378" t="s">
        <v>96</v>
      </c>
      <c r="Q104" s="158"/>
    </row>
    <row r="105" spans="1:17" ht="31.5" customHeight="1" thickBot="1" x14ac:dyDescent="0.3">
      <c r="A105" s="523" t="s">
        <v>183</v>
      </c>
      <c r="B105" s="524"/>
      <c r="C105" s="233"/>
      <c r="D105" s="165" t="s">
        <v>79</v>
      </c>
      <c r="E105" s="175">
        <f>IF(D105=$N$6,1,IF(D105=$N$5,2,IF(D105=$N$4,3,IF(D105=$N$3,4,"n/a"))))</f>
        <v>1</v>
      </c>
      <c r="F105" s="506" t="s">
        <v>236</v>
      </c>
      <c r="G105" s="507"/>
      <c r="H105" s="506"/>
      <c r="I105" s="506"/>
      <c r="J105" s="507"/>
      <c r="K105" s="506"/>
      <c r="L105" s="378" t="s">
        <v>96</v>
      </c>
    </row>
    <row r="106" spans="1:17" ht="32.25" customHeight="1" thickBot="1" x14ac:dyDescent="0.3">
      <c r="A106" s="528"/>
      <c r="B106" s="529"/>
      <c r="C106" s="39" t="s">
        <v>24</v>
      </c>
      <c r="D106" s="27" t="str">
        <f>IF(E106&lt;1.5,"Low",IF(E106&lt;2.5,"Moderate",IF(E106&lt;3.5,"Substantial",IF(E106&lt;4.5,"High","n/a"))))</f>
        <v>Low</v>
      </c>
      <c r="E106" s="145">
        <f>IF(COUNT(E103:E105)=0,"n/a",AVERAGE(E103:E105))</f>
        <v>1.3333333333333333</v>
      </c>
      <c r="F106" s="28">
        <f>E106</f>
        <v>1.3333333333333333</v>
      </c>
      <c r="G106" s="217"/>
      <c r="H106" s="51" t="s">
        <v>23</v>
      </c>
      <c r="I106" s="26" t="str">
        <f>D106</f>
        <v>Low</v>
      </c>
      <c r="J106" s="30">
        <f>IF(I106=$N$7,"n/a",IF(AND(I106=$N$5,D106=$N$6),1.5,IF(AND(I106=$N$4,D106=$N$5),2.5,IF(AND(I106=$N$3,D106=$N$4),3.5,IF(AND(I106=$N$6,D106=$N$5),1.49,IF(AND(I106=$N$5,D106=$N$4),2.49,IF(AND(I106=$N$4,D106=$N$3),3.49,E106)))))))</f>
        <v>1.3333333333333333</v>
      </c>
      <c r="K106" s="89" t="s">
        <v>91</v>
      </c>
      <c r="L106" s="380"/>
    </row>
    <row r="107" spans="1:17" ht="19.5" customHeight="1" x14ac:dyDescent="0.25">
      <c r="A107" s="396" t="s">
        <v>163</v>
      </c>
      <c r="B107" s="214"/>
      <c r="C107" s="214"/>
      <c r="D107" s="214"/>
      <c r="E107" s="214"/>
      <c r="F107" s="214"/>
      <c r="G107" s="214"/>
      <c r="H107" s="214"/>
      <c r="I107" s="214"/>
      <c r="J107" s="214"/>
      <c r="K107" s="215"/>
      <c r="L107" s="380"/>
    </row>
    <row r="108" spans="1:17" ht="31.5" customHeight="1" x14ac:dyDescent="0.25">
      <c r="A108" s="510" t="s">
        <v>184</v>
      </c>
      <c r="B108" s="511"/>
      <c r="C108" s="231"/>
      <c r="D108" s="168" t="s">
        <v>79</v>
      </c>
      <c r="E108" s="213">
        <f>IF(D108=$N$6,1,IF(D108=$N$5,2,IF(D108=$N$4,3,IF(D108=$N$3,4,"n/a"))))</f>
        <v>1</v>
      </c>
      <c r="F108" s="512" t="s">
        <v>248</v>
      </c>
      <c r="G108" s="512"/>
      <c r="H108" s="512"/>
      <c r="I108" s="512"/>
      <c r="J108" s="512"/>
      <c r="K108" s="512"/>
      <c r="L108" s="380"/>
    </row>
    <row r="109" spans="1:17" ht="31.5" customHeight="1" thickBot="1" x14ac:dyDescent="0.3">
      <c r="A109" s="583" t="s">
        <v>185</v>
      </c>
      <c r="B109" s="584"/>
      <c r="C109" s="234"/>
      <c r="D109" s="167" t="s">
        <v>79</v>
      </c>
      <c r="E109" s="175">
        <f>IF(D109=$N$6,1,IF(D109=$N$5,2,IF(D109=$N$4,3,IF(D109=$N$3,4,"n/a"))))</f>
        <v>1</v>
      </c>
      <c r="F109" s="597" t="s">
        <v>248</v>
      </c>
      <c r="G109" s="598"/>
      <c r="H109" s="598"/>
      <c r="I109" s="598"/>
      <c r="J109" s="598"/>
      <c r="K109" s="596"/>
      <c r="L109" s="380"/>
    </row>
    <row r="110" spans="1:17" ht="27" customHeight="1" thickBot="1" x14ac:dyDescent="0.3">
      <c r="A110" s="508"/>
      <c r="B110" s="509"/>
      <c r="C110" s="39" t="s">
        <v>24</v>
      </c>
      <c r="D110" s="27" t="str">
        <f>IF(E110&lt;1.5,"Low",IF(E110&lt;2.5,"Moderate",IF(E110&lt;3.5,"Substantial",IF(E110&lt;4.5,"High","n/a"))))</f>
        <v>Low</v>
      </c>
      <c r="E110" s="145">
        <f>IF(COUNT(E108:E109)=0,"n/a",AVERAGE(E108:E109))</f>
        <v>1</v>
      </c>
      <c r="F110" s="28">
        <f>E110</f>
        <v>1</v>
      </c>
      <c r="G110" s="216"/>
      <c r="H110" s="29" t="s">
        <v>23</v>
      </c>
      <c r="I110" s="26" t="str">
        <f>D110</f>
        <v>Low</v>
      </c>
      <c r="J110" s="30">
        <f>IF(I110=$N$7,"n/a",IF(AND(I110=$N$5,D110=$N$6),1.5,IF(AND(I110=$N$4,D110=$N$5),2.5,IF(AND(I110=$N$3,D110=$N$4),3.5,IF(AND(I110=$N$6,D110=$N$5),1.49,IF(AND(I110=$N$5,D110=$N$4),2.49,IF(AND(I110=$N$4,D110=$N$3),3.49,E110)))))))</f>
        <v>1</v>
      </c>
      <c r="K110" s="89" t="s">
        <v>91</v>
      </c>
      <c r="L110" s="380"/>
    </row>
    <row r="111" spans="1:17" ht="21" customHeight="1" x14ac:dyDescent="0.35">
      <c r="A111" s="396" t="s">
        <v>164</v>
      </c>
      <c r="B111" s="214"/>
      <c r="C111" s="214"/>
      <c r="D111" s="214"/>
      <c r="E111" s="214"/>
      <c r="F111" s="214"/>
      <c r="G111" s="214"/>
      <c r="H111" s="214"/>
      <c r="I111" s="214"/>
      <c r="J111" s="214"/>
      <c r="K111" s="215"/>
      <c r="L111" s="380"/>
      <c r="Q111" s="159"/>
    </row>
    <row r="112" spans="1:17" ht="29.25" customHeight="1" x14ac:dyDescent="0.25">
      <c r="A112" s="510" t="s">
        <v>186</v>
      </c>
      <c r="B112" s="511"/>
      <c r="C112" s="231"/>
      <c r="D112" s="225" t="s">
        <v>42</v>
      </c>
      <c r="E112" s="213">
        <f>IF(D112=$N$6,1,IF(D112=$N$5,2,IF(D112=$N$4,3,IF(D112=$N$3,4,"n/a"))))</f>
        <v>2</v>
      </c>
      <c r="F112" s="512" t="s">
        <v>249</v>
      </c>
      <c r="G112" s="512"/>
      <c r="H112" s="512"/>
      <c r="I112" s="512"/>
      <c r="J112" s="512"/>
      <c r="K112" s="512"/>
      <c r="L112" s="380"/>
    </row>
    <row r="113" spans="1:12" ht="30.75" customHeight="1" x14ac:dyDescent="0.25">
      <c r="A113" s="581" t="s">
        <v>187</v>
      </c>
      <c r="B113" s="582"/>
      <c r="C113" s="232"/>
      <c r="D113" s="195" t="s">
        <v>42</v>
      </c>
      <c r="E113" s="118">
        <f>IF(D113=$N$6,1,IF(D113=$N$5,2,IF(D113=$N$4,3,IF(D113=$N$3,4,"n/a"))))</f>
        <v>2</v>
      </c>
      <c r="F113" s="593" t="s">
        <v>250</v>
      </c>
      <c r="G113" s="506"/>
      <c r="H113" s="506"/>
      <c r="I113" s="506"/>
      <c r="J113" s="506"/>
      <c r="K113" s="594"/>
      <c r="L113" s="380"/>
    </row>
    <row r="114" spans="1:12" ht="42.75" customHeight="1" thickBot="1" x14ac:dyDescent="0.3">
      <c r="A114" s="523" t="s">
        <v>165</v>
      </c>
      <c r="B114" s="524"/>
      <c r="C114" s="233"/>
      <c r="D114" s="165" t="s">
        <v>79</v>
      </c>
      <c r="E114" s="175">
        <f>IF(D114=$N$6,1,IF(D114=$N$5,2,IF(D114=$N$4,3,IF(D114=$N$3,4,"n/a"))))</f>
        <v>1</v>
      </c>
      <c r="F114" s="595" t="s">
        <v>16</v>
      </c>
      <c r="G114" s="507"/>
      <c r="H114" s="507"/>
      <c r="I114" s="507"/>
      <c r="J114" s="507"/>
      <c r="K114" s="596"/>
      <c r="L114" s="378" t="s">
        <v>96</v>
      </c>
    </row>
    <row r="115" spans="1:12" ht="26.25" customHeight="1" thickBot="1" x14ac:dyDescent="0.3">
      <c r="A115" s="515"/>
      <c r="B115" s="516"/>
      <c r="C115" s="39" t="s">
        <v>24</v>
      </c>
      <c r="D115" s="27" t="str">
        <f>IF(E115&lt;1.5,"Low",IF(E115&lt;2.5,"Moderate",IF(E115&lt;3.5,"Substantial",IF(E115&lt;4.5,"High","n/a"))))</f>
        <v>Moderate</v>
      </c>
      <c r="E115" s="145">
        <f>IF(COUNT(E112:E114)=0,"n/a",AVERAGE(E112:E114))</f>
        <v>1.6666666666666667</v>
      </c>
      <c r="F115" s="28">
        <f>E115</f>
        <v>1.6666666666666667</v>
      </c>
      <c r="G115" s="216"/>
      <c r="H115" s="29" t="s">
        <v>23</v>
      </c>
      <c r="I115" s="26" t="str">
        <f>D115</f>
        <v>Moderate</v>
      </c>
      <c r="J115" s="30">
        <f>IF(I115=$N$7,"n/a",IF(AND(I115=$N$5,D115=$N$6),1.5,IF(AND(I115=$N$4,D115=$N$5),2.5,IF(AND(I115=$N$3,D115=$N$4),3.5,IF(AND(I115=$N$6,D115=$N$5),1.49,IF(AND(I115=$N$5,D115=$N$4),2.49,IF(AND(I115=$N$4,D115=$N$3),3.49,E115)))))))</f>
        <v>1.6666666666666667</v>
      </c>
      <c r="K115" s="89" t="s">
        <v>91</v>
      </c>
      <c r="L115" s="380"/>
    </row>
    <row r="116" spans="1:12" ht="23.25" customHeight="1" x14ac:dyDescent="0.25">
      <c r="A116" s="396" t="s">
        <v>168</v>
      </c>
      <c r="B116" s="214"/>
      <c r="C116" s="214"/>
      <c r="D116" s="214"/>
      <c r="E116" s="214"/>
      <c r="F116" s="214"/>
      <c r="G116" s="214"/>
      <c r="H116" s="214"/>
      <c r="I116" s="214"/>
      <c r="J116" s="214"/>
      <c r="K116" s="215"/>
      <c r="L116" s="380"/>
    </row>
    <row r="117" spans="1:12" ht="33" customHeight="1" x14ac:dyDescent="0.25">
      <c r="A117" s="521" t="s">
        <v>169</v>
      </c>
      <c r="B117" s="522"/>
      <c r="C117" s="235"/>
      <c r="D117" s="168" t="s">
        <v>19</v>
      </c>
      <c r="E117" s="118" t="str">
        <f>IF(D117=$N$6,1,IF(D117=$N$5,2,IF(D117=$N$4,3,IF(D117=$N$3,4,"n/a"))))</f>
        <v>n/a</v>
      </c>
      <c r="F117" s="512" t="s">
        <v>16</v>
      </c>
      <c r="G117" s="512"/>
      <c r="H117" s="512"/>
      <c r="I117" s="512"/>
      <c r="J117" s="512"/>
      <c r="K117" s="512"/>
      <c r="L117" s="378"/>
    </row>
    <row r="118" spans="1:12" ht="33" customHeight="1" x14ac:dyDescent="0.25">
      <c r="A118" s="521" t="s">
        <v>170</v>
      </c>
      <c r="B118" s="522"/>
      <c r="C118" s="232"/>
      <c r="D118" s="195" t="s">
        <v>19</v>
      </c>
      <c r="E118" s="118" t="str">
        <f>IF(D118=$N$6,1,IF(D118=$N$5,2,IF(D118=$N$4,3,IF(D118=$N$3,4,"n/a"))))</f>
        <v>n/a</v>
      </c>
      <c r="F118" s="593" t="s">
        <v>16</v>
      </c>
      <c r="G118" s="506"/>
      <c r="H118" s="506"/>
      <c r="I118" s="506"/>
      <c r="J118" s="506"/>
      <c r="K118" s="594"/>
      <c r="L118" s="378"/>
    </row>
    <row r="119" spans="1:12" ht="34.5" customHeight="1" thickBot="1" x14ac:dyDescent="0.3">
      <c r="A119" s="519" t="s">
        <v>193</v>
      </c>
      <c r="B119" s="520"/>
      <c r="C119" s="235"/>
      <c r="D119" s="167" t="s">
        <v>19</v>
      </c>
      <c r="E119" s="175" t="str">
        <f>IF(D119=$N$6,1,IF(D119=$N$5,2,IF(D119=$N$4,3,IF(D119=$N$3,4,"n/a"))))</f>
        <v>n/a</v>
      </c>
      <c r="F119" s="595" t="s">
        <v>16</v>
      </c>
      <c r="G119" s="507"/>
      <c r="H119" s="507"/>
      <c r="I119" s="507"/>
      <c r="J119" s="507"/>
      <c r="K119" s="596"/>
      <c r="L119" s="378"/>
    </row>
    <row r="120" spans="1:12" ht="27" customHeight="1" thickBot="1" x14ac:dyDescent="0.3">
      <c r="A120" s="508"/>
      <c r="B120" s="509"/>
      <c r="C120" s="39" t="s">
        <v>24</v>
      </c>
      <c r="D120" s="27" t="str">
        <f>IF(E120&lt;1.5,"Low",IF(E120&lt;2.5,"Moderate",IF(E120&lt;3.5,"Substantial",IF(E120&lt;4.5,"High","n/a"))))</f>
        <v>n/a</v>
      </c>
      <c r="E120" s="145" t="str">
        <f>IF(COUNT(E117:E119)=0,"n/a",AVERAGE(E117:E119))</f>
        <v>n/a</v>
      </c>
      <c r="F120" s="28" t="str">
        <f>E120</f>
        <v>n/a</v>
      </c>
      <c r="G120" s="216"/>
      <c r="H120" s="29" t="s">
        <v>23</v>
      </c>
      <c r="I120" s="26" t="str">
        <f>D120</f>
        <v>n/a</v>
      </c>
      <c r="J120" s="30" t="str">
        <f>IF(I120=$N$7,"n/a",IF(AND(I120=$N$5,D120=$N$6),1.5,IF(AND(I120=$N$4,D120=$N$5),2.5,IF(AND(I120=$N$3,D120=$N$4),3.5,IF(AND(I120=$N$6,D120=$N$5),1.49,IF(AND(I120=$N$5,D120=$N$4),2.49,IF(AND(I120=$N$4,D120=$N$3),3.49,E120)))))))</f>
        <v>n/a</v>
      </c>
      <c r="K120" s="89" t="s">
        <v>91</v>
      </c>
      <c r="L120" s="380"/>
    </row>
  </sheetData>
  <sheetProtection password="CC15" sheet="1" objects="1" scenarios="1" formatRows="0"/>
  <mergeCells count="155">
    <mergeCell ref="F93:K93"/>
    <mergeCell ref="A94:B94"/>
    <mergeCell ref="A95:B95"/>
    <mergeCell ref="A97:B97"/>
    <mergeCell ref="F97:K97"/>
    <mergeCell ref="A98:B98"/>
    <mergeCell ref="A99:B99"/>
    <mergeCell ref="A74:B74"/>
    <mergeCell ref="F74:K74"/>
    <mergeCell ref="A78:B78"/>
    <mergeCell ref="F78:K78"/>
    <mergeCell ref="A77:B77"/>
    <mergeCell ref="A75:B75"/>
    <mergeCell ref="A118:B118"/>
    <mergeCell ref="F113:K113"/>
    <mergeCell ref="F118:K118"/>
    <mergeCell ref="F119:K119"/>
    <mergeCell ref="F114:K114"/>
    <mergeCell ref="F109:K109"/>
    <mergeCell ref="F99:K99"/>
    <mergeCell ref="F98:K98"/>
    <mergeCell ref="F94:K94"/>
    <mergeCell ref="A113:B113"/>
    <mergeCell ref="A112:B112"/>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s>
  <phoneticPr fontId="1" type="noConversion"/>
  <conditionalFormatting sqref="A91">
    <cfRule type="cellIs" dxfId="59" priority="21" operator="equal">
      <formula>$N$6</formula>
    </cfRule>
    <cfRule type="cellIs" dxfId="58" priority="22" operator="equal">
      <formula>$N$5</formula>
    </cfRule>
    <cfRule type="cellIs" dxfId="57" priority="23" operator="equal">
      <formula>$N$4</formula>
    </cfRule>
    <cfRule type="cellIs" dxfId="56" priority="24" operator="equal">
      <formula>$N$3</formula>
    </cfRule>
  </conditionalFormatting>
  <conditionalFormatting sqref="A2:H2">
    <cfRule type="cellIs" dxfId="55" priority="915" operator="equal">
      <formula>"Low"</formula>
    </cfRule>
    <cfRule type="cellIs" dxfId="54" priority="914" operator="equal">
      <formula>"Moderate"</formula>
    </cfRule>
    <cfRule type="cellIs" dxfId="53" priority="913" operator="equal">
      <formula>"Substantial"</formula>
    </cfRule>
    <cfRule type="cellIs" dxfId="52" priority="912" operator="equal">
      <formula>"High"</formula>
    </cfRule>
  </conditionalFormatting>
  <conditionalFormatting sqref="A118:J119">
    <cfRule type="cellIs" dxfId="51" priority="13" operator="equal">
      <formula>$N$6</formula>
    </cfRule>
    <cfRule type="cellIs" dxfId="50" priority="14" operator="equal">
      <formula>$N$5</formula>
    </cfRule>
    <cfRule type="cellIs" dxfId="49" priority="15" operator="equal">
      <formula>$N$4</formula>
    </cfRule>
    <cfRule type="cellIs" dxfId="48" priority="16" operator="equal">
      <formula>$N$3</formula>
    </cfRule>
  </conditionalFormatting>
  <conditionalFormatting sqref="A3:K25 A26 C26:K26 A73:J74 A92:K93 A94:J94 A100:K105 A106 C106:K106 A107:K108 A109:J109 A110:K112 A113:J114 A115:K117 A120:K120">
    <cfRule type="cellIs" dxfId="47" priority="40" operator="equal">
      <formula>$N$3</formula>
    </cfRule>
    <cfRule type="cellIs" dxfId="46" priority="39" operator="equal">
      <formula>$N$4</formula>
    </cfRule>
    <cfRule type="cellIs" dxfId="45" priority="38" operator="equal">
      <formula>$N$5</formula>
    </cfRule>
    <cfRule type="cellIs" dxfId="44" priority="37" operator="equal">
      <formula>$N$6</formula>
    </cfRule>
  </conditionalFormatting>
  <conditionalFormatting sqref="A27:K72">
    <cfRule type="cellIs" dxfId="43" priority="25" operator="equal">
      <formula>$N$6</formula>
    </cfRule>
    <cfRule type="cellIs" dxfId="42" priority="26" operator="equal">
      <formula>$N$5</formula>
    </cfRule>
    <cfRule type="cellIs" dxfId="41" priority="27" operator="equal">
      <formula>$N$4</formula>
    </cfRule>
    <cfRule type="cellIs" dxfId="40" priority="28" operator="equal">
      <formula>$N$3</formula>
    </cfRule>
  </conditionalFormatting>
  <conditionalFormatting sqref="A75:K90">
    <cfRule type="cellIs" dxfId="39" priority="2" operator="equal">
      <formula>$N$5</formula>
    </cfRule>
    <cfRule type="cellIs" dxfId="38" priority="3" operator="equal">
      <formula>$N$4</formula>
    </cfRule>
    <cfRule type="cellIs" dxfId="37" priority="4" operator="equal">
      <formula>$N$3</formula>
    </cfRule>
    <cfRule type="cellIs" dxfId="36" priority="1" operator="equal">
      <formula>$N$6</formula>
    </cfRule>
  </conditionalFormatting>
  <conditionalFormatting sqref="A95:K97 A98:J99">
    <cfRule type="cellIs" dxfId="35" priority="20" operator="equal">
      <formula>$N$3</formula>
    </cfRule>
    <cfRule type="cellIs" dxfId="34" priority="19" operator="equal">
      <formula>$N$4</formula>
    </cfRule>
    <cfRule type="cellIs" dxfId="33" priority="18" operator="equal">
      <formula>$N$5</formula>
    </cfRule>
    <cfRule type="cellIs" dxfId="32" priority="17" operator="equal">
      <formula>$N$6</formula>
    </cfRule>
  </conditionalFormatting>
  <conditionalFormatting sqref="C1">
    <cfRule type="cellIs" dxfId="31" priority="619" operator="equal">
      <formula>"High"</formula>
    </cfRule>
    <cfRule type="cellIs" dxfId="30" priority="620" operator="equal">
      <formula>"Substantial"</formula>
    </cfRule>
    <cfRule type="cellIs" dxfId="29" priority="621" operator="equal">
      <formula>"Moderate"</formula>
    </cfRule>
    <cfRule type="cellIs" dxfId="28" priority="622" operator="equal">
      <formula>"Low"</formula>
    </cfRule>
  </conditionalFormatting>
  <conditionalFormatting sqref="C91:K91">
    <cfRule type="cellIs" dxfId="27" priority="5" operator="equal">
      <formula>$N$6</formula>
    </cfRule>
    <cfRule type="cellIs" dxfId="26" priority="8" operator="equal">
      <formula>$N$3</formula>
    </cfRule>
    <cfRule type="cellIs" dxfId="25" priority="7" operator="equal">
      <formula>$N$4</formula>
    </cfRule>
    <cfRule type="cellIs" dxfId="24" priority="6" operator="equal">
      <formula>$N$5</formula>
    </cfRule>
  </conditionalFormatting>
  <conditionalFormatting sqref="F1">
    <cfRule type="cellIs" dxfId="23" priority="615" operator="equal">
      <formula>"High"</formula>
    </cfRule>
    <cfRule type="cellIs" dxfId="22" priority="616" operator="equal">
      <formula>"Substantial"</formula>
    </cfRule>
    <cfRule type="cellIs" dxfId="21" priority="617" operator="equal">
      <formula>"Moderate"</formula>
    </cfRule>
    <cfRule type="cellIs" dxfId="20" priority="618"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zoomScaleNormal="100" zoomScaleSheetLayoutView="115" workbookViewId="0">
      <selection activeCell="B10" sqref="B10"/>
    </sheetView>
  </sheetViews>
  <sheetFormatPr defaultColWidth="8.90625" defaultRowHeight="12.5" x14ac:dyDescent="0.25"/>
  <cols>
    <col min="1" max="1" width="12.90625" customWidth="1"/>
    <col min="2" max="2" width="126" customWidth="1"/>
    <col min="4" max="5" width="17.6328125" customWidth="1"/>
    <col min="6" max="6" width="17.90625" customWidth="1"/>
  </cols>
  <sheetData>
    <row r="1" spans="1:2" ht="24" customHeight="1" thickBot="1" x14ac:dyDescent="0.3">
      <c r="A1" s="607" t="s">
        <v>122</v>
      </c>
      <c r="B1" s="608"/>
    </row>
    <row r="2" spans="1:2" s="152" customFormat="1" ht="23.25" customHeight="1" x14ac:dyDescent="0.25">
      <c r="A2" s="609" t="s">
        <v>209</v>
      </c>
      <c r="B2" s="610"/>
    </row>
    <row r="3" spans="1:2" ht="40.5" customHeight="1" x14ac:dyDescent="0.25">
      <c r="A3" s="388" t="s">
        <v>198</v>
      </c>
      <c r="B3" s="393" t="s">
        <v>194</v>
      </c>
    </row>
    <row r="4" spans="1:2" ht="36" customHeight="1" x14ac:dyDescent="0.25">
      <c r="A4" s="410" t="s">
        <v>199</v>
      </c>
      <c r="B4" s="94" t="s">
        <v>196</v>
      </c>
    </row>
    <row r="5" spans="1:2" ht="36" customHeight="1" thickBot="1" x14ac:dyDescent="0.3">
      <c r="A5" s="388" t="s">
        <v>213</v>
      </c>
      <c r="B5" s="391" t="s">
        <v>214</v>
      </c>
    </row>
    <row r="6" spans="1:2" ht="23.25" customHeight="1" x14ac:dyDescent="0.25">
      <c r="A6" s="611" t="s">
        <v>195</v>
      </c>
      <c r="B6" s="612"/>
    </row>
    <row r="7" spans="1:2" ht="21.75" customHeight="1" x14ac:dyDescent="0.25">
      <c r="A7" s="387" t="s">
        <v>134</v>
      </c>
      <c r="B7" s="254"/>
    </row>
    <row r="8" spans="1:2" ht="37.5" customHeight="1" x14ac:dyDescent="0.25">
      <c r="A8" s="93">
        <v>1</v>
      </c>
      <c r="B8" s="393" t="s">
        <v>197</v>
      </c>
    </row>
    <row r="9" spans="1:2" ht="22.5" customHeight="1" x14ac:dyDescent="0.3">
      <c r="A9" s="387" t="s">
        <v>132</v>
      </c>
      <c r="B9" s="253"/>
    </row>
    <row r="10" spans="1:2" ht="130.5" customHeight="1" x14ac:dyDescent="0.25">
      <c r="A10" s="392">
        <f>+A8+1</f>
        <v>2</v>
      </c>
      <c r="B10" s="94" t="s">
        <v>210</v>
      </c>
    </row>
    <row r="11" spans="1:2" ht="27" customHeight="1" x14ac:dyDescent="0.25">
      <c r="A11" s="392">
        <f>+A10+1</f>
        <v>3</v>
      </c>
      <c r="B11" s="94" t="s">
        <v>200</v>
      </c>
    </row>
    <row r="12" spans="1:2" ht="23.25" customHeight="1" x14ac:dyDescent="0.25">
      <c r="A12" s="392">
        <f t="shared" ref="A12:A13" si="0">+A11+1</f>
        <v>4</v>
      </c>
      <c r="B12" s="94" t="s">
        <v>207</v>
      </c>
    </row>
    <row r="13" spans="1:2" ht="114" customHeight="1" x14ac:dyDescent="0.25">
      <c r="A13" s="392">
        <f t="shared" si="0"/>
        <v>5</v>
      </c>
      <c r="B13" s="94" t="s">
        <v>208</v>
      </c>
    </row>
    <row r="14" spans="1:2" ht="22.5" customHeight="1" x14ac:dyDescent="0.25">
      <c r="A14" s="387" t="s">
        <v>133</v>
      </c>
      <c r="B14" s="254"/>
    </row>
    <row r="15" spans="1:2" ht="54.75" customHeight="1" x14ac:dyDescent="0.25">
      <c r="A15" s="392">
        <f>+A13+1</f>
        <v>6</v>
      </c>
      <c r="B15" s="94" t="s">
        <v>201</v>
      </c>
    </row>
    <row r="16" spans="1:2" ht="23.25" customHeight="1" x14ac:dyDescent="0.25">
      <c r="A16" s="392">
        <f t="shared" ref="A16:A18" si="1">+A15+1</f>
        <v>7</v>
      </c>
      <c r="B16" s="94" t="s">
        <v>202</v>
      </c>
    </row>
    <row r="17" spans="1:2" ht="24.75" customHeight="1" x14ac:dyDescent="0.25">
      <c r="A17" s="392">
        <f t="shared" si="1"/>
        <v>8</v>
      </c>
      <c r="B17" s="94" t="s">
        <v>203</v>
      </c>
    </row>
    <row r="18" spans="1:2" ht="24.75" customHeight="1" x14ac:dyDescent="0.25">
      <c r="A18" s="392">
        <f t="shared" si="1"/>
        <v>9</v>
      </c>
      <c r="B18" s="94" t="s">
        <v>204</v>
      </c>
    </row>
    <row r="19" spans="1:2" ht="21.75" customHeight="1" x14ac:dyDescent="0.25">
      <c r="A19" s="387" t="s">
        <v>134</v>
      </c>
      <c r="B19" s="254"/>
    </row>
    <row r="20" spans="1:2" ht="40.5" customHeight="1" thickBot="1" x14ac:dyDescent="0.3">
      <c r="A20" s="93">
        <f>+A18+1</f>
        <v>10</v>
      </c>
      <c r="B20" s="391" t="s">
        <v>205</v>
      </c>
    </row>
    <row r="21" spans="1:2" ht="52.5" customHeight="1" thickBot="1" x14ac:dyDescent="0.3">
      <c r="A21" s="390" t="s">
        <v>123</v>
      </c>
      <c r="B21" s="255" t="s">
        <v>206</v>
      </c>
    </row>
    <row r="24" spans="1:2" ht="17.25" customHeight="1" x14ac:dyDescent="0.25">
      <c r="A24" s="389" t="s">
        <v>93</v>
      </c>
      <c r="B24" s="389" t="s">
        <v>92</v>
      </c>
    </row>
    <row r="25" spans="1:2" x14ac:dyDescent="0.25">
      <c r="A25" s="95" t="s">
        <v>94</v>
      </c>
      <c r="B25" s="95" t="s">
        <v>72</v>
      </c>
    </row>
    <row r="26" spans="1:2" x14ac:dyDescent="0.25">
      <c r="A26" s="95" t="s">
        <v>95</v>
      </c>
      <c r="B26" s="95" t="s">
        <v>72</v>
      </c>
    </row>
    <row r="27" spans="1:2" x14ac:dyDescent="0.25">
      <c r="A27" s="95" t="s">
        <v>97</v>
      </c>
      <c r="B27" s="96" t="s">
        <v>98</v>
      </c>
    </row>
    <row r="28" spans="1:2" ht="34.5" x14ac:dyDescent="0.25">
      <c r="A28" s="97">
        <v>2.1</v>
      </c>
      <c r="B28" s="98" t="s">
        <v>63</v>
      </c>
    </row>
    <row r="29" spans="1:2" x14ac:dyDescent="0.25">
      <c r="A29" s="99" t="s">
        <v>99</v>
      </c>
      <c r="B29" s="99" t="s">
        <v>64</v>
      </c>
    </row>
    <row r="30" spans="1:2" x14ac:dyDescent="0.25">
      <c r="A30" s="99" t="s">
        <v>100</v>
      </c>
      <c r="B30" s="99" t="s">
        <v>47</v>
      </c>
    </row>
    <row r="31" spans="1:2" ht="23" x14ac:dyDescent="0.25">
      <c r="A31" s="100" t="s">
        <v>101</v>
      </c>
      <c r="B31" s="99" t="s">
        <v>66</v>
      </c>
    </row>
    <row r="32" spans="1:2" x14ac:dyDescent="0.25">
      <c r="A32" s="101" t="s">
        <v>102</v>
      </c>
      <c r="B32" s="101" t="s">
        <v>32</v>
      </c>
    </row>
    <row r="33" spans="1:2" ht="23" x14ac:dyDescent="0.25">
      <c r="A33" s="102">
        <v>4</v>
      </c>
      <c r="B33" s="102" t="s">
        <v>103</v>
      </c>
    </row>
    <row r="34" spans="1:2" x14ac:dyDescent="0.25">
      <c r="A34" s="88" t="s">
        <v>104</v>
      </c>
      <c r="B34" s="88" t="s">
        <v>192</v>
      </c>
    </row>
    <row r="35" spans="1:2" x14ac:dyDescent="0.25">
      <c r="A35" s="88" t="s">
        <v>105</v>
      </c>
      <c r="B35" s="88" t="s">
        <v>116</v>
      </c>
    </row>
    <row r="36" spans="1:2" x14ac:dyDescent="0.25">
      <c r="A36" s="88" t="s">
        <v>106</v>
      </c>
      <c r="B36" s="88" t="s">
        <v>115</v>
      </c>
    </row>
    <row r="37" spans="1:2" ht="34.5" x14ac:dyDescent="0.25">
      <c r="A37" s="88" t="s">
        <v>107</v>
      </c>
      <c r="B37" s="88" t="s">
        <v>108</v>
      </c>
    </row>
    <row r="38" spans="1:2" ht="23" x14ac:dyDescent="0.25">
      <c r="A38" s="88" t="s">
        <v>109</v>
      </c>
      <c r="B38" s="88" t="s">
        <v>76</v>
      </c>
    </row>
    <row r="39" spans="1:2" x14ac:dyDescent="0.25">
      <c r="A39" s="88" t="s">
        <v>110</v>
      </c>
      <c r="B39" s="88" t="s">
        <v>117</v>
      </c>
    </row>
    <row r="40" spans="1:2" x14ac:dyDescent="0.25">
      <c r="A40" s="309" t="s">
        <v>111</v>
      </c>
      <c r="B40" s="309" t="s">
        <v>156</v>
      </c>
    </row>
    <row r="41" spans="1:2" x14ac:dyDescent="0.25">
      <c r="A41" s="310" t="s">
        <v>177</v>
      </c>
      <c r="B41" s="310" t="s">
        <v>180</v>
      </c>
    </row>
    <row r="42" spans="1:2" x14ac:dyDescent="0.25">
      <c r="A42" s="310" t="s">
        <v>161</v>
      </c>
      <c r="B42" s="310" t="s">
        <v>120</v>
      </c>
    </row>
    <row r="43" spans="1:2" x14ac:dyDescent="0.25">
      <c r="A43" s="310" t="s">
        <v>114</v>
      </c>
      <c r="B43" s="310" t="s">
        <v>121</v>
      </c>
    </row>
    <row r="44" spans="1:2" x14ac:dyDescent="0.25">
      <c r="A44" s="103" t="s">
        <v>171</v>
      </c>
      <c r="B44" s="103" t="s">
        <v>112</v>
      </c>
    </row>
    <row r="45" spans="1:2" x14ac:dyDescent="0.25">
      <c r="A45" s="103" t="s">
        <v>172</v>
      </c>
      <c r="B45" s="104" t="s">
        <v>113</v>
      </c>
    </row>
    <row r="46" spans="1:2" x14ac:dyDescent="0.25">
      <c r="A46" s="104" t="s">
        <v>173</v>
      </c>
      <c r="B46" s="104" t="s">
        <v>118</v>
      </c>
    </row>
    <row r="47" spans="1:2" x14ac:dyDescent="0.25">
      <c r="A47" s="104" t="s">
        <v>174</v>
      </c>
      <c r="B47" s="104" t="s">
        <v>119</v>
      </c>
    </row>
    <row r="48" spans="1:2" ht="13" thickBot="1" x14ac:dyDescent="0.3">
      <c r="A48" s="312"/>
      <c r="B48" s="312"/>
    </row>
    <row r="49" spans="1:6" ht="27.75" customHeight="1" thickBot="1" x14ac:dyDescent="0.35">
      <c r="A49" s="251"/>
      <c r="B49" s="252"/>
      <c r="D49" s="256"/>
      <c r="E49" s="262" t="s">
        <v>125</v>
      </c>
      <c r="F49" s="257" t="s">
        <v>127</v>
      </c>
    </row>
    <row r="50" spans="1:6" ht="45" customHeight="1" thickBot="1" x14ac:dyDescent="0.3">
      <c r="A50" s="251"/>
      <c r="B50" s="252" t="s">
        <v>135</v>
      </c>
      <c r="C50" s="14"/>
      <c r="D50" s="267" t="s">
        <v>126</v>
      </c>
      <c r="E50" s="263" t="s">
        <v>128</v>
      </c>
      <c r="F50" s="261" t="s">
        <v>129</v>
      </c>
    </row>
    <row r="51" spans="1:6" ht="21.75" customHeight="1" x14ac:dyDescent="0.25">
      <c r="A51" s="251"/>
      <c r="B51" s="252"/>
      <c r="C51" s="14"/>
      <c r="D51" s="268" t="s">
        <v>4</v>
      </c>
      <c r="E51" s="264">
        <v>4</v>
      </c>
      <c r="F51" s="260" t="s">
        <v>136</v>
      </c>
    </row>
    <row r="52" spans="1:6" ht="21.75" customHeight="1" x14ac:dyDescent="0.25">
      <c r="A52" s="251"/>
      <c r="B52" s="252"/>
      <c r="C52" s="14"/>
      <c r="D52" s="269" t="s">
        <v>5</v>
      </c>
      <c r="E52" s="265">
        <v>3</v>
      </c>
      <c r="F52" s="258" t="s">
        <v>137</v>
      </c>
    </row>
    <row r="53" spans="1:6" ht="21.75" customHeight="1" x14ac:dyDescent="0.25">
      <c r="A53" s="251"/>
      <c r="B53" s="252"/>
      <c r="C53" s="14"/>
      <c r="D53" s="270" t="s">
        <v>42</v>
      </c>
      <c r="E53" s="265">
        <v>2</v>
      </c>
      <c r="F53" s="258" t="s">
        <v>138</v>
      </c>
    </row>
    <row r="54" spans="1:6" ht="21.75" customHeight="1" x14ac:dyDescent="0.25">
      <c r="A54" s="251"/>
      <c r="B54" s="252"/>
      <c r="C54" s="14"/>
      <c r="D54" s="271" t="s">
        <v>79</v>
      </c>
      <c r="E54" s="265">
        <v>1</v>
      </c>
      <c r="F54" s="258" t="s">
        <v>131</v>
      </c>
    </row>
    <row r="55" spans="1:6" ht="21.75" customHeight="1" thickBot="1" x14ac:dyDescent="0.3">
      <c r="A55" s="251"/>
      <c r="B55" s="252"/>
      <c r="C55" s="14"/>
      <c r="D55" s="272" t="s">
        <v>19</v>
      </c>
      <c r="E55" s="266" t="s">
        <v>130</v>
      </c>
      <c r="F55" s="259" t="s">
        <v>130</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AD789124-D42E-41EA-9C34-CFE157928930}">
  <ds:schemaRefs>
    <ds:schemaRef ds:uri="http://purl.org/dc/dcmitype/"/>
    <ds:schemaRef ds:uri="http://purl.org/dc/elements/1.1/"/>
    <ds:schemaRef ds:uri="http://schemas.microsoft.com/office/2006/documentManagement/types"/>
    <ds:schemaRef ds:uri="http://purl.org/dc/terms/"/>
    <ds:schemaRef ds:uri="http://www.w3.org/XML/1998/namespace"/>
    <ds:schemaRef ds:uri="http://schemas.microsoft.com/sharepoint/v3"/>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Sara Baumgart</cp:lastModifiedBy>
  <cp:lastPrinted>2015-09-16T12:49:58Z</cp:lastPrinted>
  <dcterms:created xsi:type="dcterms:W3CDTF">2012-01-04T16:00:22Z</dcterms:created>
  <dcterms:modified xsi:type="dcterms:W3CDTF">2026-08-13T13:48:07Z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