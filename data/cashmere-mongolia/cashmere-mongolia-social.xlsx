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codeName="ThisWorkbook" autoCompressPictures="0" defaultThemeVersion="124226"/>
  <mc:AlternateContent xmlns:mc="http://schemas.openxmlformats.org/markup-compatibility/2006">
    <mc:Choice Requires="x15">
      <x15ac:absPath xmlns:x15ac="http://schemas.microsoft.com/office/spreadsheetml/2010/11/ac" url="T:\3.2 The VCA Studies Phase II\12. Mongolia - Cashmere\5. Final Report\"/>
    </mc:Choice>
  </mc:AlternateContent>
  <xr:revisionPtr revIDLastSave="0" documentId="13_ncr:1_{AE7B0369-39F4-4DB4-B38C-103AF690DEC8}" xr6:coauthVersionLast="47" xr6:coauthVersionMax="47" xr10:uidLastSave="{00000000-0000-0000-0000-000000000000}"/>
  <bookViews>
    <workbookView xWindow="-108" yWindow="-108" windowWidth="23256" windowHeight="12456" activeTab="3" xr2:uid="{00000000-000D-0000-FFFF-FFFF00000000}"/>
  </bookViews>
  <sheets>
    <sheet name="Profile" sheetId="1" r:id="rId1"/>
    <sheet name="Register" sheetId="2" r:id="rId2"/>
    <sheet name="Questionnaire" sheetId="3" r:id="rId3"/>
    <sheet name="Guidance" sheetId="4" r:id="rId4"/>
  </sheets>
  <definedNames>
    <definedName name="_xlnm._FilterDatabase" localSheetId="2" hidden="1">Questionnaire!$A$1:$N$120</definedName>
    <definedName name="_xlnm.Print_Area" localSheetId="0">Profile!$A$1:$G$29</definedName>
    <definedName name="_xlnm.Print_Area" localSheetId="2">Questionnaire!$A$1:$L$121</definedName>
    <definedName name="_xlnm.Print_Area" localSheetId="1">Register!$A$1:$I$39</definedName>
    <definedName name="_xlnm.Print_Titles" localSheetId="2">Questionnaire!$2:$2</definedName>
    <definedName name="_xlnm.Print_Titles" localSheetId="1">Register!$1:$4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10" i="4" l="1"/>
  <c r="A11" i="4" s="1"/>
  <c r="A12" i="4" s="1"/>
  <c r="A13" i="4" s="1"/>
  <c r="A15" i="4" s="1"/>
  <c r="A16" i="4" s="1"/>
  <c r="A17" i="4" s="1"/>
  <c r="A18" i="4" s="1"/>
  <c r="A20" i="4" s="1"/>
  <c r="E119" i="3" l="1"/>
  <c r="E118" i="3"/>
  <c r="E117" i="3"/>
  <c r="E120" i="3" s="1"/>
  <c r="E114" i="3"/>
  <c r="E113" i="3"/>
  <c r="E112" i="3"/>
  <c r="E115" i="3" s="1"/>
  <c r="E109" i="3"/>
  <c r="E108" i="3"/>
  <c r="E105" i="3"/>
  <c r="E104" i="3"/>
  <c r="E103" i="3"/>
  <c r="E99" i="3"/>
  <c r="E98" i="3"/>
  <c r="E97" i="3"/>
  <c r="E94" i="3"/>
  <c r="E93" i="3"/>
  <c r="E95" i="3" s="1"/>
  <c r="E90" i="3"/>
  <c r="E89" i="3"/>
  <c r="E88" i="3"/>
  <c r="E87" i="3"/>
  <c r="E83" i="3"/>
  <c r="E82" i="3"/>
  <c r="E79" i="3"/>
  <c r="E78" i="3"/>
  <c r="E77" i="3"/>
  <c r="E74" i="3"/>
  <c r="E73" i="3"/>
  <c r="E75" i="3" s="1"/>
  <c r="E70" i="3"/>
  <c r="E69" i="3"/>
  <c r="E65" i="3"/>
  <c r="E64" i="3"/>
  <c r="E66" i="3" s="1"/>
  <c r="E61" i="3"/>
  <c r="E60" i="3"/>
  <c r="E59" i="3"/>
  <c r="E58" i="3"/>
  <c r="E55" i="3"/>
  <c r="E54" i="3"/>
  <c r="E53" i="3"/>
  <c r="E52" i="3"/>
  <c r="E51" i="3"/>
  <c r="E48" i="3"/>
  <c r="E47" i="3"/>
  <c r="E46" i="3"/>
  <c r="E45" i="3"/>
  <c r="E42" i="3"/>
  <c r="E41" i="3"/>
  <c r="E43" i="3" s="1"/>
  <c r="E37" i="3"/>
  <c r="E36" i="3"/>
  <c r="E35" i="3"/>
  <c r="E34" i="3"/>
  <c r="E31" i="3"/>
  <c r="E30" i="3"/>
  <c r="E29" i="3"/>
  <c r="E28" i="3"/>
  <c r="E25" i="3"/>
  <c r="E24" i="3"/>
  <c r="E20" i="3"/>
  <c r="E19" i="3"/>
  <c r="E16" i="3"/>
  <c r="E17" i="3" s="1"/>
  <c r="E13" i="3"/>
  <c r="E12" i="3"/>
  <c r="E9" i="3"/>
  <c r="E8" i="3"/>
  <c r="E7" i="3"/>
  <c r="E6" i="3"/>
  <c r="E5" i="3"/>
  <c r="E110" i="3" l="1"/>
  <c r="E106" i="3"/>
  <c r="E100" i="3"/>
  <c r="E91" i="3"/>
  <c r="E84" i="3"/>
  <c r="E80" i="3"/>
  <c r="E71" i="3"/>
  <c r="E62" i="3"/>
  <c r="E56" i="3"/>
  <c r="E49" i="3"/>
  <c r="E38" i="3"/>
  <c r="E32" i="3"/>
  <c r="E21" i="3"/>
  <c r="E14" i="3"/>
  <c r="E10" i="3"/>
  <c r="E26" i="3"/>
  <c r="H33" i="2"/>
  <c r="A32" i="2"/>
  <c r="A31" i="2"/>
  <c r="A30" i="2"/>
  <c r="A29" i="2"/>
  <c r="A18" i="1" s="1"/>
  <c r="G18" i="1" l="1"/>
  <c r="F100" i="3"/>
  <c r="D100" i="3"/>
  <c r="I100" i="3" s="1"/>
  <c r="D95" i="3"/>
  <c r="I95" i="3" s="1"/>
  <c r="F91" i="3"/>
  <c r="D91" i="3"/>
  <c r="I91" i="3" s="1"/>
  <c r="F95" i="3"/>
  <c r="D1" i="2"/>
  <c r="G1" i="2"/>
  <c r="J1" i="3"/>
  <c r="D1" i="3"/>
  <c r="B1" i="3"/>
  <c r="A1" i="2"/>
  <c r="J91" i="3" l="1"/>
  <c r="B30" i="2" s="1"/>
  <c r="C30" i="2" s="1"/>
  <c r="J95" i="3"/>
  <c r="B31" i="2" s="1"/>
  <c r="J100" i="3"/>
  <c r="B32" i="2" s="1"/>
  <c r="L7" i="2"/>
  <c r="L6" i="2"/>
  <c r="L5" i="2"/>
  <c r="L4" i="2"/>
  <c r="L3" i="2"/>
  <c r="A38" i="2"/>
  <c r="A37" i="2"/>
  <c r="A36" i="2"/>
  <c r="A35" i="2"/>
  <c r="A34" i="2"/>
  <c r="A19" i="1" s="1"/>
  <c r="A27" i="2"/>
  <c r="A26" i="2"/>
  <c r="A25" i="2"/>
  <c r="A24" i="2"/>
  <c r="A23" i="2"/>
  <c r="A17" i="1" s="1"/>
  <c r="A21" i="2"/>
  <c r="A20" i="2"/>
  <c r="A19" i="2"/>
  <c r="A18" i="2"/>
  <c r="A17" i="2"/>
  <c r="A16" i="2"/>
  <c r="A16" i="1" s="1"/>
  <c r="A14" i="2"/>
  <c r="A13" i="2"/>
  <c r="A12" i="2"/>
  <c r="A11" i="2"/>
  <c r="A15" i="1" s="1"/>
  <c r="A5" i="2"/>
  <c r="A14" i="1" s="1"/>
  <c r="A9" i="2"/>
  <c r="A8" i="2"/>
  <c r="A7" i="2"/>
  <c r="A6" i="2"/>
  <c r="D80" i="3"/>
  <c r="D75" i="3"/>
  <c r="D56" i="3"/>
  <c r="D32" i="2" l="1"/>
  <c r="C32" i="2"/>
  <c r="C31" i="2"/>
  <c r="D31" i="2"/>
  <c r="B33" i="2"/>
  <c r="D33" i="2" s="1"/>
  <c r="E18" i="1" s="1"/>
  <c r="D30" i="2"/>
  <c r="I30" i="2"/>
  <c r="I38" i="2"/>
  <c r="I19" i="2"/>
  <c r="I18" i="2"/>
  <c r="I14" i="2"/>
  <c r="I37" i="2"/>
  <c r="I36" i="2"/>
  <c r="I26" i="2"/>
  <c r="I17" i="2"/>
  <c r="I7" i="2"/>
  <c r="I25" i="2"/>
  <c r="I24" i="2"/>
  <c r="I35" i="2"/>
  <c r="I32" i="2"/>
  <c r="I13" i="2"/>
  <c r="I9" i="2"/>
  <c r="I8" i="2"/>
  <c r="I6" i="2"/>
  <c r="I31" i="2"/>
  <c r="I21" i="2"/>
  <c r="I12" i="2"/>
  <c r="I20" i="2"/>
  <c r="I27" i="2"/>
  <c r="I33" i="2"/>
  <c r="D62" i="3"/>
  <c r="D66" i="3"/>
  <c r="D106" i="3"/>
  <c r="D115" i="3"/>
  <c r="D110" i="3"/>
  <c r="D71" i="3"/>
  <c r="F18" i="1"/>
  <c r="D43" i="3"/>
  <c r="D26" i="3"/>
  <c r="I26" i="3" s="1"/>
  <c r="J26" i="3" s="1"/>
  <c r="D32" i="3"/>
  <c r="D38" i="3"/>
  <c r="D84" i="3"/>
  <c r="D120" i="3"/>
  <c r="D17" i="3"/>
  <c r="C33" i="2" l="1"/>
  <c r="C18" i="1" s="1"/>
  <c r="D18" i="1"/>
  <c r="F49" i="3"/>
  <c r="D49" i="3"/>
  <c r="D14" i="3"/>
  <c r="I14" i="3" s="1"/>
  <c r="J14" i="3" s="1"/>
  <c r="D21" i="3"/>
  <c r="D10" i="3" l="1"/>
  <c r="I10" i="3" s="1"/>
  <c r="J10" i="3" l="1"/>
  <c r="B6" i="2" s="1"/>
  <c r="C6" i="2" s="1"/>
  <c r="F80" i="3"/>
  <c r="I80" i="3"/>
  <c r="F75" i="3"/>
  <c r="I75" i="3"/>
  <c r="F71" i="3"/>
  <c r="J75" i="3" l="1"/>
  <c r="B25" i="2" s="1"/>
  <c r="C25" i="2" s="1"/>
  <c r="J80" i="3"/>
  <c r="B26" i="2" s="1"/>
  <c r="C26" i="2" s="1"/>
  <c r="H39" i="2"/>
  <c r="G12" i="1"/>
  <c r="H28" i="2"/>
  <c r="H22" i="2"/>
  <c r="I22" i="2" s="1"/>
  <c r="H10" i="2"/>
  <c r="H15" i="2"/>
  <c r="I15" i="1"/>
  <c r="I19" i="1"/>
  <c r="I14" i="1"/>
  <c r="I20" i="1" s="1"/>
  <c r="I17" i="1"/>
  <c r="I16" i="1"/>
  <c r="I10" i="2" l="1"/>
  <c r="F14" i="1" s="1"/>
  <c r="I28" i="2"/>
  <c r="F17" i="1" s="1"/>
  <c r="I39" i="2"/>
  <c r="F19" i="1" s="1"/>
  <c r="I15" i="2"/>
  <c r="F15" i="1" s="1"/>
  <c r="G19" i="1"/>
  <c r="G17" i="1"/>
  <c r="G14" i="1"/>
  <c r="G15" i="1"/>
  <c r="G16" i="1"/>
  <c r="F16" i="1"/>
  <c r="I17" i="3"/>
  <c r="I71" i="3"/>
  <c r="F84" i="3"/>
  <c r="I43" i="3"/>
  <c r="J43" i="3" s="1"/>
  <c r="F62" i="3"/>
  <c r="I66" i="3"/>
  <c r="J66" i="3" s="1"/>
  <c r="F106" i="3"/>
  <c r="I120" i="3"/>
  <c r="I32" i="3"/>
  <c r="J32" i="3" s="1"/>
  <c r="I49" i="3"/>
  <c r="J49" i="3" s="1"/>
  <c r="F115" i="3"/>
  <c r="F66" i="3"/>
  <c r="F38" i="3"/>
  <c r="I38" i="3"/>
  <c r="I56" i="3"/>
  <c r="J56" i="3" s="1"/>
  <c r="F56" i="3"/>
  <c r="B12" i="2"/>
  <c r="C12" i="2" s="1"/>
  <c r="F26" i="3"/>
  <c r="F21" i="3"/>
  <c r="F17" i="3"/>
  <c r="J71" i="3" l="1"/>
  <c r="B24" i="2" s="1"/>
  <c r="J120" i="3"/>
  <c r="B38" i="2" s="1"/>
  <c r="C38" i="2" s="1"/>
  <c r="J38" i="3"/>
  <c r="B14" i="2" s="1"/>
  <c r="C14" i="2" s="1"/>
  <c r="J17" i="3"/>
  <c r="B8" i="2" s="1"/>
  <c r="C8" i="2" s="1"/>
  <c r="D12" i="2"/>
  <c r="I110" i="3"/>
  <c r="F110" i="3"/>
  <c r="B19" i="2"/>
  <c r="C19" i="2" s="1"/>
  <c r="B18" i="2"/>
  <c r="C18" i="2" s="1"/>
  <c r="B21" i="2"/>
  <c r="C21" i="2" s="1"/>
  <c r="B17" i="2"/>
  <c r="C17" i="2" s="1"/>
  <c r="I62" i="3"/>
  <c r="J62" i="3" s="1"/>
  <c r="B13" i="2"/>
  <c r="C13" i="2" s="1"/>
  <c r="I21" i="3"/>
  <c r="F32" i="3"/>
  <c r="F14" i="3"/>
  <c r="I106" i="3"/>
  <c r="J106" i="3" s="1"/>
  <c r="F43" i="3"/>
  <c r="I84" i="3"/>
  <c r="J84" i="3" s="1"/>
  <c r="F120" i="3"/>
  <c r="I115" i="3"/>
  <c r="J115" i="3" s="1"/>
  <c r="F10" i="3"/>
  <c r="C24" i="2" l="1"/>
  <c r="D24" i="2"/>
  <c r="J21" i="3"/>
  <c r="B9" i="2" s="1"/>
  <c r="J110" i="3"/>
  <c r="B36" i="2" s="1"/>
  <c r="C36" i="2" s="1"/>
  <c r="B15" i="2"/>
  <c r="C15" i="2" s="1"/>
  <c r="D21" i="2"/>
  <c r="D19" i="2"/>
  <c r="D18" i="2"/>
  <c r="B35" i="2"/>
  <c r="C35" i="2" s="1"/>
  <c r="B37" i="2"/>
  <c r="C37" i="2" s="1"/>
  <c r="B27" i="2"/>
  <c r="D14" i="2"/>
  <c r="D17" i="2"/>
  <c r="D25" i="2"/>
  <c r="B20" i="2"/>
  <c r="D13" i="2"/>
  <c r="B7" i="2"/>
  <c r="D8" i="2"/>
  <c r="C9" i="2" l="1"/>
  <c r="D9" i="2"/>
  <c r="B28" i="2"/>
  <c r="C28" i="2" s="1"/>
  <c r="C27" i="2"/>
  <c r="B22" i="2"/>
  <c r="C22" i="2" s="1"/>
  <c r="C20" i="2"/>
  <c r="D15" i="2"/>
  <c r="E15" i="1" s="1"/>
  <c r="B10" i="2"/>
  <c r="C10" i="2" s="1"/>
  <c r="C7" i="2"/>
  <c r="B39" i="2"/>
  <c r="C39" i="2" s="1"/>
  <c r="C15" i="1"/>
  <c r="D37" i="2"/>
  <c r="D27" i="2"/>
  <c r="D20" i="2"/>
  <c r="D15" i="1"/>
  <c r="D7" i="2"/>
  <c r="D38" i="2"/>
  <c r="D36" i="2"/>
  <c r="D35" i="2"/>
  <c r="D26" i="2"/>
  <c r="D6" i="2"/>
  <c r="D22" i="2" l="1"/>
  <c r="E16" i="1" s="1"/>
  <c r="D39" i="2"/>
  <c r="E19" i="1" s="1"/>
  <c r="D17" i="1"/>
  <c r="D28" i="2"/>
  <c r="E17" i="1" s="1"/>
  <c r="C17" i="1"/>
  <c r="C16" i="1"/>
  <c r="D16" i="1"/>
  <c r="D10" i="2"/>
  <c r="E14" i="1" s="1"/>
  <c r="C14" i="1"/>
  <c r="C19" i="1"/>
  <c r="D19" i="1"/>
  <c r="D14" i="1"/>
</calcChain>
</file>

<file path=xl/sharedStrings.xml><?xml version="1.0" encoding="utf-8"?>
<sst xmlns="http://schemas.openxmlformats.org/spreadsheetml/2006/main" count="527" uniqueCount="305">
  <si>
    <t>Question</t>
  </si>
  <si>
    <t>Score</t>
  </si>
  <si>
    <t>Source</t>
  </si>
  <si>
    <t>Low</t>
  </si>
  <si>
    <t>High</t>
  </si>
  <si>
    <t>Substantial</t>
  </si>
  <si>
    <t>Level</t>
  </si>
  <si>
    <t>Trend</t>
  </si>
  <si>
    <t>Overall Recommendation</t>
  </si>
  <si>
    <t>Dimension</t>
  </si>
  <si>
    <t>Major risks and possible negative consequences</t>
  </si>
  <si>
    <t>↑</t>
  </si>
  <si>
    <t>↓</t>
  </si>
  <si>
    <t>↔</t>
  </si>
  <si>
    <t>Average</t>
  </si>
  <si>
    <t>Tr_score</t>
  </si>
  <si>
    <t>Please add justification.</t>
  </si>
  <si>
    <t>Key Mitigating Measures</t>
  </si>
  <si>
    <t>Mitigating measures</t>
  </si>
  <si>
    <t>n/a</t>
  </si>
  <si>
    <t>Zero</t>
  </si>
  <si>
    <t>Medium</t>
  </si>
  <si>
    <t>Country:</t>
  </si>
  <si>
    <t>Final:</t>
  </si>
  <si>
    <t>Average:</t>
  </si>
  <si>
    <t>Date last modif.</t>
  </si>
  <si>
    <t xml:space="preserve">  Date Last Modification: </t>
  </si>
  <si>
    <t xml:space="preserve"> . . / . . / 20 . .</t>
  </si>
  <si>
    <t>Value chain:</t>
  </si>
  <si>
    <t>1.2 Child Labour</t>
  </si>
  <si>
    <t>1.1 Respect of labour rights</t>
  </si>
  <si>
    <t>1.1.2 Is freedom of association allowed and effective (collective bargaining)?</t>
  </si>
  <si>
    <t>1.3 Job safety</t>
  </si>
  <si>
    <t>Good reasons for restictions make the question non applicable</t>
  </si>
  <si>
    <t>3.1 Economic activities</t>
  </si>
  <si>
    <t>3.2 Access to resources and services</t>
  </si>
  <si>
    <t xml:space="preserve">3.4.2 Do women have leadership positions within the organisations they are part of? </t>
  </si>
  <si>
    <t xml:space="preserve">3.4.3 Do women have the power to influence services, territorial power and policy decision making? </t>
  </si>
  <si>
    <t>3.4.4 Do women speak in public?</t>
  </si>
  <si>
    <t>3.4.1 Are women members of groups, trade unions, farmers' organisations?</t>
  </si>
  <si>
    <t>3.2.2 Do women have equal land rights as men?</t>
  </si>
  <si>
    <t>1.1.4 To what extent are risks of forced labour in any segment of the value chain minimised?</t>
  </si>
  <si>
    <t>3.1.1 Are risks of women being excluded from certain segments of the value chain minimised?</t>
  </si>
  <si>
    <t>Moderate/Low</t>
  </si>
  <si>
    <t xml:space="preserve">4.2 Accessibility of food </t>
  </si>
  <si>
    <t xml:space="preserve">2.1 Adherence to VGGT </t>
  </si>
  <si>
    <t>2.1.1 Do the companies/institutions involved in the value chain declare adhering to the VGGT?</t>
  </si>
  <si>
    <t>2.2.2 Level of accessibility of intervention policies, laws, procedures and decisions to all stakeholders of the value chain?</t>
  </si>
  <si>
    <t>Respond 'High' if formal contract exists</t>
  </si>
  <si>
    <t>2.2 Transparency, participation and consultation</t>
  </si>
  <si>
    <t>2.3  Equity,compensation and justice</t>
  </si>
  <si>
    <t>2.3.1  Do the locally applied rules promote secure and equitable tenure rights or access to land and water?</t>
  </si>
  <si>
    <t>2.3.2 In case disruption of livelihoods is expected, have alternative strategies been considered?</t>
  </si>
  <si>
    <t xml:space="preserve">4.1.1 Does the local production of food increase?
</t>
  </si>
  <si>
    <t xml:space="preserve">4.1.2 Are food supplies increasing on local markets? 
</t>
  </si>
  <si>
    <t xml:space="preserve">4.3 Utilisation and nutritional adequacy </t>
  </si>
  <si>
    <r>
      <t xml:space="preserve">4.3.1 Is the nutritional quality of available food improving?  </t>
    </r>
    <r>
      <rPr>
        <i/>
        <sz val="11"/>
        <rFont val="Arial"/>
        <family val="2"/>
      </rPr>
      <t xml:space="preserve">
</t>
    </r>
  </si>
  <si>
    <t>4.3.2 Are nutritional practices being improved?</t>
  </si>
  <si>
    <t xml:space="preserve">4.2.2 Are (relative) consumers food prices decreasing? </t>
  </si>
  <si>
    <t xml:space="preserve">4.4 Stability </t>
  </si>
  <si>
    <t xml:space="preserve">1.1.5 To what extent are any risks of discrimination in employment for specific categories of the population minimised? </t>
  </si>
  <si>
    <t xml:space="preserve">2.2.3  Level of participation and consultation of all individuals and groups in the decision-making process? </t>
  </si>
  <si>
    <t xml:space="preserve">2.2.4 To what extent prior consent of those affected by the decisions was reached? </t>
  </si>
  <si>
    <t>2.1.2 If large scale investments for land aquisition are at stake, do the involved companies/institutions apply the 'Guide to due diligence of agribusiness projects that affect land and property rights'?</t>
  </si>
  <si>
    <t>Consider as entry point for the analysis the current state of play of the country specific land governance (policy, legislation, institutions/actors, enacting and application of legislation in particular as regards the consideration/impact on smallholders, land administration). This is important to know/judge if government legislation and/or customary rights matter</t>
  </si>
  <si>
    <t xml:space="preserve">How is adherence to VGGT done and is this publically acknowledged? </t>
  </si>
  <si>
    <t>2.2.1  Level of prior disclosure of project related information to local stakeholders?</t>
  </si>
  <si>
    <t>Practice of legal recognition and allocation of land rights in the sphere of value chain investment: formal, customary and informal land rights, rights of indigenous people, pastoralists, contracts… To which extent doeas the value chain investment impact on local/traditional land governance?</t>
  </si>
  <si>
    <t xml:space="preserve">2.3.3 Where expropriation is indispensable: is a system for ensuring fair and prompt compensation in place (in accordance with the national law and publically acknowledged as being fair)?  </t>
  </si>
  <si>
    <t>2.3.4 Are there provisions foreseen to address stakeholder complains and for arbitration of possible conflicts caused by value chain investments?</t>
  </si>
  <si>
    <t>1.4 Attractiveness</t>
  </si>
  <si>
    <t>1.4.2 Are conditions of activities attractive for youth?</t>
  </si>
  <si>
    <t>1.1.1 To what extent do companies involved in the value chain respect the standards elaborated in the 8 fundamental ILO international labour conventions and in the ICESCR  and ICCPR?</t>
  </si>
  <si>
    <t>Risk assessment</t>
  </si>
  <si>
    <t>1.4.1 To what extent are remunerations in accordance with local standards?</t>
  </si>
  <si>
    <t xml:space="preserve">4.2.1 Do people have more income to allocate to food?  </t>
  </si>
  <si>
    <t>4.3.3 Is dietary diversity increased?</t>
  </si>
  <si>
    <t>Minimum number of food groups consumed by an individual over a reference period. Ref.: FAO Manual Minimum Dietary Diversity in Women (in preparation). This is relevant only if the baseline score is low.</t>
  </si>
  <si>
    <t>4.4.1 Is risk of periodic food shortage for household reduced?</t>
  </si>
  <si>
    <t xml:space="preserve">4.4.2 Is excessive food price variation reduced? </t>
  </si>
  <si>
    <t>Not at all</t>
  </si>
  <si>
    <t>Previous Analysis</t>
  </si>
  <si>
    <t>../../20..</t>
  </si>
  <si>
    <t>date:</t>
  </si>
  <si>
    <t>Domain</t>
  </si>
  <si>
    <t>Present profile</t>
  </si>
  <si>
    <t>Previous profile</t>
  </si>
  <si>
    <t>Comments</t>
  </si>
  <si>
    <t>Score level</t>
  </si>
  <si>
    <t>Count</t>
  </si>
  <si>
    <t>Major Issues</t>
  </si>
  <si>
    <t>Risk/Cost of Non-Intervention vs. Benefits</t>
  </si>
  <si>
    <r>
      <rPr>
        <b/>
        <i/>
        <sz val="9"/>
        <rFont val="Arial"/>
        <family val="2"/>
      </rPr>
      <t>Justification if adjustment of the score level =</t>
    </r>
    <r>
      <rPr>
        <i/>
        <sz val="9"/>
        <rFont val="Arial"/>
        <family val="2"/>
      </rPr>
      <t xml:space="preserve"> …</t>
    </r>
  </si>
  <si>
    <t>Explanations on questions</t>
  </si>
  <si>
    <t>Question n°</t>
  </si>
  <si>
    <t>1.2.1</t>
  </si>
  <si>
    <t>1.2.2</t>
  </si>
  <si>
    <t>Cf: Guidance</t>
  </si>
  <si>
    <t>1.4.1</t>
  </si>
  <si>
    <t>Remuneration: provision of income allowing workers to support themselves and their families.</t>
  </si>
  <si>
    <t>2.1.1</t>
  </si>
  <si>
    <t>2.2.4</t>
  </si>
  <si>
    <t>2.3.1</t>
  </si>
  <si>
    <t>3.1.1</t>
  </si>
  <si>
    <t xml:space="preserve">The complexity of the food and nutrition security sector implies that, for the purpose of this social profile, it should be analysed from the point of view of changes and evolution of the systems </t>
  </si>
  <si>
    <t>4.1.1</t>
  </si>
  <si>
    <t>4.1.2</t>
  </si>
  <si>
    <t>4.2.2</t>
  </si>
  <si>
    <t>4.3.2</t>
  </si>
  <si>
    <t xml:space="preserve">As nutritional practices please consider: nutrition policies and strategies, nutrition-training, education, the setting up of coordination mechanisms between agriculture, health, education, and social protection sectors. Do such nutritional practises target pregnant and lactating women as well as children under five (with a stronger emphasis on those under the age of two)? </t>
  </si>
  <si>
    <t>4.3.3</t>
  </si>
  <si>
    <t>4.4.2</t>
  </si>
  <si>
    <t>5.1.2</t>
  </si>
  <si>
    <t>Health facilities: health center, buildings, equipments…</t>
  </si>
  <si>
    <t>Health services: availabilty of nurse, doctors…</t>
  </si>
  <si>
    <t>5.3.2</t>
  </si>
  <si>
    <t>Impact on food prices; impact on revenues =&gt; link with Economic analysis.</t>
  </si>
  <si>
    <t>Import, transport, stock, market institutions.</t>
  </si>
  <si>
    <t>Price variation can be seasonal or transitory due to any type of shock.</t>
  </si>
  <si>
    <t>Affordability: consider prices for health services or possible existance of health insurance.</t>
  </si>
  <si>
    <t>The reply to this question might be 'non applicable' if the reply to 5.3.2 is 'high'.</t>
  </si>
  <si>
    <t>CFS RAI: principle 9 on meanigful information, consultation and decision making processes.</t>
  </si>
  <si>
    <t>CFS RAI: principle 7 on respect cultural heritage and traditional knowledge and support diversity and innovation.</t>
  </si>
  <si>
    <t>How to use the Social Profile Tool</t>
  </si>
  <si>
    <t xml:space="preserve"> </t>
  </si>
  <si>
    <t>Warning</t>
  </si>
  <si>
    <t>Country :</t>
  </si>
  <si>
    <t>Initial count</t>
  </si>
  <si>
    <t>Used in sheets:</t>
  </si>
  <si>
    <t>Ranges used for averages</t>
  </si>
  <si>
    <t>"Questionnaire"</t>
  </si>
  <si>
    <t>"Questionnaire", "Register" and "Profile"</t>
  </si>
  <si>
    <t>-</t>
  </si>
  <si>
    <t>&lt; 1.50</t>
  </si>
  <si>
    <r>
      <t xml:space="preserve">Questionnaire </t>
    </r>
    <r>
      <rPr>
        <sz val="12"/>
        <rFont val="Times New Roman"/>
        <family val="1"/>
      </rPr>
      <t>sheet</t>
    </r>
  </si>
  <si>
    <r>
      <t xml:space="preserve">Register </t>
    </r>
    <r>
      <rPr>
        <sz val="12"/>
        <rFont val="Times New Roman"/>
        <family val="1"/>
      </rPr>
      <t>sheet</t>
    </r>
  </si>
  <si>
    <r>
      <t xml:space="preserve">Profile </t>
    </r>
    <r>
      <rPr>
        <sz val="12"/>
        <rFont val="Times New Roman"/>
        <family val="1"/>
      </rPr>
      <t>sheet</t>
    </r>
  </si>
  <si>
    <r>
      <t xml:space="preserve">How does the profile calculate?           </t>
    </r>
    <r>
      <rPr>
        <b/>
        <sz val="10"/>
        <color rgb="FFC00000"/>
        <rFont val="Wingdings"/>
        <charset val="2"/>
      </rPr>
      <t>è     è     è     è     è     è     è     è</t>
    </r>
  </si>
  <si>
    <r>
      <rPr>
        <sz val="10"/>
        <rFont val="Calibri"/>
        <family val="2"/>
      </rPr>
      <t>≥</t>
    </r>
    <r>
      <rPr>
        <sz val="10"/>
        <rFont val="Arial"/>
        <family val="2"/>
      </rPr>
      <t xml:space="preserve"> 3.5</t>
    </r>
  </si>
  <si>
    <t>2.50 ≤     &lt; 3.50</t>
  </si>
  <si>
    <t>1.50 ≤     &lt; 2.50</t>
  </si>
  <si>
    <t xml:space="preserve">3.1.2 To what extent are women active in the value chain (as producers, processors, workers, traders…)? </t>
  </si>
  <si>
    <t>3.2.1 Do women have ownership of assets (other than land)?</t>
  </si>
  <si>
    <t>3.3.2 To what extent are women autonomous in the organisation of their work?</t>
  </si>
  <si>
    <t>3.2.3 Do women have access to credit?</t>
  </si>
  <si>
    <t xml:space="preserve">3.2.4 Do women have access to other services (extension services, inputs…)? </t>
  </si>
  <si>
    <t>3.3.3 Do women have control over income?</t>
  </si>
  <si>
    <t>3.3.1 To what extent do women take part in the decisions related to production?</t>
  </si>
  <si>
    <t>3.3 Decision making</t>
  </si>
  <si>
    <t>3.3.4 Do women earn independent income?</t>
  </si>
  <si>
    <t>3.2.5 Do women take part in decisions on the purchase, sale or transfer of assets?</t>
  </si>
  <si>
    <t>3.4 Leadership and empowerment</t>
  </si>
  <si>
    <t>3.5 Hardship and division of labour</t>
  </si>
  <si>
    <t>3.5.1 To what extent are the overall work loads of men and women equal (including domestic work and child care)?</t>
  </si>
  <si>
    <t>3.5.2 Are risks of women being subject to strenuous work minimised (e.g. using labour saving technologies…)?</t>
  </si>
  <si>
    <t>5.1.1 Do formal and informal farmer organisations /cooperatives participate in the value chain?</t>
  </si>
  <si>
    <t>5.1.2 How inclusive is group/cooperative membership?</t>
  </si>
  <si>
    <t xml:space="preserve">5.1.3 Do groups have representative and accountable leadership? </t>
  </si>
  <si>
    <t>Inclusiveness viewed from different perspectives: wealth strata, age, gender, ethnic or social groups…</t>
  </si>
  <si>
    <t>5.3 Social involvement</t>
  </si>
  <si>
    <t xml:space="preserve">5.3.1 Do communities participate in decisions that impact their livelihood? </t>
  </si>
  <si>
    <t>5.3.2 Are there actions to ensure respect of traditional knowledge and resources?</t>
  </si>
  <si>
    <t xml:space="preserve">5.3.3 Is there participation in voluntary communal activities for benefit of the community </t>
  </si>
  <si>
    <t>5.3.1</t>
  </si>
  <si>
    <t>6.1 Health services</t>
  </si>
  <si>
    <t>6.2 Housing</t>
  </si>
  <si>
    <t>6.3 Education and training</t>
  </si>
  <si>
    <t xml:space="preserve">6.3.3 Existence and quality of in-service vocational training provided by the investors in the value chain?
</t>
  </si>
  <si>
    <t>5.2 Information and confidence</t>
  </si>
  <si>
    <t xml:space="preserve">5.2.1 Do farmers in the value chain have access to information on agricultural practices, agricultural policies, and market prices? </t>
  </si>
  <si>
    <t>6.4 Mobility ??????</t>
  </si>
  <si>
    <t xml:space="preserve">6.4.1  </t>
  </si>
  <si>
    <t xml:space="preserve">6.4.2 </t>
  </si>
  <si>
    <t>6.1.1</t>
  </si>
  <si>
    <t>6.1.2</t>
  </si>
  <si>
    <t>6.1.3</t>
  </si>
  <si>
    <t>6.3.3</t>
  </si>
  <si>
    <t>5.1 Strength of producer organisations</t>
  </si>
  <si>
    <t>5.1.4 Are farmer groups, cooperatives and associations able to negotiate in input or output markets?</t>
  </si>
  <si>
    <t>5.2.2</t>
  </si>
  <si>
    <t>5.2.2 To what extent is the relation between value chain actors perceived as trustworthy?</t>
  </si>
  <si>
    <t>Explanations</t>
  </si>
  <si>
    <t>Verbal agreement, long lasting collaboration, contract, market, hierarchy… Looking upstream and downstream the VC.</t>
  </si>
  <si>
    <t>6.1.1 Do households have access to health facilities?</t>
  </si>
  <si>
    <t>6.1.2 Do households have access to health services?</t>
  </si>
  <si>
    <t>6.1.3  Are health services affordable for households?</t>
  </si>
  <si>
    <t>6.2.1 Do households have access to good quality accomodations?</t>
  </si>
  <si>
    <t xml:space="preserve">6.2.2 Do households have access to good quality water and sanitation facilities? </t>
  </si>
  <si>
    <t>6.3.1 Is primary education accessible to households?</t>
  </si>
  <si>
    <t>6.3.2 Are secondary and/or vocational education accessible to households?</t>
  </si>
  <si>
    <t xml:space="preserve">1.1.3 To what extent do workers benefit from enforceable and fair contracts </t>
  </si>
  <si>
    <t xml:space="preserve">1.2.1 Degree of school attendance in case  children are working (in any segment of the value chain)? </t>
  </si>
  <si>
    <t>1.2.2 Are children protected from exposure to harmful jobs?</t>
  </si>
  <si>
    <t>1.3.1 Degree of protection from accidents and health damages (in any segment of the value chain)?</t>
  </si>
  <si>
    <t>Does food availability increase? Production,export Yc transports (trucks…).</t>
  </si>
  <si>
    <t xml:space="preserve">6.4.3 </t>
  </si>
  <si>
    <r>
      <rPr>
        <b/>
        <sz val="12"/>
        <rFont val="Times New Roman"/>
        <family val="1"/>
      </rPr>
      <t>Only fill in blank cells and select score levels as they appear in the drop-down lists of the questionnaire!</t>
    </r>
    <r>
      <rPr>
        <sz val="12"/>
        <rFont val="Times New Roman"/>
        <family val="1"/>
      </rPr>
      <t xml:space="preserve">
Grey cells are automatically filled based on previous entries. Grey cells should never be changed by the user.</t>
    </r>
  </si>
  <si>
    <t>It is recommended to follow the steps below:</t>
  </si>
  <si>
    <t>Be careful in using "copy and paste" function that covers more than one cell, as you might interfere with non-visible formulas or cells used for calculations.</t>
  </si>
  <si>
    <r>
      <rPr>
        <b/>
        <sz val="12"/>
        <rFont val="Times New Roman"/>
        <family val="1"/>
      </rPr>
      <t>Fill in the name of the value chain, country and the date</t>
    </r>
    <r>
      <rPr>
        <sz val="12"/>
        <rFont val="Times New Roman"/>
        <family val="1"/>
      </rPr>
      <t xml:space="preserve"> of assessment in the first sheet "Profile". 
They will be copied automatically in the other sheets from where you cannot access these elements.</t>
    </r>
  </si>
  <si>
    <t>*</t>
  </si>
  <si>
    <t>**</t>
  </si>
  <si>
    <r>
      <rPr>
        <b/>
        <sz val="12"/>
        <rFont val="Times New Roman"/>
        <family val="1"/>
      </rPr>
      <t>Give a short justification for your choice</t>
    </r>
    <r>
      <rPr>
        <sz val="12"/>
        <rFont val="Times New Roman"/>
        <family val="1"/>
      </rPr>
      <t xml:space="preserve"> in the "Comments" column. </t>
    </r>
  </si>
  <si>
    <r>
      <rPr>
        <b/>
        <sz val="12"/>
        <rFont val="Times New Roman"/>
        <family val="1"/>
      </rPr>
      <t>Describe the major risks,</t>
    </r>
    <r>
      <rPr>
        <sz val="12"/>
        <rFont val="Times New Roman"/>
        <family val="1"/>
      </rPr>
      <t xml:space="preserve"> if any, in column E. 
All the questions assessed as "not at all" or "moderate/low" in the questionnaire need to be analyzed as possible risks or negative outcomes.
Major risks and negative consequences may be identified by the questionnaire, but could also include further issues to be pointed at. </t>
    </r>
  </si>
  <si>
    <r>
      <t xml:space="preserve">Describe the </t>
    </r>
    <r>
      <rPr>
        <b/>
        <sz val="12"/>
        <rFont val="Times New Roman"/>
        <family val="1"/>
      </rPr>
      <t>major mitigating measures</t>
    </r>
    <r>
      <rPr>
        <sz val="12"/>
        <rFont val="Times New Roman"/>
        <family val="1"/>
      </rPr>
      <t xml:space="preserve"> in column F.</t>
    </r>
  </si>
  <si>
    <r>
      <t xml:space="preserve">Insert date and </t>
    </r>
    <r>
      <rPr>
        <b/>
        <sz val="12"/>
        <rFont val="Times New Roman"/>
        <family val="1"/>
      </rPr>
      <t>copy scores of previous social profile</t>
    </r>
    <r>
      <rPr>
        <sz val="12"/>
        <rFont val="Times New Roman"/>
        <family val="1"/>
      </rPr>
      <t xml:space="preserve"> assessment (column H), if there has been one.</t>
    </r>
  </si>
  <si>
    <r>
      <rPr>
        <b/>
        <sz val="12"/>
        <rFont val="Times New Roman"/>
        <family val="1"/>
      </rPr>
      <t>Highlight progress done</t>
    </r>
    <r>
      <rPr>
        <sz val="12"/>
        <rFont val="Times New Roman"/>
        <family val="1"/>
      </rPr>
      <t xml:space="preserve"> in the implementation of specific measures since previous social profile assessment in column G "Comments".</t>
    </r>
  </si>
  <si>
    <r>
      <t xml:space="preserve">Provide an </t>
    </r>
    <r>
      <rPr>
        <b/>
        <sz val="12"/>
        <rFont val="Times New Roman"/>
        <family val="1"/>
      </rPr>
      <t>overall summary of the key issues and recommendations</t>
    </r>
    <r>
      <rPr>
        <sz val="12"/>
        <rFont val="Times New Roman"/>
        <family val="1"/>
      </rPr>
      <t xml:space="preserve">, the Risk and Cost of Non-Intervention vs. Benefits and the key mitigating measures. </t>
    </r>
  </si>
  <si>
    <r>
      <t>After some time of work and changes,</t>
    </r>
    <r>
      <rPr>
        <b/>
        <sz val="12"/>
        <color rgb="FFC00000"/>
        <rFont val="Arial"/>
        <family val="2"/>
      </rPr>
      <t xml:space="preserve">
                                  it happens that colours are not automatically selected</t>
    </r>
    <r>
      <rPr>
        <sz val="10"/>
        <color rgb="FFC00000"/>
        <rFont val="Arial"/>
        <family val="2"/>
      </rPr>
      <t>.</t>
    </r>
    <r>
      <rPr>
        <b/>
        <sz val="10"/>
        <color rgb="FFC00000"/>
        <rFont val="Arial"/>
        <family val="2"/>
      </rPr>
      <t xml:space="preserve"> 
                                                                      </t>
    </r>
    <r>
      <rPr>
        <b/>
        <sz val="12"/>
        <color rgb="FFC00000"/>
        <rFont val="Arial"/>
        <family val="2"/>
      </rPr>
      <t xml:space="preserve">=&gt; Save your work, close the file and open it again… </t>
    </r>
    <r>
      <rPr>
        <b/>
        <sz val="10"/>
        <color rgb="FFC00000"/>
        <rFont val="Arial"/>
        <family val="2"/>
      </rPr>
      <t>and it will work afresh!</t>
    </r>
  </si>
  <si>
    <r>
      <t xml:space="preserve">In the column "Source", you should include which </t>
    </r>
    <r>
      <rPr>
        <b/>
        <sz val="12"/>
        <rFont val="Times New Roman"/>
        <family val="1"/>
      </rPr>
      <t>source of information</t>
    </r>
    <r>
      <rPr>
        <sz val="12"/>
        <rFont val="Times New Roman"/>
        <family val="1"/>
      </rPr>
      <t xml:space="preserve"> you used for your judgement.</t>
    </r>
  </si>
  <si>
    <r>
      <t>The "</t>
    </r>
    <r>
      <rPr>
        <b/>
        <sz val="12"/>
        <rFont val="Times New Roman"/>
        <family val="1"/>
      </rPr>
      <t>Average</t>
    </r>
    <r>
      <rPr>
        <sz val="12"/>
        <rFont val="Times New Roman"/>
        <family val="1"/>
      </rPr>
      <t>" score level is automatically set as the unweighted average of the score levels for the underlying questions. 
In exceptional cases,</t>
    </r>
    <r>
      <rPr>
        <b/>
        <sz val="12"/>
        <rFont val="Times New Roman"/>
        <family val="1"/>
      </rPr>
      <t xml:space="preserve"> the average score level can be manually modified</t>
    </r>
    <r>
      <rPr>
        <sz val="12"/>
        <rFont val="Times New Roman"/>
        <family val="1"/>
      </rPr>
      <t xml:space="preserve"> using column I (cell next to "Final:"). This may be used in order to take into account important aspects not covered by the questions. 
In this case, </t>
    </r>
    <r>
      <rPr>
        <b/>
        <sz val="12"/>
        <rFont val="Times New Roman"/>
        <family val="1"/>
      </rPr>
      <t>a justification should be provided</t>
    </r>
    <r>
      <rPr>
        <sz val="12"/>
        <rFont val="Times New Roman"/>
        <family val="1"/>
      </rPr>
      <t xml:space="preserve"> (under "Comments", column K). 
Change can only be done to the immediate nearest score level or to n/a (otherwise the calculations will be wrong). 
</t>
    </r>
    <r>
      <rPr>
        <u/>
        <sz val="12"/>
        <rFont val="Times New Roman"/>
        <family val="1"/>
      </rPr>
      <t>NB</t>
    </r>
    <r>
      <rPr>
        <sz val="12"/>
        <rFont val="Times New Roman"/>
        <family val="1"/>
      </rPr>
      <t>: After making trials of adjustment of this cell, if you eventually want to let the initial automatic calculation work, it is necessary to reintroduce manually the reference of the corresponding D cell ("=Dx" for line x) to come back to the intial state of the spreadsheet.</t>
    </r>
  </si>
  <si>
    <t>When using this Excel tool, please take into account the following guiding principles:</t>
  </si>
  <si>
    <r>
      <rPr>
        <b/>
        <sz val="12"/>
        <rFont val="Times New Roman"/>
        <family val="1"/>
      </rPr>
      <t>Respond to each question by using the score levels</t>
    </r>
    <r>
      <rPr>
        <sz val="12"/>
        <rFont val="Times New Roman"/>
        <family val="1"/>
      </rPr>
      <t xml:space="preserve">: 
- </t>
    </r>
    <r>
      <rPr>
        <b/>
        <sz val="12"/>
        <color rgb="FF00B050"/>
        <rFont val="Times New Roman"/>
        <family val="1"/>
      </rPr>
      <t>High</t>
    </r>
    <r>
      <rPr>
        <sz val="12"/>
        <rFont val="Times New Roman"/>
        <family val="1"/>
      </rPr>
      <t xml:space="preserve">, 
- </t>
    </r>
    <r>
      <rPr>
        <b/>
        <sz val="12"/>
        <color rgb="FF92D050"/>
        <rFont val="Times New Roman"/>
        <family val="1"/>
      </rPr>
      <t>Substantial</t>
    </r>
    <r>
      <rPr>
        <sz val="12"/>
        <rFont val="Times New Roman"/>
        <family val="1"/>
      </rPr>
      <t xml:space="preserve">, 
- </t>
    </r>
    <r>
      <rPr>
        <b/>
        <sz val="12"/>
        <color rgb="FFFFC000"/>
        <rFont val="Times New Roman"/>
        <family val="1"/>
      </rPr>
      <t>Moderate/Low</t>
    </r>
    <r>
      <rPr>
        <sz val="12"/>
        <rFont val="Times New Roman"/>
        <family val="1"/>
      </rPr>
      <t xml:space="preserve">, 
- </t>
    </r>
    <r>
      <rPr>
        <b/>
        <sz val="12"/>
        <color rgb="FFFF0000"/>
        <rFont val="Times New Roman"/>
        <family val="1"/>
      </rPr>
      <t>Not at all</t>
    </r>
    <r>
      <rPr>
        <sz val="12"/>
        <rFont val="Times New Roman"/>
        <family val="1"/>
      </rPr>
      <t xml:space="preserve">,
- </t>
    </r>
    <r>
      <rPr>
        <b/>
        <sz val="12"/>
        <rFont val="Times New Roman"/>
        <family val="1"/>
      </rPr>
      <t>n/a</t>
    </r>
    <r>
      <rPr>
        <sz val="12"/>
        <rFont val="Times New Roman"/>
        <family val="1"/>
      </rPr>
      <t xml:space="preserve"> = </t>
    </r>
    <r>
      <rPr>
        <b/>
        <sz val="12"/>
        <rFont val="Times New Roman"/>
        <family val="1"/>
      </rPr>
      <t>not applicable</t>
    </r>
    <r>
      <rPr>
        <sz val="12"/>
        <rFont val="Times New Roman"/>
        <family val="1"/>
      </rPr>
      <t xml:space="preserve"> (when not relevant) or </t>
    </r>
    <r>
      <rPr>
        <b/>
        <sz val="12"/>
        <rFont val="Times New Roman"/>
        <family val="1"/>
      </rPr>
      <t>not available</t>
    </r>
    <r>
      <rPr>
        <sz val="12"/>
        <rFont val="Times New Roman"/>
        <family val="1"/>
      </rPr>
      <t xml:space="preserve"> (when not possible to reply). 
In your assessment, take into account the likelihood and the impact and consider the stage of the chain the most at risk.</t>
    </r>
  </si>
  <si>
    <t xml:space="preserve">4.1 Availability of food </t>
  </si>
  <si>
    <r>
      <t xml:space="preserve">SOCIAL PROFILE  </t>
    </r>
    <r>
      <rPr>
        <b/>
        <sz val="9"/>
        <color rgb="FFFF0000"/>
        <rFont val="Arial"/>
        <family val="2"/>
      </rPr>
      <t>(V.2017-0)</t>
    </r>
  </si>
  <si>
    <t>***</t>
  </si>
  <si>
    <r>
      <t>When writing comments and observation with text ending beyond the limits of the cell,</t>
    </r>
    <r>
      <rPr>
        <b/>
        <sz val="12"/>
        <rFont val="Times New Roman"/>
        <family val="1"/>
      </rPr>
      <t xml:space="preserve"> you can adjust the row height</t>
    </r>
    <r>
      <rPr>
        <sz val="12"/>
        <rFont val="Times New Roman"/>
        <family val="1"/>
      </rPr>
      <t xml:space="preserve"> by dragging down the bottom line of the row from the far left colum which shows the row numbers.</t>
    </r>
  </si>
  <si>
    <t>1. WORKING CONDITIONS</t>
  </si>
  <si>
    <t>2. LAND &amp; WATER RIGHTS</t>
  </si>
  <si>
    <t>3. GENDER EQUALITY</t>
  </si>
  <si>
    <t>4. FOOD AND NUTRITION SECURITY</t>
  </si>
  <si>
    <t>5. SOCIAL CAPITAL</t>
  </si>
  <si>
    <t>6. LIVING CONDITIONS</t>
  </si>
  <si>
    <t>Reports of the ILO CEACR</t>
  </si>
  <si>
    <t xml:space="preserve">Freedom of association is protected by law. The relavant union (MITUF) is represented in a few formal enterprises, others have staff associations, while smaller companies are characterised by paternalistic relations. MITUF is engaged with the employers' association in drawing up baseline salaries for the sector. </t>
  </si>
  <si>
    <t>Written contracts are legally required as of 2022, and are used at least in the larger companies. Employers stress the very low turnover of personnel.</t>
  </si>
  <si>
    <t xml:space="preserve">Respect for labour rights is generally high in Mongolia, including in downstream cashmere enterprises.  </t>
  </si>
  <si>
    <t>Reports of the ILO CEACR mention forced labour issues in other sectors, not in cashmere.</t>
  </si>
  <si>
    <t>Discrimination not mentioned by any interviewees, including MITUF.</t>
  </si>
  <si>
    <t>ILO: NSO statistics.</t>
  </si>
  <si>
    <t>Interviews with herders and factory owners. NSO statistics.</t>
  </si>
  <si>
    <t>Interviews with companies, trade union, ILO. Reports of the ILO CEACR</t>
  </si>
  <si>
    <t>Interviews with companies, trade union, ILO</t>
  </si>
  <si>
    <t>Interviews with factory-owners, MITUF</t>
  </si>
  <si>
    <t>Larger factories have in-house systems, but light industry as a sector has a poor record. Workers are not well informed of the risks, but MTUF is organising translation of a major ILO document.</t>
  </si>
  <si>
    <t>School attendance is extremely high for both rural and urban children throughout the lower secondary stage, and still high at the upper secondary stage though lower (66%) for rural males.</t>
  </si>
  <si>
    <t>Factory work is prohibited for children under 18, and we saw no evidence of it. Nationally (for all economic sectors) 5.4% of girls 5-17 and 10% of boys are involved in labour in hazardous conditions.</t>
  </si>
  <si>
    <t>Interviews with factory-owners, ILO: NSO statistics. Interviews with herders and academic literature</t>
  </si>
  <si>
    <t>(for downstream enterprises) Salaries and benefits generally agreed to be in comparison with other light indistries and urban emplyment. (for herding sector) Some concern about conditions for paid herding assistants and their families.</t>
  </si>
  <si>
    <t>Interviews with factory-owners, ILO: NSO statistics. Interviews with herders.</t>
  </si>
  <si>
    <t>(for downstream enterprises) Comments against 1.4.1 also apply to youth. (for herding sector) Widespread concerns about attarctiveness of herding for younger generations, especially girls.</t>
  </si>
  <si>
    <t>Interviews, academic literature</t>
  </si>
  <si>
    <t>As for 2.1.1</t>
  </si>
  <si>
    <t>There are complex politics around acquisition of land for mining, but rights of herders are not well protected in such cases.</t>
  </si>
  <si>
    <t>In cases of acquisition of rangeland for non-herding purposes, disclosure to herders is low</t>
  </si>
  <si>
    <t>Interviews with herders and soum level officials</t>
  </si>
  <si>
    <t>Reasonable knowledge by herders of developments in rangeland policy</t>
  </si>
  <si>
    <t>Interviews with herders and soum-level officials</t>
  </si>
  <si>
    <t>The development of rangeland policy and law, though slow, favours equitable access for herders, as do local arrangements</t>
  </si>
  <si>
    <t>Herders have access to bagh- and soum-level institutions and officials</t>
  </si>
  <si>
    <t>Interviews, observation</t>
  </si>
  <si>
    <t>As 3.1.1</t>
  </si>
  <si>
    <t>Interviews with herders, reports, national statistics</t>
  </si>
  <si>
    <t>Household property (campsites, livestock, motorcycles and trucks) is generally registered under the husband's name</t>
  </si>
  <si>
    <t>For campsites see above. Rights to graze accrue to the household, but husbands are more likely to participate in discussions on rangeland management</t>
  </si>
  <si>
    <t>Most decisions on taking out loans are made jointly, and 14% by the woman alone</t>
  </si>
  <si>
    <t>Access to extension services is limited for both genders</t>
  </si>
  <si>
    <t>Obvious participation of women at all levels of the value chain, including senior- and middle-mangement of formal downstream enterprises</t>
  </si>
  <si>
    <t>Interviews with herders, reports</t>
  </si>
  <si>
    <t>In the herding sector women work as part of the household unit, where men have more say in decisions</t>
  </si>
  <si>
    <t>In herding households men are more likely than women to decide on herd and pasture management, seasonal migrations and produce marketing</t>
  </si>
  <si>
    <t>Women have less say on household purchases, other than food and clothing</t>
  </si>
  <si>
    <t>Nationally, women are more easily employable than men, including in cashmere processing</t>
  </si>
  <si>
    <t>Interviews</t>
  </si>
  <si>
    <t>High membership of cooperatives and rangelend user associations. Where the trade union organises, women are members</t>
  </si>
  <si>
    <t>Women are present as leaders, but less so than men</t>
  </si>
  <si>
    <t>Yes, but less so than men</t>
  </si>
  <si>
    <t>Interviews, reports</t>
  </si>
  <si>
    <t>Clear evidence of inequality in hours worked in the herding sector (average 11.1 vs 9.2 hours)</t>
  </si>
  <si>
    <t>Interviews, reports, observation</t>
  </si>
  <si>
    <t>Some labour-saving devices observed, women's and men's work equally strenuous</t>
  </si>
  <si>
    <t>National statistics, interviews</t>
  </si>
  <si>
    <t>Severe food insecurity is very rare</t>
  </si>
  <si>
    <t>National statistics, interviews, observations</t>
  </si>
  <si>
    <t>Cashmere producing households are able to purchase plentiful food</t>
  </si>
  <si>
    <t>Food price inflation is at manageable levels</t>
  </si>
  <si>
    <t>There is widespread concern about lack of dietary diversity in the national diet</t>
  </si>
  <si>
    <t>Little evidence for improvement</t>
  </si>
  <si>
    <t>Cashmere herders have options of direct consumption of livestock products or emergency stock sales so are unlikely to face direct food shortage</t>
  </si>
  <si>
    <t>Where they were observed, coops and RUAs were strong but only a minority of herders belong to such organisations</t>
  </si>
  <si>
    <t>Where they function, coops are open to herders who wish to engage (although some are quasi-coops owned by a small number of shareholders). RUAs are open to herding households in the relevant area.</t>
  </si>
  <si>
    <t>The leaderships of coops and RUAs are generally well trusted by herders</t>
  </si>
  <si>
    <t>Interviews, economic analysis</t>
  </si>
  <si>
    <t>Herders use multiple sources of informatiom</t>
  </si>
  <si>
    <t>Trust between value chain actors is generally high, although there is distrust of Chinese-owned factories and their middlemen</t>
  </si>
  <si>
    <t>High participation in bagh assemblies, Rangeland User Groups etc. where rangeland mangement options are debated. Strong civil society participation in national debates on rangeland law</t>
  </si>
  <si>
    <t>Herders were generally negative on this point</t>
  </si>
  <si>
    <t>Strong voluntary participation in neighbourhood activities such as well maintenance, hay harvesting, road maintenance</t>
  </si>
  <si>
    <t>National data, interviews</t>
  </si>
  <si>
    <t>The great majority of rura people have access to health facilities staffed by doctors at bagh level</t>
  </si>
  <si>
    <t>Very high figures for rural women receiving high-quality ante natal and natal care</t>
  </si>
  <si>
    <t>No charges levied</t>
  </si>
  <si>
    <t>76% of rural households live in gers. None were observed in less substantial accommodation</t>
  </si>
  <si>
    <t>National data, observations</t>
  </si>
  <si>
    <t>Human water sources tend to be at a distance from homes. Sanitation is generally rudimentary.</t>
  </si>
  <si>
    <t>National data</t>
  </si>
  <si>
    <t>Very high participation, though there are concerns about inadequacy of boarding provision</t>
  </si>
  <si>
    <t>Very high participation in secondary education. Good vocational provision at national level</t>
  </si>
  <si>
    <t>Interviews with factory owners</t>
  </si>
  <si>
    <t>Good provision of training, in a few cases internationally</t>
  </si>
  <si>
    <t>Yes, but with less decision-making power than men</t>
  </si>
  <si>
    <t>Little evidence of effective bargaining on price of inputs or outputs</t>
  </si>
  <si>
    <t>General satisfaction with participation in coops, RUAs and bagh-level government. Strong civil society participation in national debates on rangeland law</t>
  </si>
  <si>
    <t>Cashmere</t>
  </si>
  <si>
    <t>Mongolia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</si>
</sst>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0"/>
      <name val="Arial"/>
    </font>
    <font>
      <sz val="8"/>
      <name val="Arial"/>
      <family val="2"/>
    </font>
    <font>
      <b/>
      <sz val="10"/>
      <name val="Arial"/>
      <family val="2"/>
    </font>
    <font>
      <sz val="12"/>
      <name val="Times New Roman"/>
      <family val="1"/>
    </font>
    <font>
      <b/>
      <sz val="12"/>
      <name val="Times New Roman"/>
      <family val="1"/>
    </font>
    <font>
      <b/>
      <sz val="12"/>
      <color indexed="8"/>
      <name val="Times New Roman"/>
      <family val="1"/>
    </font>
    <font>
      <sz val="9"/>
      <name val="Arial"/>
      <family val="2"/>
    </font>
    <font>
      <sz val="10"/>
      <name val="Arial"/>
      <family val="2"/>
    </font>
    <font>
      <b/>
      <sz val="11"/>
      <name val="Arial"/>
      <family val="2"/>
    </font>
    <font>
      <sz val="11"/>
      <name val="Arial"/>
      <family val="2"/>
    </font>
    <font>
      <i/>
      <sz val="11"/>
      <name val="Arial"/>
      <family val="2"/>
    </font>
    <font>
      <i/>
      <sz val="9"/>
      <name val="Arial"/>
      <family val="2"/>
    </font>
    <font>
      <b/>
      <sz val="10"/>
      <color rgb="FFC00000"/>
      <name val="Arial"/>
      <family val="2"/>
    </font>
    <font>
      <sz val="10"/>
      <color rgb="FFFF0000"/>
      <name val="Arial"/>
      <family val="2"/>
    </font>
    <font>
      <sz val="12"/>
      <color rgb="FF555555"/>
      <name val="Arial"/>
      <family val="2"/>
    </font>
    <font>
      <b/>
      <sz val="10"/>
      <color rgb="FFFF0000"/>
      <name val="Arial"/>
      <family val="2"/>
    </font>
    <font>
      <b/>
      <sz val="12"/>
      <name val="Arial"/>
      <family val="2"/>
    </font>
    <font>
      <b/>
      <i/>
      <sz val="9"/>
      <name val="Arial"/>
      <family val="2"/>
    </font>
    <font>
      <b/>
      <sz val="9"/>
      <name val="Arial"/>
      <family val="2"/>
    </font>
    <font>
      <b/>
      <sz val="8"/>
      <name val="Arial"/>
      <family val="2"/>
    </font>
    <font>
      <b/>
      <i/>
      <sz val="10"/>
      <name val="Arial"/>
      <family val="2"/>
    </font>
    <font>
      <b/>
      <i/>
      <sz val="14"/>
      <name val="Arial"/>
      <family val="2"/>
    </font>
    <font>
      <i/>
      <sz val="10"/>
      <name val="Arial"/>
      <family val="2"/>
    </font>
    <font>
      <b/>
      <i/>
      <sz val="12"/>
      <name val="Arial"/>
      <family val="2"/>
    </font>
    <font>
      <b/>
      <sz val="12"/>
      <color rgb="FFC00000"/>
      <name val="Arial"/>
      <family val="2"/>
    </font>
    <font>
      <sz val="10"/>
      <color rgb="FFC00000"/>
      <name val="Arial"/>
      <family val="2"/>
    </font>
    <font>
      <b/>
      <sz val="10"/>
      <color rgb="FFC00000"/>
      <name val="Wingdings"/>
      <charset val="2"/>
    </font>
    <font>
      <sz val="10"/>
      <name val="Calibri"/>
      <family val="2"/>
    </font>
    <font>
      <b/>
      <sz val="12"/>
      <color rgb="FF00B050"/>
      <name val="Times New Roman"/>
      <family val="1"/>
    </font>
    <font>
      <b/>
      <sz val="12"/>
      <color rgb="FF92D050"/>
      <name val="Times New Roman"/>
      <family val="1"/>
    </font>
    <font>
      <b/>
      <sz val="12"/>
      <color rgb="FFFFC000"/>
      <name val="Times New Roman"/>
      <family val="1"/>
    </font>
    <font>
      <b/>
      <sz val="12"/>
      <color rgb="FFFF0000"/>
      <name val="Times New Roman"/>
      <family val="1"/>
    </font>
    <font>
      <u/>
      <sz val="12"/>
      <name val="Times New Roman"/>
      <family val="1"/>
    </font>
    <font>
      <b/>
      <sz val="14"/>
      <color rgb="FFC00000"/>
      <name val="Arial"/>
      <family val="2"/>
    </font>
    <font>
      <b/>
      <sz val="12"/>
      <color rgb="FFFF0000"/>
      <name val="Arial"/>
      <family val="2"/>
    </font>
    <font>
      <b/>
      <sz val="9"/>
      <color rgb="FFFF0000"/>
      <name val="Arial"/>
      <family val="2"/>
    </font>
  </fonts>
  <fills count="34">
    <fill>
      <patternFill patternType="none"/>
    </fill>
    <fill>
      <patternFill patternType="gray125"/>
    </fill>
    <fill>
      <patternFill patternType="solid">
        <fgColor indexed="22"/>
        <bgColor indexed="64"/>
      </patternFill>
    </fill>
    <fill>
      <patternFill patternType="solid">
        <fgColor indexed="44"/>
        <bgColor indexed="64"/>
      </patternFill>
    </fill>
    <fill>
      <patternFill patternType="solid">
        <fgColor theme="0" tint="-0.249977111117893"/>
        <bgColor indexed="64"/>
      </patternFill>
    </fill>
    <fill>
      <patternFill patternType="solid">
        <fgColor theme="0"/>
        <bgColor indexed="64"/>
      </patternFill>
    </fill>
    <fill>
      <patternFill patternType="solid">
        <fgColor rgb="FFFFFF0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rgb="FFFF0000"/>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rgb="FF785B97"/>
        <bgColor indexed="64"/>
      </patternFill>
    </fill>
    <fill>
      <patternFill patternType="solid">
        <fgColor rgb="FFB1A0C7"/>
        <bgColor indexed="64"/>
      </patternFill>
    </fill>
    <fill>
      <patternFill patternType="solid">
        <fgColor theme="2" tint="-0.249977111117893"/>
        <bgColor indexed="64"/>
      </patternFill>
    </fill>
    <fill>
      <patternFill patternType="solid">
        <fgColor theme="9"/>
        <bgColor indexed="64"/>
      </patternFill>
    </fill>
    <fill>
      <patternFill patternType="solid">
        <fgColor theme="6" tint="0.59999389629810485"/>
        <bgColor indexed="64"/>
      </patternFill>
    </fill>
    <fill>
      <patternFill patternType="solid">
        <fgColor rgb="FFFFC000"/>
        <bgColor indexed="64"/>
      </patternFill>
    </fill>
    <fill>
      <patternFill patternType="solid">
        <fgColor rgb="FF00B05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2" tint="-0.499984740745262"/>
        <bgColor indexed="64"/>
      </patternFill>
    </fill>
    <fill>
      <patternFill patternType="solid">
        <fgColor theme="2" tint="-9.9978637043366805E-2"/>
        <bgColor indexed="64"/>
      </patternFill>
    </fill>
  </fills>
  <borders count="84">
    <border>
      <left/>
      <right/>
      <top/>
      <bottom/>
      <diagonal/>
    </border>
    <border>
      <left/>
      <right style="medium">
        <color auto="1"/>
      </right>
      <top/>
      <bottom/>
      <diagonal/>
    </border>
    <border>
      <left style="medium">
        <color auto="1"/>
      </left>
      <right/>
      <top/>
      <bottom/>
      <diagonal/>
    </border>
    <border>
      <left style="medium">
        <color auto="1"/>
      </left>
      <right style="medium">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double">
        <color auto="1"/>
      </bottom>
      <diagonal/>
    </border>
    <border>
      <left style="medium">
        <color auto="1"/>
      </left>
      <right/>
      <top style="thin">
        <color auto="1"/>
      </top>
      <bottom style="thin">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right style="medium">
        <color auto="1"/>
      </right>
      <top style="medium">
        <color auto="1"/>
      </top>
      <bottom/>
      <diagonal/>
    </border>
    <border>
      <left/>
      <right style="medium">
        <color auto="1"/>
      </right>
      <top/>
      <bottom style="thin">
        <color auto="1"/>
      </bottom>
      <diagonal/>
    </border>
    <border>
      <left/>
      <right style="medium">
        <color auto="1"/>
      </right>
      <top style="thin">
        <color auto="1"/>
      </top>
      <bottom style="thin">
        <color auto="1"/>
      </bottom>
      <diagonal/>
    </border>
    <border>
      <left/>
      <right style="medium">
        <color auto="1"/>
      </right>
      <top style="thin">
        <color auto="1"/>
      </top>
      <bottom style="double">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medium">
        <color auto="1"/>
      </left>
      <right style="medium">
        <color auto="1"/>
      </right>
      <top/>
      <bottom style="thin">
        <color auto="1"/>
      </bottom>
      <diagonal/>
    </border>
    <border>
      <left/>
      <right style="medium">
        <color auto="1"/>
      </right>
      <top style="medium">
        <color auto="1"/>
      </top>
      <bottom style="thin">
        <color auto="1"/>
      </bottom>
      <diagonal/>
    </border>
    <border>
      <left style="medium">
        <color auto="1"/>
      </left>
      <right style="medium">
        <color auto="1"/>
      </right>
      <top/>
      <bottom/>
      <diagonal/>
    </border>
    <border>
      <left style="medium">
        <color auto="1"/>
      </left>
      <right style="medium">
        <color auto="1"/>
      </right>
      <top/>
      <bottom style="double">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style="thin">
        <color auto="1"/>
      </bottom>
      <diagonal/>
    </border>
    <border>
      <left/>
      <right/>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style="medium">
        <color auto="1"/>
      </left>
      <right/>
      <top style="thin">
        <color auto="1"/>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thin">
        <color auto="1"/>
      </right>
      <top/>
      <bottom style="thin">
        <color auto="1"/>
      </bottom>
      <diagonal/>
    </border>
    <border>
      <left/>
      <right/>
      <top style="thin">
        <color auto="1"/>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top/>
      <bottom style="thin">
        <color auto="1"/>
      </bottom>
      <diagonal/>
    </border>
    <border>
      <left/>
      <right/>
      <top style="medium">
        <color auto="1"/>
      </top>
      <bottom/>
      <diagonal/>
    </border>
    <border>
      <left/>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auto="1"/>
      </right>
      <top style="thin">
        <color auto="1"/>
      </top>
      <bottom style="medium">
        <color auto="1"/>
      </bottom>
      <diagonal/>
    </border>
    <border>
      <left/>
      <right style="thin">
        <color auto="1"/>
      </right>
      <top style="medium">
        <color auto="1"/>
      </top>
      <bottom style="medium">
        <color auto="1"/>
      </bottom>
      <diagonal/>
    </border>
    <border>
      <left style="medium">
        <color auto="1"/>
      </left>
      <right/>
      <top/>
      <bottom style="double">
        <color auto="1"/>
      </bottom>
      <diagonal/>
    </border>
    <border>
      <left/>
      <right style="thin">
        <color auto="1"/>
      </right>
      <top style="thin">
        <color auto="1"/>
      </top>
      <bottom style="thin">
        <color auto="1"/>
      </bottom>
      <diagonal/>
    </border>
    <border>
      <left/>
      <right style="medium">
        <color auto="1"/>
      </right>
      <top/>
      <bottom style="double">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style="medium">
        <color auto="1"/>
      </top>
      <bottom/>
      <diagonal/>
    </border>
    <border>
      <left/>
      <right style="thin">
        <color auto="1"/>
      </right>
      <top/>
      <bottom style="thin">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style="medium">
        <color auto="1"/>
      </right>
      <top style="thin">
        <color auto="1"/>
      </top>
      <bottom/>
      <diagonal/>
    </border>
    <border>
      <left style="thin">
        <color auto="1"/>
      </left>
      <right/>
      <top style="medium">
        <color auto="1"/>
      </top>
      <bottom style="medium">
        <color auto="1"/>
      </bottom>
      <diagonal/>
    </border>
    <border>
      <left style="thin">
        <color auto="1"/>
      </left>
      <right/>
      <top/>
      <bottom style="medium">
        <color auto="1"/>
      </bottom>
      <diagonal/>
    </border>
    <border>
      <left style="thin">
        <color indexed="64"/>
      </left>
      <right style="thin">
        <color auto="1"/>
      </right>
      <top style="thin">
        <color auto="1"/>
      </top>
      <bottom/>
      <diagonal/>
    </border>
    <border>
      <left style="thin">
        <color auto="1"/>
      </left>
      <right style="thin">
        <color auto="1"/>
      </right>
      <top style="thin">
        <color indexed="64"/>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medium">
        <color auto="1"/>
      </top>
      <bottom style="thin">
        <color indexed="64"/>
      </bottom>
      <diagonal/>
    </border>
    <border>
      <left style="medium">
        <color auto="1"/>
      </left>
      <right/>
      <top style="thin">
        <color auto="1"/>
      </top>
      <bottom/>
      <diagonal/>
    </border>
    <border>
      <left/>
      <right style="thin">
        <color auto="1"/>
      </right>
      <top style="thin">
        <color indexed="64"/>
      </top>
      <bottom/>
      <diagonal/>
    </border>
    <border>
      <left style="thin">
        <color auto="1"/>
      </left>
      <right style="thin">
        <color auto="1"/>
      </right>
      <top style="medium">
        <color auto="1"/>
      </top>
      <bottom style="thin">
        <color indexed="64"/>
      </bottom>
      <diagonal/>
    </border>
    <border>
      <left/>
      <right/>
      <top/>
      <bottom style="thin">
        <color auto="1"/>
      </bottom>
      <diagonal/>
    </border>
    <border>
      <left/>
      <right style="thin">
        <color auto="1"/>
      </right>
      <top style="thin">
        <color auto="1"/>
      </top>
      <bottom style="medium">
        <color auto="1"/>
      </bottom>
      <diagonal/>
    </border>
    <border>
      <left style="thin">
        <color auto="1"/>
      </left>
      <right/>
      <top style="thin">
        <color auto="1"/>
      </top>
      <bottom style="medium">
        <color indexed="64"/>
      </bottom>
      <diagonal/>
    </border>
    <border>
      <left/>
      <right style="thin">
        <color auto="1"/>
      </right>
      <top/>
      <bottom style="medium">
        <color auto="1"/>
      </bottom>
      <diagonal/>
    </border>
    <border>
      <left style="thin">
        <color auto="1"/>
      </left>
      <right/>
      <top style="medium">
        <color auto="1"/>
      </top>
      <bottom/>
      <diagonal/>
    </border>
    <border>
      <left style="medium">
        <color auto="1"/>
      </left>
      <right style="medium">
        <color auto="1"/>
      </right>
      <top style="thin">
        <color indexed="64"/>
      </top>
      <bottom/>
      <diagonal/>
    </border>
    <border>
      <left style="medium">
        <color indexed="64"/>
      </left>
      <right style="medium">
        <color auto="1"/>
      </right>
      <top style="double">
        <color auto="1"/>
      </top>
      <bottom style="medium">
        <color auto="1"/>
      </bottom>
      <diagonal/>
    </border>
    <border>
      <left style="thin">
        <color auto="1"/>
      </left>
      <right style="medium">
        <color auto="1"/>
      </right>
      <top/>
      <bottom style="thin">
        <color auto="1"/>
      </bottom>
      <diagonal/>
    </border>
    <border>
      <left style="medium">
        <color auto="1"/>
      </left>
      <right style="medium">
        <color auto="1"/>
      </right>
      <top style="double">
        <color indexed="64"/>
      </top>
      <bottom/>
      <diagonal/>
    </border>
    <border>
      <left style="thin">
        <color auto="1"/>
      </left>
      <right/>
      <top/>
      <bottom/>
      <diagonal/>
    </border>
    <border>
      <left/>
      <right style="thin">
        <color auto="1"/>
      </right>
      <top/>
      <bottom/>
      <diagonal/>
    </border>
    <border>
      <left style="medium">
        <color auto="1"/>
      </left>
      <right style="thin">
        <color indexed="64"/>
      </right>
      <top/>
      <bottom/>
      <diagonal/>
    </border>
    <border>
      <left style="thin">
        <color indexed="64"/>
      </left>
      <right style="medium">
        <color auto="1"/>
      </right>
      <top/>
      <bottom/>
      <diagonal/>
    </border>
  </borders>
  <cellStyleXfs count="1">
    <xf numFmtId="0" fontId="0" fillId="0" borderId="0"/>
  </cellStyleXfs>
  <cellXfs count="613">
    <xf numFmtId="0" fontId="0" fillId="0" borderId="0" xfId="0"/>
    <xf numFmtId="0" fontId="9" fillId="0" borderId="11" xfId="0" applyFont="1" applyBorder="1" applyAlignment="1" applyProtection="1">
      <alignment horizontal="left" vertical="center" wrapText="1"/>
      <protection locked="0"/>
    </xf>
    <xf numFmtId="0" fontId="9" fillId="0" borderId="18" xfId="0" applyFont="1" applyBorder="1" applyAlignment="1" applyProtection="1">
      <alignment horizontal="left" vertical="center" wrapText="1"/>
      <protection locked="0"/>
    </xf>
    <xf numFmtId="0" fontId="9" fillId="0" borderId="12" xfId="0" applyFont="1" applyBorder="1" applyAlignment="1" applyProtection="1">
      <alignment horizontal="left" vertical="center" wrapText="1"/>
      <protection locked="0"/>
    </xf>
    <xf numFmtId="0" fontId="9" fillId="0" borderId="13" xfId="0" applyFont="1" applyBorder="1" applyAlignment="1" applyProtection="1">
      <alignment horizontal="left" vertical="center" wrapText="1"/>
      <protection locked="0"/>
    </xf>
    <xf numFmtId="0" fontId="9" fillId="0" borderId="4" xfId="0" applyFont="1" applyBorder="1" applyAlignment="1" applyProtection="1">
      <alignment horizontal="left" vertical="center" wrapText="1"/>
      <protection locked="0"/>
    </xf>
    <xf numFmtId="0" fontId="9" fillId="0" borderId="3" xfId="0" applyFont="1" applyBorder="1" applyAlignment="1" applyProtection="1">
      <alignment horizontal="left" vertical="center" wrapText="1"/>
      <protection locked="0"/>
    </xf>
    <xf numFmtId="0" fontId="9" fillId="0" borderId="5" xfId="0" applyFont="1" applyBorder="1" applyAlignment="1" applyProtection="1">
      <alignment horizontal="left" vertical="center" wrapText="1"/>
      <protection locked="0"/>
    </xf>
    <xf numFmtId="0" fontId="9" fillId="0" borderId="20" xfId="0" applyFont="1" applyBorder="1" applyAlignment="1" applyProtection="1">
      <alignment horizontal="left" vertical="center" wrapText="1"/>
      <protection locked="0"/>
    </xf>
    <xf numFmtId="0" fontId="9" fillId="0" borderId="46" xfId="0" applyFont="1" applyBorder="1" applyAlignment="1" applyProtection="1">
      <alignment horizontal="left" vertical="center" wrapText="1"/>
      <protection locked="0"/>
    </xf>
    <xf numFmtId="2" fontId="7" fillId="4" borderId="14" xfId="0" applyNumberFormat="1" applyFont="1" applyFill="1" applyBorder="1" applyAlignment="1">
      <alignment horizontal="center" vertical="center"/>
    </xf>
    <xf numFmtId="0" fontId="7" fillId="2" borderId="15" xfId="0" applyFont="1" applyFill="1" applyBorder="1" applyAlignment="1">
      <alignment horizontal="center" vertical="center"/>
    </xf>
    <xf numFmtId="2" fontId="7" fillId="4" borderId="19" xfId="0" applyNumberFormat="1" applyFont="1" applyFill="1" applyBorder="1" applyAlignment="1">
      <alignment horizontal="center" vertical="center"/>
    </xf>
    <xf numFmtId="0" fontId="0" fillId="0" borderId="2" xfId="0" applyBorder="1"/>
    <xf numFmtId="0" fontId="0" fillId="0" borderId="1" xfId="0" applyBorder="1"/>
    <xf numFmtId="0" fontId="2" fillId="2" borderId="8" xfId="0" applyFont="1" applyFill="1" applyBorder="1" applyAlignment="1">
      <alignment horizontal="left" vertical="center"/>
    </xf>
    <xf numFmtId="0" fontId="2" fillId="0" borderId="0" xfId="0" applyFont="1" applyAlignment="1">
      <alignment horizontal="center"/>
    </xf>
    <xf numFmtId="0" fontId="6" fillId="2" borderId="41" xfId="0" applyFont="1" applyFill="1" applyBorder="1" applyAlignment="1">
      <alignment horizontal="right"/>
    </xf>
    <xf numFmtId="49" fontId="6" fillId="2" borderId="18" xfId="0" applyNumberFormat="1" applyFont="1" applyFill="1" applyBorder="1" applyAlignment="1">
      <alignment horizontal="left"/>
    </xf>
    <xf numFmtId="0" fontId="6" fillId="2" borderId="27" xfId="0" applyFont="1" applyFill="1" applyBorder="1" applyAlignment="1">
      <alignment horizontal="center"/>
    </xf>
    <xf numFmtId="0" fontId="6" fillId="2" borderId="34" xfId="0" applyFont="1" applyFill="1" applyBorder="1" applyAlignment="1">
      <alignment horizontal="center" vertical="center"/>
    </xf>
    <xf numFmtId="0" fontId="6" fillId="3" borderId="41" xfId="0" applyFont="1" applyFill="1" applyBorder="1" applyAlignment="1">
      <alignment horizontal="center" vertical="center"/>
    </xf>
    <xf numFmtId="0" fontId="6" fillId="3" borderId="36" xfId="0" applyFont="1" applyFill="1" applyBorder="1" applyAlignment="1">
      <alignment horizontal="center" vertical="center"/>
    </xf>
    <xf numFmtId="0" fontId="6" fillId="3" borderId="51" xfId="0" applyFont="1" applyFill="1" applyBorder="1" applyAlignment="1">
      <alignment horizontal="center" vertical="center"/>
    </xf>
    <xf numFmtId="0" fontId="0" fillId="0" borderId="2" xfId="0" applyBorder="1" applyAlignment="1">
      <alignment horizontal="center"/>
    </xf>
    <xf numFmtId="0" fontId="0" fillId="0" borderId="0" xfId="0" applyAlignment="1">
      <alignment horizontal="center"/>
    </xf>
    <xf numFmtId="0" fontId="2" fillId="5" borderId="50" xfId="0" applyFont="1" applyFill="1" applyBorder="1" applyAlignment="1" applyProtection="1">
      <alignment horizontal="center" vertical="center"/>
      <protection locked="0"/>
    </xf>
    <xf numFmtId="0" fontId="2" fillId="2" borderId="50" xfId="0" applyFont="1" applyFill="1" applyBorder="1" applyAlignment="1">
      <alignment horizontal="center" vertical="center"/>
    </xf>
    <xf numFmtId="2" fontId="2" fillId="2" borderId="28" xfId="0" applyNumberFormat="1" applyFont="1" applyFill="1" applyBorder="1" applyAlignment="1">
      <alignment horizontal="center" vertical="center"/>
    </xf>
    <xf numFmtId="0" fontId="2" fillId="2" borderId="49" xfId="0" applyFont="1" applyFill="1" applyBorder="1" applyAlignment="1">
      <alignment horizontal="center" vertical="center"/>
    </xf>
    <xf numFmtId="2" fontId="2" fillId="4" borderId="50" xfId="0" applyNumberFormat="1" applyFont="1" applyFill="1" applyBorder="1" applyAlignment="1">
      <alignment horizontal="center" vertical="center"/>
    </xf>
    <xf numFmtId="0" fontId="2" fillId="17" borderId="2" xfId="0" applyFont="1" applyFill="1" applyBorder="1" applyAlignment="1">
      <alignment vertical="center"/>
    </xf>
    <xf numFmtId="0" fontId="2" fillId="17" borderId="0" xfId="0" applyFont="1" applyFill="1" applyAlignment="1">
      <alignment vertical="center"/>
    </xf>
    <xf numFmtId="0" fontId="2" fillId="17" borderId="40" xfId="0" applyFont="1" applyFill="1" applyBorder="1" applyAlignment="1">
      <alignment horizontal="right" vertical="center"/>
    </xf>
    <xf numFmtId="2" fontId="2" fillId="17" borderId="40" xfId="0" applyNumberFormat="1" applyFont="1" applyFill="1" applyBorder="1" applyAlignment="1">
      <alignment horizontal="center" vertical="center"/>
    </xf>
    <xf numFmtId="0" fontId="2" fillId="17" borderId="40" xfId="0" applyFont="1" applyFill="1" applyBorder="1" applyAlignment="1">
      <alignment horizontal="center" vertical="center"/>
    </xf>
    <xf numFmtId="0" fontId="2" fillId="19" borderId="49" xfId="0" applyFont="1" applyFill="1" applyBorder="1" applyAlignment="1">
      <alignment horizontal="right" vertical="center"/>
    </xf>
    <xf numFmtId="0" fontId="6" fillId="11" borderId="22" xfId="0" applyFont="1" applyFill="1" applyBorder="1" applyAlignment="1" applyProtection="1">
      <alignment horizontal="left" vertical="top" wrapText="1"/>
      <protection locked="0"/>
    </xf>
    <xf numFmtId="0" fontId="6" fillId="19" borderId="22" xfId="0" applyFont="1" applyFill="1" applyBorder="1" applyAlignment="1" applyProtection="1">
      <alignment vertical="top" wrapText="1"/>
      <protection locked="0"/>
    </xf>
    <xf numFmtId="0" fontId="2" fillId="21" borderId="49" xfId="0" applyFont="1" applyFill="1" applyBorder="1" applyAlignment="1">
      <alignment vertical="top"/>
    </xf>
    <xf numFmtId="0" fontId="2" fillId="12" borderId="49" xfId="0" applyFont="1" applyFill="1" applyBorder="1" applyAlignment="1">
      <alignment horizontal="right" vertical="center"/>
    </xf>
    <xf numFmtId="0" fontId="6" fillId="12" borderId="22" xfId="0" applyFont="1" applyFill="1" applyBorder="1" applyAlignment="1" applyProtection="1">
      <alignment horizontal="left" vertical="top" wrapText="1"/>
      <protection locked="0"/>
    </xf>
    <xf numFmtId="0" fontId="2" fillId="12" borderId="16" xfId="0" applyFont="1" applyFill="1" applyBorder="1" applyAlignment="1">
      <alignment vertical="center"/>
    </xf>
    <xf numFmtId="0" fontId="2" fillId="12" borderId="27" xfId="0" applyFont="1" applyFill="1" applyBorder="1" applyAlignment="1">
      <alignment vertical="center"/>
    </xf>
    <xf numFmtId="0" fontId="2" fillId="12" borderId="54" xfId="0" applyFont="1" applyFill="1" applyBorder="1" applyAlignment="1">
      <alignment horizontal="right" vertical="center"/>
    </xf>
    <xf numFmtId="0" fontId="8" fillId="7" borderId="29" xfId="0" applyFont="1" applyFill="1" applyBorder="1" applyAlignment="1">
      <alignment horizontal="right" vertical="center" wrapText="1"/>
    </xf>
    <xf numFmtId="0" fontId="2" fillId="2" borderId="55" xfId="0" applyFont="1" applyFill="1" applyBorder="1" applyAlignment="1">
      <alignment horizontal="center" vertical="center"/>
    </xf>
    <xf numFmtId="0" fontId="6" fillId="12" borderId="35" xfId="0" applyFont="1" applyFill="1" applyBorder="1" applyAlignment="1" applyProtection="1">
      <alignment horizontal="left" vertical="top" wrapText="1"/>
      <protection locked="0"/>
    </xf>
    <xf numFmtId="0" fontId="0" fillId="0" borderId="22" xfId="0" applyBorder="1" applyAlignment="1" applyProtection="1">
      <alignment horizontal="center" vertical="top"/>
      <protection locked="0"/>
    </xf>
    <xf numFmtId="2" fontId="2" fillId="2" borderId="58" xfId="0" applyNumberFormat="1" applyFont="1" applyFill="1" applyBorder="1" applyAlignment="1">
      <alignment horizontal="center" vertical="center"/>
    </xf>
    <xf numFmtId="0" fontId="2" fillId="2" borderId="54" xfId="0" applyFont="1" applyFill="1" applyBorder="1" applyAlignment="1">
      <alignment horizontal="center" vertical="center"/>
    </xf>
    <xf numFmtId="0" fontId="2" fillId="2" borderId="49" xfId="0" applyFont="1" applyFill="1" applyBorder="1" applyAlignment="1">
      <alignment vertical="center"/>
    </xf>
    <xf numFmtId="0" fontId="2" fillId="9" borderId="24" xfId="0" applyFont="1" applyFill="1" applyBorder="1" applyAlignment="1">
      <alignment vertical="center"/>
    </xf>
    <xf numFmtId="0" fontId="2" fillId="15" borderId="24" xfId="0" applyFont="1" applyFill="1" applyBorder="1" applyAlignment="1">
      <alignment vertical="center"/>
    </xf>
    <xf numFmtId="0" fontId="2" fillId="15" borderId="40" xfId="0" applyFont="1" applyFill="1" applyBorder="1" applyAlignment="1">
      <alignment vertical="center"/>
    </xf>
    <xf numFmtId="0" fontId="2" fillId="15" borderId="25" xfId="0" applyFont="1" applyFill="1" applyBorder="1" applyAlignment="1">
      <alignment vertical="center"/>
    </xf>
    <xf numFmtId="0" fontId="7" fillId="16" borderId="26" xfId="0" applyFont="1" applyFill="1" applyBorder="1" applyAlignment="1">
      <alignment horizontal="left" vertical="center"/>
    </xf>
    <xf numFmtId="0" fontId="7" fillId="16" borderId="6" xfId="0" applyFont="1" applyFill="1" applyBorder="1" applyAlignment="1">
      <alignment horizontal="left" vertical="center"/>
    </xf>
    <xf numFmtId="0" fontId="7" fillId="16" borderId="7" xfId="0" applyFont="1" applyFill="1" applyBorder="1" applyAlignment="1">
      <alignment horizontal="left" vertical="center"/>
    </xf>
    <xf numFmtId="0" fontId="7" fillId="16" borderId="2" xfId="0" applyFont="1" applyFill="1" applyBorder="1" applyAlignment="1">
      <alignment horizontal="right" vertical="center"/>
    </xf>
    <xf numFmtId="0" fontId="2" fillId="13" borderId="24" xfId="0" applyFont="1" applyFill="1" applyBorder="1" applyAlignment="1">
      <alignment vertical="center"/>
    </xf>
    <xf numFmtId="0" fontId="2" fillId="13" borderId="25" xfId="0" applyFont="1" applyFill="1" applyBorder="1" applyAlignment="1">
      <alignment vertical="center"/>
    </xf>
    <xf numFmtId="0" fontId="7" fillId="14" borderId="26" xfId="0" applyFont="1" applyFill="1" applyBorder="1" applyAlignment="1">
      <alignment horizontal="left" vertical="center" wrapText="1"/>
    </xf>
    <xf numFmtId="0" fontId="7" fillId="14" borderId="6" xfId="0" applyFont="1" applyFill="1" applyBorder="1" applyAlignment="1">
      <alignment horizontal="left" vertical="center"/>
    </xf>
    <xf numFmtId="0" fontId="7" fillId="14" borderId="7" xfId="0" applyFont="1" applyFill="1" applyBorder="1" applyAlignment="1">
      <alignment horizontal="left" vertical="center" wrapText="1"/>
    </xf>
    <xf numFmtId="0" fontId="7" fillId="14" borderId="14" xfId="0" applyFont="1" applyFill="1" applyBorder="1" applyAlignment="1">
      <alignment horizontal="right" vertical="center"/>
    </xf>
    <xf numFmtId="0" fontId="2" fillId="17" borderId="24" xfId="0" applyFont="1" applyFill="1" applyBorder="1" applyAlignment="1">
      <alignment vertical="center"/>
    </xf>
    <xf numFmtId="0" fontId="2" fillId="17" borderId="25" xfId="0" applyFont="1" applyFill="1" applyBorder="1" applyAlignment="1">
      <alignment vertical="center"/>
    </xf>
    <xf numFmtId="0" fontId="7" fillId="18" borderId="17" xfId="0" applyFont="1" applyFill="1" applyBorder="1" applyAlignment="1">
      <alignment horizontal="left" vertical="center"/>
    </xf>
    <xf numFmtId="0" fontId="7" fillId="18" borderId="7" xfId="0" applyFont="1" applyFill="1" applyBorder="1" applyAlignment="1">
      <alignment horizontal="left" vertical="center"/>
    </xf>
    <xf numFmtId="0" fontId="2" fillId="9" borderId="25" xfId="0" applyFont="1" applyFill="1" applyBorder="1" applyAlignment="1">
      <alignment vertical="center"/>
    </xf>
    <xf numFmtId="0" fontId="7" fillId="8" borderId="17" xfId="0" applyFont="1" applyFill="1" applyBorder="1" applyAlignment="1">
      <alignment horizontal="left" vertical="center" wrapText="1"/>
    </xf>
    <xf numFmtId="0" fontId="7" fillId="8" borderId="3" xfId="0" applyFont="1" applyFill="1" applyBorder="1" applyAlignment="1">
      <alignment horizontal="left" vertical="center" wrapText="1"/>
    </xf>
    <xf numFmtId="0" fontId="7" fillId="8" borderId="2" xfId="0" applyFont="1" applyFill="1" applyBorder="1" applyAlignment="1">
      <alignment horizontal="left" vertical="center"/>
    </xf>
    <xf numFmtId="0" fontId="7" fillId="8" borderId="5" xfId="0" applyFont="1" applyFill="1" applyBorder="1" applyAlignment="1">
      <alignment horizontal="left" vertical="center" wrapText="1"/>
    </xf>
    <xf numFmtId="0" fontId="7" fillId="8" borderId="14" xfId="0" applyFont="1" applyFill="1" applyBorder="1" applyAlignment="1">
      <alignment horizontal="right" vertical="center" wrapText="1"/>
    </xf>
    <xf numFmtId="0" fontId="2" fillId="22" borderId="24" xfId="0" applyFont="1" applyFill="1" applyBorder="1" applyAlignment="1">
      <alignment horizontal="left" vertical="center"/>
    </xf>
    <xf numFmtId="2" fontId="2" fillId="22" borderId="25" xfId="0" applyNumberFormat="1" applyFont="1" applyFill="1" applyBorder="1" applyAlignment="1">
      <alignment horizontal="left" vertical="center"/>
    </xf>
    <xf numFmtId="0" fontId="2" fillId="22" borderId="25" xfId="0" applyFont="1" applyFill="1" applyBorder="1" applyAlignment="1">
      <alignment horizontal="left" vertical="center"/>
    </xf>
    <xf numFmtId="0" fontId="7" fillId="23" borderId="2" xfId="0" applyFont="1" applyFill="1" applyBorder="1" applyAlignment="1">
      <alignment horizontal="left" vertical="center"/>
    </xf>
    <xf numFmtId="0" fontId="7" fillId="23" borderId="14" xfId="0" applyFont="1" applyFill="1" applyBorder="1" applyAlignment="1">
      <alignment horizontal="right" vertical="center"/>
    </xf>
    <xf numFmtId="0" fontId="7" fillId="18" borderId="14" xfId="0" applyFont="1" applyFill="1" applyBorder="1" applyAlignment="1">
      <alignment horizontal="right" vertical="center"/>
    </xf>
    <xf numFmtId="0" fontId="9" fillId="0" borderId="19" xfId="0" applyFont="1" applyBorder="1" applyAlignment="1" applyProtection="1">
      <alignment horizontal="left" vertical="center" wrapText="1"/>
      <protection locked="0"/>
    </xf>
    <xf numFmtId="0" fontId="9" fillId="0" borderId="1" xfId="0" applyFont="1" applyBorder="1" applyAlignment="1" applyProtection="1">
      <alignment horizontal="left" vertical="center" wrapText="1"/>
      <protection locked="0"/>
    </xf>
    <xf numFmtId="2" fontId="7" fillId="24" borderId="14" xfId="0" applyNumberFormat="1" applyFont="1" applyFill="1" applyBorder="1" applyAlignment="1">
      <alignment horizontal="center" vertical="center"/>
    </xf>
    <xf numFmtId="0" fontId="7" fillId="24" borderId="14" xfId="0" applyFont="1" applyFill="1" applyBorder="1" applyAlignment="1">
      <alignment horizontal="center" vertical="center"/>
    </xf>
    <xf numFmtId="0" fontId="2" fillId="2" borderId="53" xfId="0" applyFont="1" applyFill="1" applyBorder="1" applyAlignment="1">
      <alignment horizontal="center" vertical="center"/>
    </xf>
    <xf numFmtId="0" fontId="2" fillId="2" borderId="59" xfId="0" applyFont="1" applyFill="1" applyBorder="1" applyAlignment="1">
      <alignment horizontal="center" vertical="center"/>
    </xf>
    <xf numFmtId="0" fontId="6" fillId="7" borderId="22" xfId="0" applyFont="1" applyFill="1" applyBorder="1" applyAlignment="1">
      <alignment vertical="top" wrapText="1"/>
    </xf>
    <xf numFmtId="0" fontId="11" fillId="5" borderId="61" xfId="0" applyFont="1" applyFill="1" applyBorder="1" applyAlignment="1" applyProtection="1">
      <alignment horizontal="left" vertical="center" wrapText="1"/>
      <protection locked="0"/>
    </xf>
    <xf numFmtId="0" fontId="2" fillId="2" borderId="57" xfId="0" applyFont="1" applyFill="1" applyBorder="1" applyAlignment="1">
      <alignment horizontal="center" vertical="center"/>
    </xf>
    <xf numFmtId="2" fontId="2" fillId="4" borderId="57" xfId="0" applyNumberFormat="1" applyFont="1" applyFill="1" applyBorder="1" applyAlignment="1">
      <alignment horizontal="center" vertical="center"/>
    </xf>
    <xf numFmtId="0" fontId="11" fillId="5" borderId="62" xfId="0" applyFont="1" applyFill="1" applyBorder="1" applyAlignment="1" applyProtection="1">
      <alignment horizontal="left" vertical="center" wrapText="1"/>
      <protection locked="0"/>
    </xf>
    <xf numFmtId="0" fontId="0" fillId="0" borderId="2" xfId="0" applyBorder="1" applyAlignment="1">
      <alignment horizontal="center" vertical="top"/>
    </xf>
    <xf numFmtId="0" fontId="3" fillId="0" borderId="1" xfId="0" applyFont="1" applyBorder="1" applyAlignment="1">
      <alignment horizontal="left" vertical="top" wrapText="1" indent="2"/>
    </xf>
    <xf numFmtId="0" fontId="6" fillId="11" borderId="22" xfId="0" applyFont="1" applyFill="1" applyBorder="1" applyAlignment="1">
      <alignment horizontal="left" vertical="top" wrapText="1"/>
    </xf>
    <xf numFmtId="0" fontId="6" fillId="11" borderId="22" xfId="0" applyFont="1" applyFill="1" applyBorder="1" applyAlignment="1">
      <alignment horizontal="left" vertical="center" wrapText="1"/>
    </xf>
    <xf numFmtId="0" fontId="6" fillId="14" borderId="22" xfId="0" applyFont="1" applyFill="1" applyBorder="1" applyAlignment="1">
      <alignment horizontal="left" vertical="top" wrapText="1"/>
    </xf>
    <xf numFmtId="0" fontId="6" fillId="14" borderId="22" xfId="0" applyFont="1" applyFill="1" applyBorder="1" applyAlignment="1">
      <alignment wrapText="1"/>
    </xf>
    <xf numFmtId="0" fontId="6" fillId="26" borderId="22" xfId="0" applyFont="1" applyFill="1" applyBorder="1" applyAlignment="1">
      <alignment wrapText="1"/>
    </xf>
    <xf numFmtId="0" fontId="6" fillId="26" borderId="22" xfId="0" applyFont="1" applyFill="1" applyBorder="1" applyAlignment="1">
      <alignment vertical="top" wrapText="1"/>
    </xf>
    <xf numFmtId="0" fontId="6" fillId="19" borderId="22" xfId="0" applyFont="1" applyFill="1" applyBorder="1" applyAlignment="1">
      <alignment vertical="top" wrapText="1"/>
    </xf>
    <xf numFmtId="0" fontId="6" fillId="9" borderId="22" xfId="0" applyFont="1" applyFill="1" applyBorder="1" applyAlignment="1">
      <alignment horizontal="left" vertical="top" wrapText="1"/>
    </xf>
    <xf numFmtId="0" fontId="6" fillId="21" borderId="22" xfId="0" applyFont="1" applyFill="1" applyBorder="1" applyAlignment="1">
      <alignment vertical="top" wrapText="1"/>
    </xf>
    <xf numFmtId="0" fontId="6" fillId="21" borderId="22" xfId="0" applyFont="1" applyFill="1" applyBorder="1"/>
    <xf numFmtId="0" fontId="0" fillId="0" borderId="0" xfId="0" applyAlignment="1">
      <alignment vertical="center"/>
    </xf>
    <xf numFmtId="0" fontId="7" fillId="0" borderId="0" xfId="0" applyFont="1" applyAlignment="1">
      <alignment vertical="center"/>
    </xf>
    <xf numFmtId="0" fontId="2" fillId="0" borderId="0" xfId="0" applyFont="1" applyAlignment="1">
      <alignment horizontal="center" vertical="center"/>
    </xf>
    <xf numFmtId="0" fontId="2" fillId="0" borderId="0" xfId="0" applyFont="1" applyAlignment="1">
      <alignment vertical="center"/>
    </xf>
    <xf numFmtId="0" fontId="7" fillId="0" borderId="0" xfId="0" applyFont="1" applyAlignment="1">
      <alignment horizontal="left" vertical="center"/>
    </xf>
    <xf numFmtId="0" fontId="7" fillId="2" borderId="14" xfId="0" applyFont="1" applyFill="1" applyBorder="1" applyAlignment="1">
      <alignment vertical="center"/>
    </xf>
    <xf numFmtId="0" fontId="13" fillId="0" borderId="0" xfId="0" applyFont="1" applyAlignment="1">
      <alignment horizontal="left"/>
    </xf>
    <xf numFmtId="0" fontId="7" fillId="0" borderId="0" xfId="0" quotePrefix="1" applyFont="1"/>
    <xf numFmtId="0" fontId="0" fillId="4" borderId="0" xfId="0" applyFill="1"/>
    <xf numFmtId="0" fontId="2" fillId="15" borderId="23" xfId="0" applyFont="1" applyFill="1" applyBorder="1" applyAlignment="1">
      <alignment horizontal="left" vertical="center"/>
    </xf>
    <xf numFmtId="0" fontId="2" fillId="15" borderId="40" xfId="0" applyFont="1" applyFill="1" applyBorder="1" applyAlignment="1">
      <alignment horizontal="left" vertical="center"/>
    </xf>
    <xf numFmtId="0" fontId="2" fillId="16" borderId="23" xfId="0" applyFont="1" applyFill="1" applyBorder="1" applyAlignment="1">
      <alignment horizontal="left" vertical="center"/>
    </xf>
    <xf numFmtId="0" fontId="2" fillId="16" borderId="40" xfId="0" applyFont="1" applyFill="1" applyBorder="1" applyAlignment="1">
      <alignment horizontal="left" vertical="center" wrapText="1"/>
    </xf>
    <xf numFmtId="0" fontId="0" fillId="2" borderId="22" xfId="0" applyFill="1" applyBorder="1" applyAlignment="1">
      <alignment horizontal="center" vertical="top"/>
    </xf>
    <xf numFmtId="0" fontId="2" fillId="0" borderId="0" xfId="0" applyFont="1" applyAlignment="1">
      <alignment horizontal="left" vertical="center"/>
    </xf>
    <xf numFmtId="0" fontId="2" fillId="0" borderId="27" xfId="0" applyFont="1" applyBorder="1" applyAlignment="1">
      <alignment horizontal="center" vertical="center"/>
    </xf>
    <xf numFmtId="0" fontId="2" fillId="16" borderId="0" xfId="0" applyFont="1" applyFill="1" applyAlignment="1">
      <alignment vertical="center"/>
    </xf>
    <xf numFmtId="0" fontId="2" fillId="16" borderId="0" xfId="0" applyFont="1" applyFill="1" applyAlignment="1">
      <alignment horizontal="left" vertical="center" wrapText="1"/>
    </xf>
    <xf numFmtId="0" fontId="2" fillId="16" borderId="25" xfId="0" applyFont="1" applyFill="1" applyBorder="1" applyAlignment="1">
      <alignment horizontal="left" vertical="center" wrapText="1"/>
    </xf>
    <xf numFmtId="0" fontId="9" fillId="0" borderId="0" xfId="0" applyFont="1"/>
    <xf numFmtId="0" fontId="2" fillId="13" borderId="2" xfId="0" applyFont="1" applyFill="1" applyBorder="1" applyAlignment="1">
      <alignment horizontal="left" vertical="center"/>
    </xf>
    <xf numFmtId="0" fontId="2" fillId="13" borderId="0" xfId="0" applyFont="1" applyFill="1" applyAlignment="1">
      <alignment horizontal="left" vertical="center"/>
    </xf>
    <xf numFmtId="0" fontId="2" fillId="13" borderId="40" xfId="0" applyFont="1" applyFill="1" applyBorder="1" applyAlignment="1">
      <alignment horizontal="left" vertical="center"/>
    </xf>
    <xf numFmtId="0" fontId="2" fillId="14" borderId="24" xfId="0" applyFont="1" applyFill="1" applyBorder="1" applyAlignment="1">
      <alignment horizontal="left" vertical="center"/>
    </xf>
    <xf numFmtId="0" fontId="2" fillId="14" borderId="25" xfId="0" applyFont="1" applyFill="1" applyBorder="1" applyAlignment="1">
      <alignment horizontal="left" vertical="center" wrapText="1"/>
    </xf>
    <xf numFmtId="0" fontId="2" fillId="14" borderId="23" xfId="0" applyFont="1" applyFill="1" applyBorder="1" applyAlignment="1">
      <alignment horizontal="left" vertical="center"/>
    </xf>
    <xf numFmtId="0" fontId="2" fillId="14" borderId="40" xfId="0" applyFont="1" applyFill="1" applyBorder="1" applyAlignment="1">
      <alignment horizontal="left" vertical="center" wrapText="1"/>
    </xf>
    <xf numFmtId="0" fontId="2" fillId="14" borderId="0" xfId="0" applyFont="1" applyFill="1" applyAlignment="1">
      <alignment horizontal="left" vertical="center" wrapText="1"/>
    </xf>
    <xf numFmtId="0" fontId="2" fillId="14" borderId="27" xfId="0" applyFont="1" applyFill="1" applyBorder="1" applyAlignment="1">
      <alignment horizontal="left" vertical="center" wrapText="1"/>
    </xf>
    <xf numFmtId="0" fontId="9" fillId="0" borderId="0" xfId="0" applyFont="1" applyAlignment="1">
      <alignment vertical="center"/>
    </xf>
    <xf numFmtId="0" fontId="2" fillId="17" borderId="0" xfId="0" applyFont="1" applyFill="1" applyAlignment="1">
      <alignment horizontal="center" vertical="center"/>
    </xf>
    <xf numFmtId="0" fontId="11" fillId="17" borderId="40" xfId="0" applyFont="1" applyFill="1" applyBorder="1" applyAlignment="1">
      <alignment horizontal="left" vertical="center" wrapText="1"/>
    </xf>
    <xf numFmtId="0" fontId="2" fillId="18" borderId="23" xfId="0" applyFont="1" applyFill="1" applyBorder="1" applyAlignment="1">
      <alignment horizontal="left" vertical="center"/>
    </xf>
    <xf numFmtId="0" fontId="2" fillId="18" borderId="40" xfId="0" applyFont="1" applyFill="1" applyBorder="1" applyAlignment="1">
      <alignment horizontal="left" vertical="center" wrapText="1"/>
    </xf>
    <xf numFmtId="0" fontId="2" fillId="18" borderId="2" xfId="0" applyFont="1" applyFill="1" applyBorder="1" applyAlignment="1">
      <alignment horizontal="left" vertical="center"/>
    </xf>
    <xf numFmtId="0" fontId="2" fillId="18" borderId="0" xfId="0" applyFont="1" applyFill="1" applyAlignment="1">
      <alignment horizontal="left" vertical="center"/>
    </xf>
    <xf numFmtId="0" fontId="2" fillId="18" borderId="40" xfId="0" applyFont="1" applyFill="1" applyBorder="1" applyAlignment="1">
      <alignment horizontal="left" vertical="center"/>
    </xf>
    <xf numFmtId="0" fontId="2" fillId="18" borderId="2" xfId="0" applyFont="1" applyFill="1" applyBorder="1" applyAlignment="1">
      <alignment vertical="center"/>
    </xf>
    <xf numFmtId="0" fontId="2" fillId="18" borderId="0" xfId="0" applyFont="1" applyFill="1" applyAlignment="1">
      <alignment vertical="center" wrapText="1"/>
    </xf>
    <xf numFmtId="0" fontId="2" fillId="18" borderId="25" xfId="0" applyFont="1" applyFill="1" applyBorder="1" applyAlignment="1">
      <alignment vertical="center" wrapText="1"/>
    </xf>
    <xf numFmtId="2" fontId="2" fillId="2" borderId="50" xfId="0" applyNumberFormat="1" applyFont="1" applyFill="1" applyBorder="1" applyAlignment="1">
      <alignment horizontal="center" vertical="center"/>
    </xf>
    <xf numFmtId="0" fontId="2" fillId="18" borderId="0" xfId="0" applyFont="1" applyFill="1" applyAlignment="1">
      <alignment horizontal="left" vertical="center" wrapText="1"/>
    </xf>
    <xf numFmtId="0" fontId="2" fillId="18" borderId="25" xfId="0" applyFont="1" applyFill="1" applyBorder="1" applyAlignment="1">
      <alignment horizontal="left" vertical="center" wrapText="1"/>
    </xf>
    <xf numFmtId="0" fontId="9" fillId="0" borderId="0" xfId="0" applyFont="1" applyAlignment="1">
      <alignment vertical="top"/>
    </xf>
    <xf numFmtId="0" fontId="0" fillId="0" borderId="0" xfId="0" applyAlignment="1">
      <alignment vertical="top" wrapText="1"/>
    </xf>
    <xf numFmtId="0" fontId="2" fillId="9" borderId="23" xfId="0" applyFont="1" applyFill="1" applyBorder="1" applyAlignment="1">
      <alignment horizontal="left" vertical="center"/>
    </xf>
    <xf numFmtId="0" fontId="2" fillId="9" borderId="40" xfId="0" applyFont="1" applyFill="1" applyBorder="1" applyAlignment="1">
      <alignment horizontal="left" vertical="center" wrapText="1"/>
    </xf>
    <xf numFmtId="0" fontId="0" fillId="0" borderId="0" xfId="0" applyAlignment="1">
      <alignment vertical="top"/>
    </xf>
    <xf numFmtId="0" fontId="15" fillId="0" borderId="0" xfId="0" applyFont="1" applyAlignment="1">
      <alignment vertical="top"/>
    </xf>
    <xf numFmtId="0" fontId="13" fillId="0" borderId="0" xfId="0" applyFont="1" applyAlignment="1">
      <alignment vertical="top"/>
    </xf>
    <xf numFmtId="0" fontId="13" fillId="0" borderId="0" xfId="0" applyFont="1"/>
    <xf numFmtId="0" fontId="2" fillId="22" borderId="23" xfId="0" applyFont="1" applyFill="1" applyBorder="1" applyAlignment="1">
      <alignment horizontal="left" vertical="center"/>
    </xf>
    <xf numFmtId="0" fontId="2" fillId="22" borderId="40" xfId="0" applyFont="1" applyFill="1" applyBorder="1" applyAlignment="1">
      <alignment horizontal="left" vertical="center" wrapText="1"/>
    </xf>
    <xf numFmtId="0" fontId="2" fillId="0" borderId="0" xfId="0" applyFont="1" applyAlignment="1">
      <alignment vertical="top"/>
    </xf>
    <xf numFmtId="0" fontId="14" fillId="0" borderId="0" xfId="0" applyFont="1"/>
    <xf numFmtId="0" fontId="6" fillId="0" borderId="0" xfId="0" applyFont="1"/>
    <xf numFmtId="0" fontId="0" fillId="0" borderId="0" xfId="0" applyAlignment="1">
      <alignment horizontal="center" vertical="top"/>
    </xf>
    <xf numFmtId="0" fontId="0" fillId="2" borderId="43" xfId="0" applyFill="1" applyBorder="1" applyAlignment="1">
      <alignment horizontal="center" vertical="top"/>
    </xf>
    <xf numFmtId="0" fontId="0" fillId="2" borderId="47" xfId="0" applyFill="1" applyBorder="1" applyAlignment="1">
      <alignment horizontal="center" vertical="top"/>
    </xf>
    <xf numFmtId="0" fontId="0" fillId="0" borderId="67" xfId="0" applyBorder="1" applyAlignment="1" applyProtection="1">
      <alignment horizontal="center" vertical="top"/>
      <protection locked="0"/>
    </xf>
    <xf numFmtId="0" fontId="0" fillId="0" borderId="72" xfId="0" applyBorder="1" applyAlignment="1" applyProtection="1">
      <alignment horizontal="center" vertical="top"/>
      <protection locked="0"/>
    </xf>
    <xf numFmtId="0" fontId="0" fillId="0" borderId="70" xfId="0" applyBorder="1" applyAlignment="1" applyProtection="1">
      <alignment horizontal="center" vertical="top"/>
      <protection locked="0"/>
    </xf>
    <xf numFmtId="0" fontId="0" fillId="0" borderId="64" xfId="0" applyBorder="1" applyAlignment="1" applyProtection="1">
      <alignment horizontal="center" vertical="top"/>
      <protection locked="0"/>
    </xf>
    <xf numFmtId="0" fontId="0" fillId="0" borderId="35" xfId="0" applyBorder="1" applyAlignment="1" applyProtection="1">
      <alignment horizontal="center" vertical="top"/>
      <protection locked="0"/>
    </xf>
    <xf numFmtId="0" fontId="2" fillId="18" borderId="41" xfId="0" applyFont="1" applyFill="1" applyBorder="1" applyAlignment="1">
      <alignment vertical="center" wrapText="1"/>
    </xf>
    <xf numFmtId="0" fontId="2" fillId="18" borderId="40" xfId="0" applyFont="1" applyFill="1" applyBorder="1" applyAlignment="1">
      <alignment vertical="center" wrapText="1"/>
    </xf>
    <xf numFmtId="0" fontId="0" fillId="2" borderId="36" xfId="0" applyFill="1" applyBorder="1" applyAlignment="1">
      <alignment horizontal="center" vertical="top"/>
    </xf>
    <xf numFmtId="0" fontId="0" fillId="2" borderId="72" xfId="0" applyFill="1" applyBorder="1" applyAlignment="1">
      <alignment horizontal="center" vertical="top"/>
    </xf>
    <xf numFmtId="0" fontId="6" fillId="12" borderId="70" xfId="0" applyFont="1" applyFill="1" applyBorder="1" applyAlignment="1" applyProtection="1">
      <alignment horizontal="left" vertical="top" wrapText="1"/>
      <protection locked="0"/>
    </xf>
    <xf numFmtId="0" fontId="0" fillId="2" borderId="70" xfId="0" applyFill="1" applyBorder="1" applyAlignment="1">
      <alignment horizontal="center" vertical="top"/>
    </xf>
    <xf numFmtId="0" fontId="0" fillId="2" borderId="64" xfId="0" applyFill="1" applyBorder="1" applyAlignment="1">
      <alignment horizontal="center" vertical="top"/>
    </xf>
    <xf numFmtId="0" fontId="0" fillId="0" borderId="36" xfId="0" applyBorder="1" applyAlignment="1" applyProtection="1">
      <alignment horizontal="center" vertical="top"/>
      <protection locked="0"/>
    </xf>
    <xf numFmtId="0" fontId="0" fillId="2" borderId="67" xfId="0" applyFill="1" applyBorder="1" applyAlignment="1">
      <alignment horizontal="center" vertical="top"/>
    </xf>
    <xf numFmtId="0" fontId="0" fillId="2" borderId="66" xfId="0" applyFill="1" applyBorder="1" applyAlignment="1">
      <alignment horizontal="center" vertical="top"/>
    </xf>
    <xf numFmtId="0" fontId="6" fillId="11" borderId="64" xfId="0" applyFont="1" applyFill="1" applyBorder="1" applyAlignment="1" applyProtection="1">
      <alignment horizontal="left" vertical="top" wrapText="1"/>
      <protection locked="0"/>
    </xf>
    <xf numFmtId="0" fontId="2" fillId="16" borderId="41" xfId="0" applyFont="1" applyFill="1" applyBorder="1" applyAlignment="1">
      <alignment horizontal="left" vertical="center" wrapText="1"/>
    </xf>
    <xf numFmtId="0" fontId="11" fillId="5" borderId="50" xfId="0" applyFont="1" applyFill="1" applyBorder="1" applyAlignment="1" applyProtection="1">
      <alignment horizontal="left" vertical="center" wrapText="1"/>
      <protection locked="0"/>
    </xf>
    <xf numFmtId="0" fontId="0" fillId="0" borderId="63" xfId="0" applyBorder="1" applyAlignment="1" applyProtection="1">
      <alignment horizontal="center" vertical="top"/>
      <protection locked="0"/>
    </xf>
    <xf numFmtId="0" fontId="2" fillId="11" borderId="49" xfId="0" applyFont="1" applyFill="1" applyBorder="1" applyAlignment="1">
      <alignment horizontal="right" vertical="center"/>
    </xf>
    <xf numFmtId="0" fontId="6" fillId="11" borderId="63" xfId="0" applyFont="1" applyFill="1" applyBorder="1" applyAlignment="1" applyProtection="1">
      <alignment horizontal="left" vertical="top" wrapText="1"/>
      <protection locked="0"/>
    </xf>
    <xf numFmtId="0" fontId="6" fillId="12" borderId="63" xfId="0" applyFont="1" applyFill="1" applyBorder="1" applyAlignment="1" applyProtection="1">
      <alignment horizontal="left" vertical="top" wrapText="1"/>
      <protection locked="0"/>
    </xf>
    <xf numFmtId="0" fontId="2" fillId="14" borderId="39" xfId="0" applyFont="1" applyFill="1" applyBorder="1" applyAlignment="1">
      <alignment horizontal="left" vertical="center"/>
    </xf>
    <xf numFmtId="0" fontId="2" fillId="14" borderId="71" xfId="0" applyFont="1" applyFill="1" applyBorder="1" applyAlignment="1">
      <alignment horizontal="left" vertical="center" wrapText="1"/>
    </xf>
    <xf numFmtId="0" fontId="2" fillId="12" borderId="24" xfId="0" applyFont="1" applyFill="1" applyBorder="1" applyAlignment="1">
      <alignment vertical="center"/>
    </xf>
    <xf numFmtId="0" fontId="2" fillId="12" borderId="21" xfId="0" applyFont="1" applyFill="1" applyBorder="1" applyAlignment="1">
      <alignment vertical="center"/>
    </xf>
    <xf numFmtId="0" fontId="6" fillId="12" borderId="64" xfId="0" applyFont="1" applyFill="1" applyBorder="1" applyAlignment="1" applyProtection="1">
      <alignment horizontal="left" vertical="top" wrapText="1"/>
      <protection locked="0"/>
    </xf>
    <xf numFmtId="0" fontId="6" fillId="19" borderId="64" xfId="0" applyFont="1" applyFill="1" applyBorder="1" applyAlignment="1" applyProtection="1">
      <alignment vertical="top" wrapText="1"/>
      <protection locked="0"/>
    </xf>
    <xf numFmtId="0" fontId="11" fillId="5" borderId="28" xfId="0" applyFont="1" applyFill="1" applyBorder="1" applyAlignment="1" applyProtection="1">
      <alignment horizontal="left" vertical="center" wrapText="1"/>
      <protection locked="0"/>
    </xf>
    <xf numFmtId="0" fontId="6" fillId="19" borderId="63" xfId="0" applyFont="1" applyFill="1" applyBorder="1" applyAlignment="1" applyProtection="1">
      <alignment vertical="top" wrapText="1"/>
      <protection locked="0"/>
    </xf>
    <xf numFmtId="0" fontId="2" fillId="18" borderId="41" xfId="0" applyFont="1" applyFill="1" applyBorder="1" applyAlignment="1">
      <alignment horizontal="left" vertical="center" wrapText="1"/>
    </xf>
    <xf numFmtId="0" fontId="0" fillId="0" borderId="47" xfId="0" applyBorder="1" applyAlignment="1" applyProtection="1">
      <alignment horizontal="center" vertical="top"/>
      <protection locked="0"/>
    </xf>
    <xf numFmtId="0" fontId="0" fillId="2" borderId="56" xfId="0" applyFill="1" applyBorder="1" applyAlignment="1">
      <alignment horizontal="center" vertical="top"/>
    </xf>
    <xf numFmtId="0" fontId="2" fillId="18" borderId="67" xfId="0" applyFont="1" applyFill="1" applyBorder="1" applyAlignment="1">
      <alignment horizontal="left" vertical="center" wrapText="1"/>
    </xf>
    <xf numFmtId="0" fontId="2" fillId="18" borderId="31" xfId="0" applyFont="1" applyFill="1" applyBorder="1" applyAlignment="1">
      <alignment horizontal="left" vertical="center"/>
    </xf>
    <xf numFmtId="0" fontId="2" fillId="8" borderId="41" xfId="0" applyFont="1" applyFill="1" applyBorder="1" applyAlignment="1">
      <alignment horizontal="left" vertical="center" wrapText="1"/>
    </xf>
    <xf numFmtId="0" fontId="2" fillId="8" borderId="36" xfId="0" applyFont="1" applyFill="1" applyBorder="1" applyAlignment="1">
      <alignment horizontal="left" vertical="center" wrapText="1"/>
    </xf>
    <xf numFmtId="0" fontId="2" fillId="8" borderId="67" xfId="0" applyFont="1" applyFill="1" applyBorder="1" applyAlignment="1">
      <alignment horizontal="left" vertical="center" wrapText="1"/>
    </xf>
    <xf numFmtId="0" fontId="2" fillId="8" borderId="23" xfId="0" applyFont="1" applyFill="1" applyBorder="1" applyAlignment="1">
      <alignment horizontal="left" vertical="center"/>
    </xf>
    <xf numFmtId="0" fontId="2" fillId="8" borderId="40" xfId="0" applyFont="1" applyFill="1" applyBorder="1" applyAlignment="1">
      <alignment horizontal="left" vertical="center" wrapText="1"/>
    </xf>
    <xf numFmtId="0" fontId="2" fillId="8" borderId="31" xfId="0" applyFont="1" applyFill="1" applyBorder="1" applyAlignment="1">
      <alignment horizontal="left" vertical="center"/>
    </xf>
    <xf numFmtId="0" fontId="2" fillId="8" borderId="39" xfId="0" applyFont="1" applyFill="1" applyBorder="1" applyAlignment="1">
      <alignment horizontal="left" vertical="center" wrapText="1"/>
    </xf>
    <xf numFmtId="0" fontId="2" fillId="8" borderId="71" xfId="0" applyFont="1" applyFill="1" applyBorder="1" applyAlignment="1">
      <alignment horizontal="left" vertical="center" wrapText="1"/>
    </xf>
    <xf numFmtId="0" fontId="2" fillId="8" borderId="56" xfId="0" applyFont="1" applyFill="1" applyBorder="1" applyAlignment="1">
      <alignment horizontal="left" vertical="center" wrapText="1"/>
    </xf>
    <xf numFmtId="0" fontId="2" fillId="9" borderId="25" xfId="0" applyFont="1" applyFill="1" applyBorder="1" applyAlignment="1">
      <alignment horizontal="left" vertical="center" wrapText="1"/>
    </xf>
    <xf numFmtId="0" fontId="2" fillId="9" borderId="45" xfId="0" applyFont="1" applyFill="1" applyBorder="1" applyAlignment="1">
      <alignment horizontal="left" vertical="center" wrapText="1"/>
    </xf>
    <xf numFmtId="0" fontId="2" fillId="7" borderId="16" xfId="0" applyFont="1" applyFill="1" applyBorder="1" applyAlignment="1">
      <alignment vertical="top"/>
    </xf>
    <xf numFmtId="0" fontId="2" fillId="7" borderId="27" xfId="0" applyFont="1" applyFill="1" applyBorder="1" applyAlignment="1">
      <alignment vertical="top"/>
    </xf>
    <xf numFmtId="0" fontId="8" fillId="7" borderId="49" xfId="0" applyFont="1" applyFill="1" applyBorder="1" applyAlignment="1">
      <alignment horizontal="right" vertical="center" wrapText="1"/>
    </xf>
    <xf numFmtId="0" fontId="0" fillId="2" borderId="35" xfId="0" applyFill="1" applyBorder="1" applyAlignment="1">
      <alignment horizontal="center" vertical="top"/>
    </xf>
    <xf numFmtId="0" fontId="2" fillId="20" borderId="41" xfId="0" applyFont="1" applyFill="1" applyBorder="1" applyAlignment="1">
      <alignment vertical="top" wrapText="1"/>
    </xf>
    <xf numFmtId="0" fontId="2" fillId="20" borderId="67" xfId="0" applyFont="1" applyFill="1" applyBorder="1" applyAlignment="1">
      <alignment vertical="top" wrapText="1"/>
    </xf>
    <xf numFmtId="0" fontId="2" fillId="0" borderId="14" xfId="0" applyFont="1" applyBorder="1" applyAlignment="1">
      <alignment horizontal="center" vertical="center"/>
    </xf>
    <xf numFmtId="0" fontId="2" fillId="0" borderId="14" xfId="0" applyFont="1" applyBorder="1" applyAlignment="1">
      <alignment vertical="top"/>
    </xf>
    <xf numFmtId="0" fontId="2" fillId="0" borderId="0" xfId="0" applyFont="1"/>
    <xf numFmtId="0" fontId="2" fillId="2" borderId="23" xfId="0" applyFont="1" applyFill="1" applyBorder="1" applyAlignment="1">
      <alignment horizontal="center"/>
    </xf>
    <xf numFmtId="0" fontId="0" fillId="3" borderId="31" xfId="0" applyFill="1" applyBorder="1" applyAlignment="1">
      <alignment horizontal="center"/>
    </xf>
    <xf numFmtId="0" fontId="0" fillId="3" borderId="6" xfId="0" applyFill="1" applyBorder="1" applyAlignment="1">
      <alignment horizontal="center"/>
    </xf>
    <xf numFmtId="0" fontId="0" fillId="3" borderId="32" xfId="0" applyFill="1" applyBorder="1" applyAlignment="1">
      <alignment horizontal="center"/>
    </xf>
    <xf numFmtId="0" fontId="0" fillId="0" borderId="14" xfId="0" applyBorder="1" applyAlignment="1">
      <alignment horizontal="center"/>
    </xf>
    <xf numFmtId="0" fontId="9" fillId="7" borderId="63" xfId="0" applyFont="1" applyFill="1" applyBorder="1" applyAlignment="1" applyProtection="1">
      <alignment vertical="top" wrapText="1"/>
      <protection locked="0"/>
    </xf>
    <xf numFmtId="0" fontId="0" fillId="0" borderId="56" xfId="0" applyBorder="1" applyAlignment="1" applyProtection="1">
      <alignment horizontal="center" vertical="top"/>
      <protection locked="0"/>
    </xf>
    <xf numFmtId="0" fontId="9" fillId="7" borderId="64" xfId="0" applyFont="1" applyFill="1" applyBorder="1" applyAlignment="1" applyProtection="1">
      <alignment vertical="top" wrapText="1"/>
      <protection locked="0"/>
    </xf>
    <xf numFmtId="0" fontId="10" fillId="7" borderId="22" xfId="0" applyFont="1" applyFill="1" applyBorder="1" applyAlignment="1" applyProtection="1">
      <alignment vertical="top" wrapText="1"/>
      <protection locked="0"/>
    </xf>
    <xf numFmtId="0" fontId="10" fillId="7" borderId="47" xfId="0" applyFont="1" applyFill="1" applyBorder="1" applyAlignment="1" applyProtection="1">
      <alignment vertical="top" wrapText="1"/>
      <protection locked="0"/>
    </xf>
    <xf numFmtId="0" fontId="10" fillId="7" borderId="56" xfId="0" applyFont="1" applyFill="1" applyBorder="1" applyAlignment="1" applyProtection="1">
      <alignment vertical="top" wrapText="1"/>
      <protection locked="0"/>
    </xf>
    <xf numFmtId="0" fontId="10" fillId="7" borderId="64" xfId="0" applyFont="1" applyFill="1" applyBorder="1" applyAlignment="1" applyProtection="1">
      <alignment vertical="top" wrapText="1"/>
      <protection locked="0"/>
    </xf>
    <xf numFmtId="0" fontId="6" fillId="21" borderId="56" xfId="0" applyFont="1" applyFill="1" applyBorder="1" applyAlignment="1" applyProtection="1">
      <alignment vertical="top" wrapText="1"/>
      <protection locked="0"/>
    </xf>
    <xf numFmtId="0" fontId="6" fillId="21" borderId="22" xfId="0" applyFont="1" applyFill="1" applyBorder="1" applyAlignment="1" applyProtection="1">
      <alignment vertical="top" wrapText="1"/>
      <protection locked="0"/>
    </xf>
    <xf numFmtId="0" fontId="6" fillId="21" borderId="74" xfId="0" applyFont="1" applyFill="1" applyBorder="1" applyAlignment="1" applyProtection="1">
      <alignment vertical="top" wrapText="1"/>
      <protection locked="0"/>
    </xf>
    <xf numFmtId="0" fontId="6" fillId="21" borderId="64" xfId="0" applyFont="1" applyFill="1" applyBorder="1" applyAlignment="1" applyProtection="1">
      <alignment vertical="top" wrapText="1"/>
      <protection locked="0"/>
    </xf>
    <xf numFmtId="0" fontId="6" fillId="21" borderId="71" xfId="0" applyFont="1" applyFill="1" applyBorder="1" applyAlignment="1" applyProtection="1">
      <alignment vertical="top" wrapText="1"/>
      <protection locked="0"/>
    </xf>
    <xf numFmtId="2" fontId="7" fillId="0" borderId="17" xfId="0" applyNumberFormat="1" applyFont="1" applyBorder="1" applyAlignment="1" applyProtection="1">
      <alignment horizontal="center" vertical="center"/>
      <protection locked="0"/>
    </xf>
    <xf numFmtId="2" fontId="7" fillId="0" borderId="3" xfId="0" applyNumberFormat="1" applyFont="1" applyBorder="1" applyAlignment="1" applyProtection="1">
      <alignment horizontal="center" vertical="center"/>
      <protection locked="0"/>
    </xf>
    <xf numFmtId="2" fontId="7" fillId="0" borderId="5" xfId="0" applyNumberFormat="1" applyFont="1" applyBorder="1" applyAlignment="1" applyProtection="1">
      <alignment horizontal="center" vertical="center"/>
      <protection locked="0"/>
    </xf>
    <xf numFmtId="2" fontId="7" fillId="0" borderId="20" xfId="0" applyNumberFormat="1" applyFont="1" applyBorder="1" applyAlignment="1" applyProtection="1">
      <alignment horizontal="center" vertical="center"/>
      <protection locked="0"/>
    </xf>
    <xf numFmtId="2" fontId="7" fillId="0" borderId="12" xfId="0" applyNumberFormat="1" applyFont="1" applyBorder="1" applyAlignment="1" applyProtection="1">
      <alignment horizontal="center" vertical="center"/>
      <protection locked="0"/>
    </xf>
    <xf numFmtId="0" fontId="9" fillId="0" borderId="33" xfId="0" applyFont="1" applyBorder="1" applyAlignment="1" applyProtection="1">
      <alignment horizontal="left" vertical="center" wrapText="1"/>
      <protection locked="0"/>
    </xf>
    <xf numFmtId="0" fontId="9" fillId="0" borderId="47" xfId="0" applyFont="1" applyBorder="1" applyAlignment="1" applyProtection="1">
      <alignment horizontal="left" vertical="center" wrapText="1"/>
      <protection locked="0"/>
    </xf>
    <xf numFmtId="0" fontId="9" fillId="0" borderId="31" xfId="0" applyFont="1" applyBorder="1" applyAlignment="1" applyProtection="1">
      <alignment horizontal="left" vertical="center" wrapText="1"/>
      <protection locked="0"/>
    </xf>
    <xf numFmtId="0" fontId="9" fillId="0" borderId="6" xfId="0" applyFont="1" applyBorder="1" applyAlignment="1" applyProtection="1">
      <alignment horizontal="left" vertical="center" wrapText="1"/>
      <protection locked="0"/>
    </xf>
    <xf numFmtId="0" fontId="7" fillId="2" borderId="5" xfId="0" applyFont="1" applyFill="1" applyBorder="1" applyAlignment="1">
      <alignment horizontal="center" vertical="center"/>
    </xf>
    <xf numFmtId="0" fontId="7" fillId="23" borderId="4" xfId="0" applyFont="1" applyFill="1" applyBorder="1" applyAlignment="1">
      <alignment horizontal="left" vertical="center"/>
    </xf>
    <xf numFmtId="0" fontId="7" fillId="23" borderId="76" xfId="0" applyFont="1" applyFill="1" applyBorder="1" applyAlignment="1">
      <alignment horizontal="left" vertical="center"/>
    </xf>
    <xf numFmtId="0" fontId="7" fillId="23" borderId="5" xfId="0" applyFont="1" applyFill="1" applyBorder="1" applyAlignment="1">
      <alignment horizontal="left" vertical="center"/>
    </xf>
    <xf numFmtId="0" fontId="7" fillId="2" borderId="19" xfId="0" applyFont="1" applyFill="1" applyBorder="1" applyAlignment="1">
      <alignment horizontal="center" vertical="center"/>
    </xf>
    <xf numFmtId="2" fontId="2" fillId="2" borderId="57" xfId="0" applyNumberFormat="1" applyFont="1" applyFill="1" applyBorder="1" applyAlignment="1">
      <alignment horizontal="center" vertical="center"/>
    </xf>
    <xf numFmtId="0" fontId="12" fillId="0" borderId="0" xfId="0" applyFont="1" applyAlignment="1">
      <alignment horizontal="center" vertical="center"/>
    </xf>
    <xf numFmtId="0" fontId="12" fillId="0" borderId="0" xfId="0" applyFont="1" applyAlignment="1">
      <alignment horizontal="left" vertical="center"/>
    </xf>
    <xf numFmtId="0" fontId="4" fillId="30" borderId="1" xfId="0" applyFont="1" applyFill="1" applyBorder="1" applyAlignment="1">
      <alignment horizontal="left"/>
    </xf>
    <xf numFmtId="0" fontId="3" fillId="30" borderId="1" xfId="0" applyFont="1" applyFill="1" applyBorder="1" applyAlignment="1">
      <alignment horizontal="left" vertical="top" wrapText="1" indent="2"/>
    </xf>
    <xf numFmtId="0" fontId="12" fillId="6" borderId="21" xfId="0" applyFont="1" applyFill="1" applyBorder="1" applyAlignment="1">
      <alignment horizontal="left" vertical="center" wrapText="1"/>
    </xf>
    <xf numFmtId="0" fontId="0" fillId="0" borderId="15" xfId="0" applyBorder="1" applyAlignment="1">
      <alignment horizontal="center" wrapText="1"/>
    </xf>
    <xf numFmtId="0" fontId="2" fillId="4" borderId="28" xfId="0" applyFont="1" applyFill="1" applyBorder="1" applyAlignment="1">
      <alignment horizontal="center" wrapText="1"/>
    </xf>
    <xf numFmtId="0" fontId="7" fillId="0" borderId="33" xfId="0" applyFont="1" applyBorder="1" applyAlignment="1">
      <alignment horizontal="center" vertical="center" wrapText="1"/>
    </xf>
    <xf numFmtId="0" fontId="7" fillId="0" borderId="34" xfId="0" quotePrefix="1" applyFont="1" applyBorder="1" applyAlignment="1">
      <alignment horizontal="center" vertical="center" wrapText="1"/>
    </xf>
    <xf numFmtId="0" fontId="7" fillId="0" borderId="78" xfId="0" applyFont="1" applyBorder="1" applyAlignment="1">
      <alignment horizontal="center" vertical="center" wrapText="1"/>
    </xf>
    <xf numFmtId="0" fontId="22" fillId="30" borderId="28" xfId="0" applyFont="1" applyFill="1" applyBorder="1" applyAlignment="1">
      <alignment horizontal="center" vertical="center" wrapText="1"/>
    </xf>
    <xf numFmtId="0" fontId="2" fillId="4" borderId="45" xfId="0" applyFont="1" applyFill="1" applyBorder="1" applyAlignment="1">
      <alignment horizontal="center" vertical="center" wrapText="1"/>
    </xf>
    <xf numFmtId="0" fontId="22" fillId="30" borderId="45" xfId="0" applyFont="1" applyFill="1" applyBorder="1" applyAlignment="1">
      <alignment horizontal="center" vertical="center" wrapText="1"/>
    </xf>
    <xf numFmtId="0" fontId="0" fillId="0" borderId="56" xfId="0" applyBorder="1" applyAlignment="1">
      <alignment horizontal="center" vertical="center" wrapText="1"/>
    </xf>
    <xf numFmtId="0" fontId="0" fillId="0" borderId="47" xfId="0" applyBorder="1" applyAlignment="1">
      <alignment horizontal="center" vertical="center" wrapText="1"/>
    </xf>
    <xf numFmtId="0" fontId="7" fillId="0" borderId="72" xfId="0" quotePrefix="1" applyFont="1" applyBorder="1" applyAlignment="1">
      <alignment horizontal="center" vertical="center" wrapText="1"/>
    </xf>
    <xf numFmtId="0" fontId="22" fillId="30" borderId="8" xfId="0" applyFont="1" applyFill="1" applyBorder="1" applyAlignment="1">
      <alignment horizontal="center" vertical="center" wrapText="1"/>
    </xf>
    <xf numFmtId="0" fontId="2" fillId="28" borderId="11" xfId="0" applyFont="1" applyFill="1" applyBorder="1" applyAlignment="1">
      <alignment horizontal="center" vertical="center" wrapText="1"/>
    </xf>
    <xf numFmtId="0" fontId="2" fillId="29" borderId="12" xfId="0" applyFont="1" applyFill="1" applyBorder="1" applyAlignment="1">
      <alignment horizontal="center" vertical="center" wrapText="1"/>
    </xf>
    <xf numFmtId="0" fontId="2" fillId="27" borderId="12" xfId="0" applyFont="1" applyFill="1" applyBorder="1" applyAlignment="1">
      <alignment horizontal="center" vertical="center" wrapText="1"/>
    </xf>
    <xf numFmtId="0" fontId="2" fillId="10" borderId="12" xfId="0" applyFont="1" applyFill="1" applyBorder="1" applyAlignment="1">
      <alignment horizontal="center" vertical="center" wrapText="1"/>
    </xf>
    <xf numFmtId="0" fontId="2" fillId="0" borderId="44" xfId="0" applyFont="1" applyBorder="1" applyAlignment="1">
      <alignment horizontal="center" vertical="center" wrapText="1"/>
    </xf>
    <xf numFmtId="2" fontId="7" fillId="0" borderId="0" xfId="0" quotePrefix="1" applyNumberFormat="1" applyFont="1" applyAlignment="1">
      <alignment horizontal="center"/>
    </xf>
    <xf numFmtId="2" fontId="13" fillId="0" borderId="0" xfId="0" applyNumberFormat="1" applyFont="1" applyAlignment="1">
      <alignment horizontal="left"/>
    </xf>
    <xf numFmtId="2" fontId="0" fillId="0" borderId="0" xfId="0" applyNumberFormat="1" applyAlignment="1">
      <alignment horizontal="center"/>
    </xf>
    <xf numFmtId="0" fontId="0" fillId="0" borderId="40" xfId="0" applyBorder="1" applyAlignment="1">
      <alignment horizontal="center"/>
    </xf>
    <xf numFmtId="0" fontId="7" fillId="2" borderId="77" xfId="0" applyFont="1" applyFill="1" applyBorder="1" applyAlignment="1">
      <alignment horizontal="center" vertical="center"/>
    </xf>
    <xf numFmtId="0" fontId="7" fillId="2" borderId="17" xfId="0" applyFont="1" applyFill="1" applyBorder="1" applyAlignment="1">
      <alignment horizontal="center" vertical="center"/>
    </xf>
    <xf numFmtId="0" fontId="2" fillId="15" borderId="21" xfId="0" applyFont="1" applyFill="1" applyBorder="1" applyAlignment="1">
      <alignment vertical="center"/>
    </xf>
    <xf numFmtId="0" fontId="2" fillId="13" borderId="21" xfId="0" applyFont="1" applyFill="1" applyBorder="1" applyAlignment="1">
      <alignment vertical="center"/>
    </xf>
    <xf numFmtId="0" fontId="2" fillId="17" borderId="21" xfId="0" applyFont="1" applyFill="1" applyBorder="1" applyAlignment="1">
      <alignment vertical="center"/>
    </xf>
    <xf numFmtId="0" fontId="2" fillId="9" borderId="21" xfId="0" applyFont="1" applyFill="1" applyBorder="1" applyAlignment="1">
      <alignment vertical="center"/>
    </xf>
    <xf numFmtId="0" fontId="2" fillId="22" borderId="21" xfId="0" applyFont="1" applyFill="1" applyBorder="1" applyAlignment="1">
      <alignment horizontal="left" vertical="center"/>
    </xf>
    <xf numFmtId="0" fontId="7" fillId="2" borderId="79" xfId="0" applyFont="1" applyFill="1" applyBorder="1" applyAlignment="1">
      <alignment horizontal="center" vertical="center"/>
    </xf>
    <xf numFmtId="0" fontId="12" fillId="0" borderId="0" xfId="0" applyFont="1"/>
    <xf numFmtId="0" fontId="7" fillId="2" borderId="14" xfId="0" applyFont="1" applyFill="1" applyBorder="1" applyAlignment="1">
      <alignment horizontal="center" vertical="center"/>
    </xf>
    <xf numFmtId="0" fontId="0" fillId="0" borderId="74" xfId="0" applyBorder="1" applyAlignment="1" applyProtection="1">
      <alignment horizontal="center" vertical="top"/>
      <protection locked="0"/>
    </xf>
    <xf numFmtId="0" fontId="0" fillId="2" borderId="57" xfId="0" applyFill="1" applyBorder="1" applyAlignment="1">
      <alignment horizontal="center" vertical="top"/>
    </xf>
    <xf numFmtId="0" fontId="2" fillId="32" borderId="40" xfId="0" applyFont="1" applyFill="1" applyBorder="1" applyAlignment="1">
      <alignment horizontal="left" vertical="center" wrapText="1"/>
    </xf>
    <xf numFmtId="0" fontId="2" fillId="32" borderId="23" xfId="0" applyFont="1" applyFill="1" applyBorder="1" applyAlignment="1">
      <alignment horizontal="left" vertical="center"/>
    </xf>
    <xf numFmtId="0" fontId="2" fillId="24" borderId="41" xfId="0" applyFont="1" applyFill="1" applyBorder="1" applyAlignment="1">
      <alignment vertical="top" wrapText="1"/>
    </xf>
    <xf numFmtId="0" fontId="2" fillId="24" borderId="67" xfId="0" applyFont="1" applyFill="1" applyBorder="1" applyAlignment="1">
      <alignment vertical="top" wrapText="1"/>
    </xf>
    <xf numFmtId="0" fontId="6" fillId="33" borderId="56" xfId="0" applyFont="1" applyFill="1" applyBorder="1" applyAlignment="1" applyProtection="1">
      <alignment vertical="top" wrapText="1"/>
      <protection locked="0"/>
    </xf>
    <xf numFmtId="0" fontId="2" fillId="33" borderId="49" xfId="0" applyFont="1" applyFill="1" applyBorder="1" applyAlignment="1">
      <alignment vertical="top"/>
    </xf>
    <xf numFmtId="0" fontId="6" fillId="33" borderId="64" xfId="0" applyFont="1" applyFill="1" applyBorder="1" applyAlignment="1" applyProtection="1">
      <alignment vertical="top" wrapText="1"/>
      <protection locked="0"/>
    </xf>
    <xf numFmtId="0" fontId="6" fillId="33" borderId="71" xfId="0" applyFont="1" applyFill="1" applyBorder="1" applyAlignment="1" applyProtection="1">
      <alignment vertical="top" wrapText="1"/>
      <protection locked="0"/>
    </xf>
    <xf numFmtId="0" fontId="6" fillId="33" borderId="74" xfId="0" applyFont="1" applyFill="1" applyBorder="1" applyAlignment="1" applyProtection="1">
      <alignment vertical="top" wrapText="1"/>
      <protection locked="0"/>
    </xf>
    <xf numFmtId="0" fontId="7" fillId="32" borderId="27" xfId="0" applyFont="1" applyFill="1" applyBorder="1" applyAlignment="1">
      <alignment vertical="center"/>
    </xf>
    <xf numFmtId="2" fontId="7" fillId="32" borderId="27" xfId="0" applyNumberFormat="1" applyFont="1" applyFill="1" applyBorder="1" applyAlignment="1">
      <alignment horizontal="center" vertical="center"/>
    </xf>
    <xf numFmtId="0" fontId="7" fillId="32" borderId="15" xfId="0" applyFont="1" applyFill="1" applyBorder="1" applyAlignment="1">
      <alignment horizontal="center" vertical="center"/>
    </xf>
    <xf numFmtId="0" fontId="7" fillId="24" borderId="14" xfId="0" applyFont="1" applyFill="1" applyBorder="1" applyAlignment="1">
      <alignment horizontal="right" vertical="center"/>
    </xf>
    <xf numFmtId="0" fontId="7" fillId="2" borderId="15" xfId="0" applyFont="1" applyFill="1" applyBorder="1" applyAlignment="1">
      <alignment vertical="center"/>
    </xf>
    <xf numFmtId="0" fontId="7" fillId="24" borderId="4" xfId="0" applyFont="1" applyFill="1" applyBorder="1" applyAlignment="1">
      <alignment horizontal="left" vertical="center" wrapText="1"/>
    </xf>
    <xf numFmtId="0" fontId="7" fillId="24" borderId="17" xfId="0" applyFont="1" applyFill="1" applyBorder="1" applyAlignment="1">
      <alignment horizontal="left" vertical="center" wrapText="1"/>
    </xf>
    <xf numFmtId="0" fontId="7" fillId="24" borderId="20" xfId="0" applyFont="1" applyFill="1" applyBorder="1" applyAlignment="1">
      <alignment horizontal="left" vertical="center" wrapText="1"/>
    </xf>
    <xf numFmtId="0" fontId="2" fillId="32" borderId="16" xfId="0" applyFont="1" applyFill="1" applyBorder="1" applyAlignment="1">
      <alignment horizontal="left" vertical="center" wrapText="1"/>
    </xf>
    <xf numFmtId="0" fontId="0" fillId="3" borderId="68" xfId="0" applyFill="1" applyBorder="1" applyAlignment="1">
      <alignment horizontal="center"/>
    </xf>
    <xf numFmtId="0" fontId="6" fillId="10" borderId="66" xfId="0" applyFont="1" applyFill="1" applyBorder="1" applyAlignment="1">
      <alignment horizontal="center" vertical="center"/>
    </xf>
    <xf numFmtId="0" fontId="6" fillId="33" borderId="22" xfId="0" applyFont="1" applyFill="1" applyBorder="1" applyAlignment="1">
      <alignment vertical="top" wrapText="1"/>
    </xf>
    <xf numFmtId="0" fontId="6" fillId="33" borderId="22" xfId="0" applyFont="1" applyFill="1" applyBorder="1"/>
    <xf numFmtId="0" fontId="7" fillId="0" borderId="0" xfId="0" applyFont="1" applyAlignment="1">
      <alignment vertical="top"/>
    </xf>
    <xf numFmtId="0" fontId="0" fillId="0" borderId="66" xfId="0" applyBorder="1"/>
    <xf numFmtId="0" fontId="2" fillId="8" borderId="38" xfId="0" applyFont="1" applyFill="1" applyBorder="1" applyAlignment="1">
      <alignment horizontal="left" vertical="center"/>
    </xf>
    <xf numFmtId="2" fontId="0" fillId="30" borderId="30" xfId="0" applyNumberFormat="1" applyFill="1" applyBorder="1" applyAlignment="1">
      <alignment horizontal="center" vertical="center"/>
    </xf>
    <xf numFmtId="0" fontId="2" fillId="30" borderId="18" xfId="0" applyFont="1" applyFill="1" applyBorder="1" applyAlignment="1">
      <alignment horizontal="center" vertical="center"/>
    </xf>
    <xf numFmtId="2" fontId="0" fillId="30" borderId="33" xfId="0" applyNumberFormat="1" applyFill="1" applyBorder="1" applyAlignment="1">
      <alignment horizontal="center" vertical="center"/>
    </xf>
    <xf numFmtId="0" fontId="2" fillId="30" borderId="12" xfId="0" applyFont="1" applyFill="1" applyBorder="1" applyAlignment="1">
      <alignment horizontal="center" vertical="center"/>
    </xf>
    <xf numFmtId="2" fontId="0" fillId="30" borderId="59" xfId="0" applyNumberFormat="1" applyFill="1" applyBorder="1" applyAlignment="1">
      <alignment horizontal="center" vertical="center"/>
    </xf>
    <xf numFmtId="2" fontId="0" fillId="30" borderId="34" xfId="0" applyNumberFormat="1" applyFill="1" applyBorder="1" applyAlignment="1">
      <alignment horizontal="center" vertical="center"/>
    </xf>
    <xf numFmtId="0" fontId="2" fillId="30" borderId="44" xfId="0" applyFont="1" applyFill="1" applyBorder="1" applyAlignment="1">
      <alignment horizontal="center" vertical="center"/>
    </xf>
    <xf numFmtId="2" fontId="6" fillId="4" borderId="4" xfId="0" applyNumberFormat="1" applyFont="1" applyFill="1" applyBorder="1" applyAlignment="1">
      <alignment horizontal="center" vertical="center"/>
    </xf>
    <xf numFmtId="2" fontId="6" fillId="4" borderId="3" xfId="0" applyNumberFormat="1" applyFont="1" applyFill="1" applyBorder="1" applyAlignment="1">
      <alignment horizontal="center" vertical="center"/>
    </xf>
    <xf numFmtId="2" fontId="6" fillId="4" borderId="52" xfId="0" applyNumberFormat="1" applyFont="1" applyFill="1" applyBorder="1" applyAlignment="1">
      <alignment horizontal="center" vertical="center"/>
    </xf>
    <xf numFmtId="0" fontId="2" fillId="2" borderId="54" xfId="0" applyFont="1" applyFill="1" applyBorder="1" applyAlignment="1">
      <alignment vertical="center"/>
    </xf>
    <xf numFmtId="0" fontId="2" fillId="5" borderId="57" xfId="0" applyFont="1" applyFill="1" applyBorder="1" applyAlignment="1" applyProtection="1">
      <alignment horizontal="center" vertical="center"/>
      <protection locked="0"/>
    </xf>
    <xf numFmtId="0" fontId="11" fillId="5" borderId="57" xfId="0" applyFont="1" applyFill="1" applyBorder="1" applyAlignment="1" applyProtection="1">
      <alignment horizontal="left" vertical="center" wrapText="1"/>
      <protection locked="0"/>
    </xf>
    <xf numFmtId="0" fontId="11" fillId="5" borderId="58" xfId="0" applyFont="1" applyFill="1" applyBorder="1" applyAlignment="1" applyProtection="1">
      <alignment horizontal="left" vertical="center" wrapText="1"/>
      <protection locked="0"/>
    </xf>
    <xf numFmtId="0" fontId="2" fillId="4" borderId="25" xfId="0" applyFont="1" applyFill="1" applyBorder="1" applyAlignment="1">
      <alignment vertical="center"/>
    </xf>
    <xf numFmtId="0" fontId="2" fillId="4" borderId="24" xfId="0" applyFont="1" applyFill="1" applyBorder="1"/>
    <xf numFmtId="0" fontId="8" fillId="30" borderId="38" xfId="0" applyFont="1" applyFill="1" applyBorder="1" applyAlignment="1">
      <alignment horizontal="center" vertical="center"/>
    </xf>
    <xf numFmtId="0" fontId="8" fillId="30" borderId="42" xfId="0" applyFont="1" applyFill="1" applyBorder="1" applyAlignment="1">
      <alignment horizontal="center" vertical="center"/>
    </xf>
    <xf numFmtId="0" fontId="8" fillId="30" borderId="53" xfId="0" applyFont="1" applyFill="1" applyBorder="1" applyAlignment="1">
      <alignment horizontal="center" vertical="center"/>
    </xf>
    <xf numFmtId="2" fontId="7" fillId="30" borderId="31" xfId="0" applyNumberFormat="1" applyFont="1" applyFill="1" applyBorder="1" applyAlignment="1">
      <alignment horizontal="center" vertical="center"/>
    </xf>
    <xf numFmtId="0" fontId="7" fillId="30" borderId="4" xfId="0" applyFont="1" applyFill="1" applyBorder="1" applyAlignment="1">
      <alignment horizontal="center" vertical="center"/>
    </xf>
    <xf numFmtId="0" fontId="7" fillId="30" borderId="10" xfId="0" applyFont="1" applyFill="1" applyBorder="1" applyAlignment="1">
      <alignment horizontal="center" vertical="center"/>
    </xf>
    <xf numFmtId="2" fontId="7" fillId="30" borderId="6" xfId="0" applyNumberFormat="1" applyFont="1" applyFill="1" applyBorder="1" applyAlignment="1">
      <alignment horizontal="center" vertical="center"/>
    </xf>
    <xf numFmtId="0" fontId="7" fillId="30" borderId="19" xfId="0" applyFont="1" applyFill="1" applyBorder="1" applyAlignment="1">
      <alignment horizontal="center" vertical="center"/>
    </xf>
    <xf numFmtId="0" fontId="7" fillId="30" borderId="12" xfId="0" applyFont="1" applyFill="1" applyBorder="1" applyAlignment="1">
      <alignment horizontal="center" vertical="center"/>
    </xf>
    <xf numFmtId="0" fontId="7" fillId="30" borderId="3" xfId="0" applyFont="1" applyFill="1" applyBorder="1" applyAlignment="1">
      <alignment horizontal="center" vertical="center"/>
    </xf>
    <xf numFmtId="2" fontId="7" fillId="30" borderId="7" xfId="0" applyNumberFormat="1" applyFont="1" applyFill="1" applyBorder="1" applyAlignment="1">
      <alignment horizontal="center" vertical="center"/>
    </xf>
    <xf numFmtId="0" fontId="7" fillId="30" borderId="48" xfId="0" applyFont="1" applyFill="1" applyBorder="1" applyAlignment="1">
      <alignment horizontal="center" vertical="center"/>
    </xf>
    <xf numFmtId="2" fontId="7" fillId="30" borderId="77" xfId="0" quotePrefix="1" applyNumberFormat="1" applyFont="1" applyFill="1" applyBorder="1" applyAlignment="1">
      <alignment horizontal="center"/>
    </xf>
    <xf numFmtId="0" fontId="7" fillId="30" borderId="15" xfId="0" applyFont="1" applyFill="1" applyBorder="1" applyAlignment="1">
      <alignment horizontal="center" vertical="center"/>
    </xf>
    <xf numFmtId="0" fontId="2" fillId="30" borderId="25" xfId="0" applyFont="1" applyFill="1" applyBorder="1" applyAlignment="1">
      <alignment vertical="center"/>
    </xf>
    <xf numFmtId="0" fontId="2" fillId="30" borderId="27" xfId="0" applyFont="1" applyFill="1" applyBorder="1" applyAlignment="1">
      <alignment vertical="center"/>
    </xf>
    <xf numFmtId="2" fontId="7" fillId="30" borderId="17" xfId="0" applyNumberFormat="1" applyFont="1" applyFill="1" applyBorder="1" applyAlignment="1">
      <alignment horizontal="center" vertical="center"/>
    </xf>
    <xf numFmtId="0" fontId="7" fillId="30" borderId="9" xfId="0" applyFont="1" applyFill="1" applyBorder="1" applyAlignment="1">
      <alignment horizontal="center" vertical="center"/>
    </xf>
    <xf numFmtId="2" fontId="7" fillId="30" borderId="3" xfId="0" applyNumberFormat="1" applyFont="1" applyFill="1" applyBorder="1" applyAlignment="1">
      <alignment horizontal="center" vertical="center"/>
    </xf>
    <xf numFmtId="2" fontId="7" fillId="30" borderId="5" xfId="0" applyNumberFormat="1" applyFont="1" applyFill="1" applyBorder="1" applyAlignment="1">
      <alignment horizontal="center" vertical="center"/>
    </xf>
    <xf numFmtId="2" fontId="7" fillId="30" borderId="0" xfId="0" quotePrefix="1" applyNumberFormat="1" applyFont="1" applyFill="1" applyAlignment="1">
      <alignment horizontal="center"/>
    </xf>
    <xf numFmtId="0" fontId="7" fillId="30" borderId="77" xfId="0" applyFont="1" applyFill="1" applyBorder="1" applyAlignment="1">
      <alignment horizontal="center" vertical="center"/>
    </xf>
    <xf numFmtId="0" fontId="7" fillId="30" borderId="76" xfId="0" applyFont="1" applyFill="1" applyBorder="1" applyAlignment="1">
      <alignment horizontal="center" vertical="center"/>
    </xf>
    <xf numFmtId="0" fontId="7" fillId="30" borderId="36" xfId="0" applyFont="1" applyFill="1" applyBorder="1" applyAlignment="1">
      <alignment horizontal="center" vertical="center"/>
    </xf>
    <xf numFmtId="0" fontId="7" fillId="30" borderId="5" xfId="0" applyFont="1" applyFill="1" applyBorder="1" applyAlignment="1">
      <alignment horizontal="center" vertical="center"/>
    </xf>
    <xf numFmtId="0" fontId="7" fillId="30" borderId="17" xfId="0" applyFont="1" applyFill="1" applyBorder="1" applyAlignment="1">
      <alignment horizontal="center" vertical="center"/>
    </xf>
    <xf numFmtId="2" fontId="7" fillId="30" borderId="40" xfId="0" quotePrefix="1" applyNumberFormat="1" applyFont="1" applyFill="1" applyBorder="1" applyAlignment="1">
      <alignment horizontal="center"/>
    </xf>
    <xf numFmtId="0" fontId="7" fillId="30" borderId="27" xfId="0" applyFont="1" applyFill="1" applyBorder="1" applyAlignment="1">
      <alignment horizontal="center" vertical="center"/>
    </xf>
    <xf numFmtId="2" fontId="7" fillId="30" borderId="10" xfId="0" quotePrefix="1" applyNumberFormat="1" applyFont="1" applyFill="1" applyBorder="1" applyAlignment="1">
      <alignment horizontal="center"/>
    </xf>
    <xf numFmtId="2" fontId="7" fillId="30" borderId="60" xfId="0" quotePrefix="1" applyNumberFormat="1" applyFont="1" applyFill="1" applyBorder="1" applyAlignment="1">
      <alignment horizontal="center"/>
    </xf>
    <xf numFmtId="2" fontId="7" fillId="30" borderId="13" xfId="0" quotePrefix="1" applyNumberFormat="1" applyFont="1" applyFill="1" applyBorder="1" applyAlignment="1">
      <alignment horizontal="center"/>
    </xf>
    <xf numFmtId="2" fontId="2" fillId="30" borderId="25" xfId="0" applyNumberFormat="1" applyFont="1" applyFill="1" applyBorder="1" applyAlignment="1">
      <alignment horizontal="left" vertical="center"/>
    </xf>
    <xf numFmtId="0" fontId="2" fillId="30" borderId="25" xfId="0" applyFont="1" applyFill="1" applyBorder="1" applyAlignment="1">
      <alignment horizontal="left" vertical="center"/>
    </xf>
    <xf numFmtId="2" fontId="7" fillId="30" borderId="19" xfId="0" applyNumberFormat="1" applyFont="1" applyFill="1" applyBorder="1" applyAlignment="1">
      <alignment horizontal="center" vertical="center"/>
    </xf>
    <xf numFmtId="0" fontId="7" fillId="30" borderId="1" xfId="0" applyFont="1" applyFill="1" applyBorder="1" applyAlignment="1">
      <alignment horizontal="center" vertical="center"/>
    </xf>
    <xf numFmtId="0" fontId="2" fillId="4" borderId="24" xfId="0" applyFont="1" applyFill="1" applyBorder="1" applyAlignment="1">
      <alignment horizontal="left" vertical="center"/>
    </xf>
    <xf numFmtId="14" fontId="2" fillId="4" borderId="21" xfId="0" quotePrefix="1" applyNumberFormat="1" applyFont="1" applyFill="1" applyBorder="1" applyAlignment="1">
      <alignment horizontal="left" vertical="center"/>
    </xf>
    <xf numFmtId="0" fontId="2" fillId="4" borderId="24" xfId="0" applyFont="1" applyFill="1" applyBorder="1" applyAlignment="1">
      <alignment horizontal="center" vertical="center"/>
    </xf>
    <xf numFmtId="0" fontId="16" fillId="4" borderId="24" xfId="0" applyFont="1" applyFill="1" applyBorder="1" applyAlignment="1">
      <alignment horizontal="left"/>
    </xf>
    <xf numFmtId="0" fontId="21" fillId="4" borderId="21" xfId="0" applyFont="1" applyFill="1" applyBorder="1"/>
    <xf numFmtId="0" fontId="0" fillId="4" borderId="0" xfId="0" applyFill="1" applyAlignment="1">
      <alignment horizontal="center"/>
    </xf>
    <xf numFmtId="0" fontId="0" fillId="4" borderId="24" xfId="0" applyFill="1" applyBorder="1"/>
    <xf numFmtId="0" fontId="0" fillId="4" borderId="25" xfId="0" applyFill="1" applyBorder="1"/>
    <xf numFmtId="0" fontId="18" fillId="4" borderId="22" xfId="0" applyFont="1" applyFill="1" applyBorder="1" applyAlignment="1">
      <alignment horizontal="center"/>
    </xf>
    <xf numFmtId="0" fontId="2" fillId="4" borderId="8" xfId="0" applyFont="1" applyFill="1" applyBorder="1" applyAlignment="1">
      <alignment horizontal="center" vertical="center"/>
    </xf>
    <xf numFmtId="0" fontId="6" fillId="4" borderId="22" xfId="0" applyFont="1" applyFill="1" applyBorder="1" applyAlignment="1">
      <alignment vertical="center"/>
    </xf>
    <xf numFmtId="0" fontId="6" fillId="30" borderId="22" xfId="0" applyFont="1" applyFill="1" applyBorder="1" applyAlignment="1">
      <alignment vertical="center"/>
    </xf>
    <xf numFmtId="0" fontId="6" fillId="30" borderId="35" xfId="0" applyFont="1" applyFill="1" applyBorder="1" applyAlignment="1">
      <alignment vertical="center"/>
    </xf>
    <xf numFmtId="0" fontId="6" fillId="30" borderId="22" xfId="0" applyFont="1" applyFill="1" applyBorder="1" applyAlignment="1">
      <alignment vertical="top" wrapText="1"/>
    </xf>
    <xf numFmtId="0" fontId="18" fillId="30" borderId="22" xfId="0" applyFont="1" applyFill="1" applyBorder="1" applyAlignment="1">
      <alignment vertical="center"/>
    </xf>
    <xf numFmtId="0" fontId="6" fillId="30" borderId="22" xfId="0" applyFont="1" applyFill="1" applyBorder="1"/>
    <xf numFmtId="0" fontId="6" fillId="30" borderId="22" xfId="0" applyFont="1" applyFill="1" applyBorder="1" applyAlignment="1">
      <alignment horizontal="left" vertical="center" wrapText="1"/>
    </xf>
    <xf numFmtId="0" fontId="17" fillId="30" borderId="22" xfId="0" applyFont="1" applyFill="1" applyBorder="1" applyAlignment="1">
      <alignment vertical="center"/>
    </xf>
    <xf numFmtId="0" fontId="6" fillId="30" borderId="47" xfId="0" applyFont="1" applyFill="1" applyBorder="1"/>
    <xf numFmtId="0" fontId="6" fillId="30" borderId="63" xfId="0" applyFont="1" applyFill="1" applyBorder="1"/>
    <xf numFmtId="0" fontId="6" fillId="30" borderId="22" xfId="0" applyFont="1" applyFill="1" applyBorder="1" applyAlignment="1">
      <alignment vertical="top"/>
    </xf>
    <xf numFmtId="0" fontId="6" fillId="30" borderId="47" xfId="0" applyFont="1" applyFill="1" applyBorder="1" applyAlignment="1">
      <alignment vertical="top"/>
    </xf>
    <xf numFmtId="0" fontId="4" fillId="30" borderId="2" xfId="0" applyFont="1" applyFill="1" applyBorder="1" applyAlignment="1">
      <alignment horizontal="left" vertical="top"/>
    </xf>
    <xf numFmtId="0" fontId="7" fillId="0" borderId="2" xfId="0" applyFont="1" applyBorder="1" applyAlignment="1">
      <alignment horizontal="center" vertical="top"/>
    </xf>
    <xf numFmtId="0" fontId="2" fillId="2" borderId="22" xfId="0" applyFont="1" applyFill="1" applyBorder="1" applyAlignment="1">
      <alignment horizontal="center" vertical="center"/>
    </xf>
    <xf numFmtId="0" fontId="12" fillId="6" borderId="8" xfId="0" applyFont="1" applyFill="1" applyBorder="1" applyAlignment="1">
      <alignment horizontal="center" vertical="center"/>
    </xf>
    <xf numFmtId="0" fontId="3" fillId="0" borderId="58" xfId="0" applyFont="1" applyBorder="1" applyAlignment="1">
      <alignment horizontal="left" vertical="top" wrapText="1" indent="2"/>
    </xf>
    <xf numFmtId="0" fontId="0" fillId="0" borderId="82" xfId="0" applyBorder="1" applyAlignment="1">
      <alignment horizontal="center" vertical="top"/>
    </xf>
    <xf numFmtId="0" fontId="3" fillId="0" borderId="83" xfId="0" applyFont="1" applyBorder="1" applyAlignment="1">
      <alignment horizontal="left" vertical="top" wrapText="1" indent="2"/>
    </xf>
    <xf numFmtId="0" fontId="2" fillId="24" borderId="31" xfId="0" applyFont="1" applyFill="1" applyBorder="1" applyAlignment="1">
      <alignment vertical="center"/>
    </xf>
    <xf numFmtId="0" fontId="2" fillId="23" borderId="31" xfId="0" applyFont="1" applyFill="1" applyBorder="1" applyAlignment="1">
      <alignment vertical="center"/>
    </xf>
    <xf numFmtId="0" fontId="2" fillId="20" borderId="31" xfId="0" applyFont="1" applyFill="1" applyBorder="1" applyAlignment="1">
      <alignment vertical="center"/>
    </xf>
    <xf numFmtId="0" fontId="2" fillId="16" borderId="0" xfId="0" applyFont="1" applyFill="1" applyAlignment="1">
      <alignment horizontal="left" vertical="center"/>
    </xf>
    <xf numFmtId="0" fontId="16" fillId="4" borderId="24" xfId="0" applyFont="1" applyFill="1" applyBorder="1" applyAlignment="1">
      <alignment vertical="center"/>
    </xf>
    <xf numFmtId="0" fontId="7" fillId="30" borderId="79" xfId="0" applyFont="1" applyFill="1" applyBorder="1" applyAlignment="1">
      <alignment horizontal="center" vertical="center"/>
    </xf>
    <xf numFmtId="0" fontId="0" fillId="4" borderId="2" xfId="0" applyFill="1" applyBorder="1"/>
    <xf numFmtId="0" fontId="7" fillId="0" borderId="10" xfId="0" applyFont="1" applyBorder="1" applyAlignment="1" applyProtection="1">
      <alignment vertical="center"/>
      <protection locked="0"/>
    </xf>
    <xf numFmtId="0" fontId="7" fillId="0" borderId="4" xfId="0" applyFont="1" applyBorder="1" applyAlignment="1" applyProtection="1">
      <alignment vertical="center"/>
      <protection locked="0"/>
    </xf>
    <xf numFmtId="0" fontId="7" fillId="0" borderId="9" xfId="0" applyFont="1" applyBorder="1" applyAlignment="1" applyProtection="1">
      <alignment vertical="center"/>
      <protection locked="0"/>
    </xf>
    <xf numFmtId="0" fontId="7" fillId="0" borderId="60" xfId="0" applyFont="1" applyBorder="1" applyAlignment="1" applyProtection="1">
      <alignment vertical="center"/>
      <protection locked="0"/>
    </xf>
    <xf numFmtId="0" fontId="7" fillId="0" borderId="17" xfId="0" applyFont="1" applyBorder="1" applyAlignment="1" applyProtection="1">
      <alignment vertical="center"/>
      <protection locked="0"/>
    </xf>
    <xf numFmtId="0" fontId="7" fillId="0" borderId="76" xfId="0" applyFont="1" applyBorder="1" applyAlignment="1" applyProtection="1">
      <alignment vertical="center"/>
      <protection locked="0"/>
    </xf>
    <xf numFmtId="0" fontId="7" fillId="0" borderId="13" xfId="0" applyFont="1" applyBorder="1" applyAlignment="1" applyProtection="1">
      <alignment vertical="center"/>
      <protection locked="0"/>
    </xf>
    <xf numFmtId="0" fontId="7" fillId="0" borderId="20" xfId="0" applyFont="1" applyBorder="1" applyAlignment="1" applyProtection="1">
      <alignment vertical="center"/>
      <protection locked="0"/>
    </xf>
    <xf numFmtId="0" fontId="7" fillId="0" borderId="5" xfId="0" applyFont="1" applyBorder="1" applyAlignment="1" applyProtection="1">
      <alignment vertical="center"/>
      <protection locked="0"/>
    </xf>
    <xf numFmtId="0" fontId="7" fillId="0" borderId="82" xfId="0" applyFont="1" applyBorder="1" applyAlignment="1">
      <alignment horizontal="center" vertical="top"/>
    </xf>
    <xf numFmtId="0" fontId="10" fillId="0" borderId="71" xfId="0" applyFont="1" applyBorder="1" applyAlignment="1" applyProtection="1">
      <alignment vertical="top" wrapText="1"/>
      <protection locked="0"/>
    </xf>
    <xf numFmtId="0" fontId="9" fillId="33" borderId="65" xfId="0" applyFont="1" applyFill="1" applyBorder="1" applyAlignment="1">
      <alignment horizontal="left" vertical="top" wrapText="1"/>
    </xf>
    <xf numFmtId="0" fontId="9" fillId="33" borderId="66" xfId="0" applyFont="1" applyFill="1" applyBorder="1" applyAlignment="1">
      <alignment horizontal="left" vertical="top" wrapText="1"/>
    </xf>
    <xf numFmtId="0" fontId="9" fillId="33" borderId="61" xfId="0" applyFont="1" applyFill="1" applyBorder="1" applyAlignment="1">
      <alignment horizontal="left" vertical="top" wrapText="1"/>
    </xf>
    <xf numFmtId="0" fontId="9" fillId="33" borderId="21" xfId="0" applyFont="1" applyFill="1" applyBorder="1" applyAlignment="1">
      <alignment horizontal="left" vertical="top" wrapText="1"/>
    </xf>
    <xf numFmtId="0" fontId="9" fillId="33" borderId="39" xfId="0" applyFont="1" applyFill="1" applyBorder="1" applyAlignment="1">
      <alignment vertical="top" wrapText="1"/>
    </xf>
    <xf numFmtId="0" fontId="9" fillId="33" borderId="56" xfId="0" applyFont="1" applyFill="1" applyBorder="1" applyAlignment="1">
      <alignment vertical="top" wrapText="1"/>
    </xf>
    <xf numFmtId="0" fontId="9" fillId="33" borderId="69" xfId="0" applyFont="1" applyFill="1" applyBorder="1" applyAlignment="1">
      <alignment horizontal="left" vertical="top" wrapText="1"/>
    </xf>
    <xf numFmtId="0" fontId="9" fillId="33" borderId="73" xfId="0" applyFont="1" applyFill="1" applyBorder="1" applyAlignment="1">
      <alignment horizontal="left" vertical="top" wrapText="1"/>
    </xf>
    <xf numFmtId="0" fontId="9" fillId="33" borderId="72" xfId="0" applyFont="1" applyFill="1" applyBorder="1" applyAlignment="1">
      <alignment horizontal="left" vertical="top" wrapText="1"/>
    </xf>
    <xf numFmtId="0" fontId="9" fillId="7" borderId="73" xfId="0" applyFont="1" applyFill="1" applyBorder="1" applyAlignment="1">
      <alignment vertical="top" wrapText="1"/>
    </xf>
    <xf numFmtId="0" fontId="9" fillId="7" borderId="72" xfId="0" applyFont="1" applyFill="1" applyBorder="1" applyAlignment="1">
      <alignment vertical="top" wrapText="1"/>
    </xf>
    <xf numFmtId="0" fontId="10" fillId="0" borderId="73" xfId="0" applyFont="1" applyBorder="1" applyAlignment="1" applyProtection="1">
      <alignment vertical="top" wrapText="1"/>
      <protection locked="0"/>
    </xf>
    <xf numFmtId="0" fontId="10" fillId="0" borderId="51" xfId="0" applyFont="1" applyBorder="1" applyAlignment="1" applyProtection="1">
      <alignment vertical="top" wrapText="1"/>
      <protection locked="0"/>
    </xf>
    <xf numFmtId="0" fontId="0" fillId="0" borderId="72" xfId="0" applyBorder="1" applyAlignment="1">
      <alignment vertical="top" wrapText="1"/>
    </xf>
    <xf numFmtId="0" fontId="9" fillId="7" borderId="43" xfId="0" applyFont="1" applyFill="1" applyBorder="1" applyAlignment="1">
      <alignment vertical="top" wrapText="1"/>
    </xf>
    <xf numFmtId="0" fontId="9" fillId="7" borderId="36" xfId="0" applyFont="1" applyFill="1" applyBorder="1" applyAlignment="1">
      <alignment vertical="top" wrapText="1"/>
    </xf>
    <xf numFmtId="0" fontId="10" fillId="0" borderId="36" xfId="0" applyFont="1" applyBorder="1" applyAlignment="1" applyProtection="1">
      <alignment vertical="top" wrapText="1"/>
      <protection locked="0"/>
    </xf>
    <xf numFmtId="0" fontId="9" fillId="7" borderId="47" xfId="0" applyFont="1" applyFill="1" applyBorder="1" applyAlignment="1">
      <alignment vertical="top" wrapText="1"/>
    </xf>
    <xf numFmtId="0" fontId="9" fillId="7" borderId="29" xfId="0" applyFont="1" applyFill="1" applyBorder="1" applyAlignment="1">
      <alignment vertical="top" wrapText="1"/>
    </xf>
    <xf numFmtId="0" fontId="9" fillId="7" borderId="18" xfId="0" applyFont="1" applyFill="1" applyBorder="1" applyAlignment="1">
      <alignment vertical="top" wrapText="1"/>
    </xf>
    <xf numFmtId="0" fontId="9" fillId="21" borderId="39" xfId="0" applyFont="1" applyFill="1" applyBorder="1" applyAlignment="1" applyProtection="1">
      <alignment vertical="top" wrapText="1"/>
      <protection locked="0"/>
    </xf>
    <xf numFmtId="0" fontId="9" fillId="21" borderId="56" xfId="0" applyFont="1" applyFill="1" applyBorder="1" applyAlignment="1" applyProtection="1">
      <alignment vertical="top" wrapText="1"/>
      <protection locked="0"/>
    </xf>
    <xf numFmtId="0" fontId="10" fillId="0" borderId="43" xfId="0" applyFont="1" applyBorder="1" applyAlignment="1" applyProtection="1">
      <alignment vertical="top" wrapText="1"/>
      <protection locked="0"/>
    </xf>
    <xf numFmtId="0" fontId="0" fillId="0" borderId="47" xfId="0" applyBorder="1" applyAlignment="1">
      <alignment vertical="top" wrapText="1"/>
    </xf>
    <xf numFmtId="0" fontId="10" fillId="0" borderId="65" xfId="0" applyFont="1" applyBorder="1" applyAlignment="1" applyProtection="1">
      <alignment vertical="top" wrapText="1"/>
      <protection locked="0"/>
    </xf>
    <xf numFmtId="0" fontId="10" fillId="0" borderId="66" xfId="0" applyFont="1" applyBorder="1" applyAlignment="1" applyProtection="1">
      <alignment vertical="top" wrapText="1"/>
      <protection locked="0"/>
    </xf>
    <xf numFmtId="0" fontId="0" fillId="0" borderId="69" xfId="0" applyBorder="1" applyAlignment="1">
      <alignment vertical="top" wrapText="1"/>
    </xf>
    <xf numFmtId="0" fontId="10" fillId="5" borderId="65" xfId="0" applyFont="1" applyFill="1" applyBorder="1" applyAlignment="1" applyProtection="1">
      <alignment vertical="top" wrapText="1"/>
      <protection locked="0"/>
    </xf>
    <xf numFmtId="0" fontId="10" fillId="5" borderId="66" xfId="0" applyFont="1" applyFill="1" applyBorder="1" applyAlignment="1" applyProtection="1">
      <alignment vertical="top" wrapText="1"/>
      <protection locked="0"/>
    </xf>
    <xf numFmtId="0" fontId="9" fillId="21" borderId="43" xfId="0" applyFont="1" applyFill="1" applyBorder="1" applyAlignment="1">
      <alignment horizontal="left" vertical="top" wrapText="1"/>
    </xf>
    <xf numFmtId="0" fontId="9" fillId="21" borderId="36" xfId="0" applyFont="1" applyFill="1" applyBorder="1" applyAlignment="1">
      <alignment horizontal="left" vertical="top" wrapText="1"/>
    </xf>
    <xf numFmtId="0" fontId="9" fillId="21" borderId="39" xfId="0" applyFont="1" applyFill="1" applyBorder="1" applyAlignment="1">
      <alignment vertical="top" wrapText="1"/>
    </xf>
    <xf numFmtId="0" fontId="9" fillId="21" borderId="56" xfId="0" applyFont="1" applyFill="1" applyBorder="1" applyAlignment="1">
      <alignment vertical="top" wrapText="1"/>
    </xf>
    <xf numFmtId="0" fontId="9" fillId="11" borderId="22" xfId="0" applyFont="1" applyFill="1" applyBorder="1" applyAlignment="1">
      <alignment horizontal="left" vertical="top" wrapText="1"/>
    </xf>
    <xf numFmtId="0" fontId="10" fillId="0" borderId="22" xfId="0" applyFont="1" applyBorder="1" applyAlignment="1" applyProtection="1">
      <alignment horizontal="left" vertical="top" wrapText="1"/>
      <protection locked="0"/>
    </xf>
    <xf numFmtId="0" fontId="9" fillId="11" borderId="64" xfId="0" applyFont="1" applyFill="1" applyBorder="1" applyAlignment="1">
      <alignment horizontal="left" vertical="top" wrapText="1"/>
    </xf>
    <xf numFmtId="0" fontId="10" fillId="0" borderId="73" xfId="0" applyFont="1" applyBorder="1" applyAlignment="1" applyProtection="1">
      <alignment horizontal="left" vertical="top" wrapText="1"/>
      <protection locked="0"/>
    </xf>
    <xf numFmtId="0" fontId="10" fillId="0" borderId="51" xfId="0" applyFont="1" applyBorder="1" applyAlignment="1" applyProtection="1">
      <alignment horizontal="left" vertical="top" wrapText="1"/>
      <protection locked="0"/>
    </xf>
    <xf numFmtId="0" fontId="10" fillId="0" borderId="72" xfId="0" applyFont="1" applyBorder="1" applyAlignment="1" applyProtection="1">
      <alignment horizontal="left" vertical="top" wrapText="1"/>
      <protection locked="0"/>
    </xf>
    <xf numFmtId="0" fontId="9" fillId="21" borderId="61" xfId="0" applyFont="1" applyFill="1" applyBorder="1" applyAlignment="1">
      <alignment horizontal="left" vertical="top" wrapText="1"/>
    </xf>
    <xf numFmtId="0" fontId="9" fillId="21" borderId="21" xfId="0" applyFont="1" applyFill="1" applyBorder="1" applyAlignment="1">
      <alignment horizontal="left" vertical="top" wrapText="1"/>
    </xf>
    <xf numFmtId="0" fontId="9" fillId="21" borderId="73" xfId="0" applyFont="1" applyFill="1" applyBorder="1" applyAlignment="1">
      <alignment horizontal="left" vertical="top" wrapText="1"/>
    </xf>
    <xf numFmtId="0" fontId="9" fillId="21" borderId="72" xfId="0" applyFont="1" applyFill="1" applyBorder="1" applyAlignment="1">
      <alignment horizontal="left" vertical="top" wrapText="1"/>
    </xf>
    <xf numFmtId="0" fontId="9" fillId="21" borderId="65" xfId="0" applyFont="1" applyFill="1" applyBorder="1" applyAlignment="1">
      <alignment horizontal="left" vertical="top" wrapText="1"/>
    </xf>
    <xf numFmtId="0" fontId="9" fillId="21" borderId="66" xfId="0" applyFont="1" applyFill="1" applyBorder="1" applyAlignment="1">
      <alignment horizontal="left" vertical="top" wrapText="1"/>
    </xf>
    <xf numFmtId="0" fontId="10" fillId="0" borderId="72" xfId="0" applyFont="1" applyBorder="1" applyAlignment="1" applyProtection="1">
      <alignment vertical="top" wrapText="1"/>
      <protection locked="0"/>
    </xf>
    <xf numFmtId="0" fontId="9" fillId="19" borderId="22" xfId="0" applyFont="1" applyFill="1" applyBorder="1" applyAlignment="1">
      <alignment horizontal="left" vertical="top" wrapText="1"/>
    </xf>
    <xf numFmtId="0" fontId="9" fillId="19" borderId="22" xfId="0" applyFont="1" applyFill="1" applyBorder="1"/>
    <xf numFmtId="0" fontId="2" fillId="19" borderId="61" xfId="0" applyFont="1" applyFill="1" applyBorder="1" applyAlignment="1">
      <alignment horizontal="center" vertical="center"/>
    </xf>
    <xf numFmtId="0" fontId="2" fillId="19" borderId="25" xfId="0" applyFont="1" applyFill="1" applyBorder="1" applyAlignment="1">
      <alignment horizontal="center" vertical="center"/>
    </xf>
    <xf numFmtId="0" fontId="10" fillId="0" borderId="43" xfId="0" applyFont="1" applyBorder="1" applyAlignment="1" applyProtection="1">
      <alignment horizontal="left" vertical="top" wrapText="1"/>
      <protection locked="0"/>
    </xf>
    <xf numFmtId="0" fontId="10" fillId="0" borderId="36" xfId="0" applyFont="1" applyBorder="1" applyAlignment="1" applyProtection="1">
      <alignment horizontal="left" vertical="top" wrapText="1"/>
      <protection locked="0"/>
    </xf>
    <xf numFmtId="0" fontId="10" fillId="0" borderId="47" xfId="0" applyFont="1" applyBorder="1" applyAlignment="1" applyProtection="1">
      <alignment horizontal="left" vertical="top" wrapText="1"/>
      <protection locked="0"/>
    </xf>
    <xf numFmtId="0" fontId="9" fillId="33" borderId="29" xfId="0" applyFont="1" applyFill="1" applyBorder="1" applyAlignment="1">
      <alignment vertical="top" wrapText="1"/>
    </xf>
    <xf numFmtId="0" fontId="9" fillId="33" borderId="18" xfId="0" applyFont="1" applyFill="1" applyBorder="1" applyAlignment="1">
      <alignment vertical="top" wrapText="1"/>
    </xf>
    <xf numFmtId="0" fontId="9" fillId="12" borderId="38" xfId="0" applyFont="1" applyFill="1" applyBorder="1" applyAlignment="1">
      <alignment horizontal="left" vertical="top" wrapText="1"/>
    </xf>
    <xf numFmtId="0" fontId="9" fillId="12" borderId="39" xfId="0" applyFont="1" applyFill="1" applyBorder="1" applyAlignment="1">
      <alignment horizontal="left" vertical="top" wrapText="1"/>
    </xf>
    <xf numFmtId="0" fontId="20" fillId="4" borderId="25" xfId="0" applyFont="1" applyFill="1" applyBorder="1" applyAlignment="1">
      <alignment horizontal="center" vertical="center"/>
    </xf>
    <xf numFmtId="0" fontId="20" fillId="4" borderId="21" xfId="0" applyFont="1" applyFill="1" applyBorder="1" applyAlignment="1">
      <alignment horizontal="center" vertical="center"/>
    </xf>
    <xf numFmtId="0" fontId="2" fillId="4" borderId="24" xfId="0" applyFont="1" applyFill="1" applyBorder="1" applyAlignment="1">
      <alignment horizontal="center" vertical="center"/>
    </xf>
    <xf numFmtId="0" fontId="2" fillId="4" borderId="25" xfId="0" applyFont="1" applyFill="1" applyBorder="1" applyAlignment="1">
      <alignment horizontal="center" vertical="center"/>
    </xf>
    <xf numFmtId="0" fontId="9" fillId="12" borderId="37" xfId="0" applyFont="1" applyFill="1" applyBorder="1" applyAlignment="1">
      <alignment horizontal="left" vertical="top" wrapText="1"/>
    </xf>
    <xf numFmtId="0" fontId="9" fillId="12" borderId="70" xfId="0" applyFont="1" applyFill="1" applyBorder="1" applyAlignment="1">
      <alignment horizontal="left" vertical="top" wrapText="1"/>
    </xf>
    <xf numFmtId="0" fontId="10" fillId="0" borderId="40" xfId="0" applyFont="1" applyBorder="1" applyAlignment="1" applyProtection="1">
      <alignment horizontal="left" vertical="top" wrapText="1"/>
      <protection locked="0"/>
    </xf>
    <xf numFmtId="0" fontId="2" fillId="11" borderId="61" xfId="0" applyFont="1" applyFill="1" applyBorder="1" applyAlignment="1">
      <alignment horizontal="center" vertical="center"/>
    </xf>
    <xf numFmtId="0" fontId="2" fillId="11" borderId="25" xfId="0" applyFont="1" applyFill="1" applyBorder="1" applyAlignment="1">
      <alignment horizontal="center" vertical="center"/>
    </xf>
    <xf numFmtId="0" fontId="2" fillId="11" borderId="21" xfId="0" applyFont="1" applyFill="1" applyBorder="1" applyAlignment="1">
      <alignment horizontal="center" vertical="center"/>
    </xf>
    <xf numFmtId="0" fontId="9" fillId="12" borderId="6" xfId="0" applyFont="1" applyFill="1" applyBorder="1" applyAlignment="1">
      <alignment horizontal="left" vertical="top" wrapText="1"/>
    </xf>
    <xf numFmtId="0" fontId="9" fillId="12" borderId="47" xfId="0" applyFont="1" applyFill="1" applyBorder="1" applyAlignment="1">
      <alignment horizontal="left" vertical="top" wrapText="1"/>
    </xf>
    <xf numFmtId="0" fontId="9" fillId="11" borderId="63" xfId="0" applyFont="1" applyFill="1" applyBorder="1" applyAlignment="1">
      <alignment horizontal="left" vertical="top" wrapText="1"/>
    </xf>
    <xf numFmtId="0" fontId="10" fillId="0" borderId="66" xfId="0" applyFont="1" applyBorder="1" applyAlignment="1" applyProtection="1">
      <alignment horizontal="left" vertical="top" wrapText="1"/>
      <protection locked="0"/>
    </xf>
    <xf numFmtId="0" fontId="10" fillId="0" borderId="0" xfId="0" applyFont="1" applyAlignment="1" applyProtection="1">
      <alignment horizontal="left" vertical="top" wrapText="1"/>
      <protection locked="0"/>
    </xf>
    <xf numFmtId="0" fontId="9" fillId="12" borderId="53" xfId="0" applyFont="1" applyFill="1" applyBorder="1" applyAlignment="1">
      <alignment horizontal="left" vertical="top" wrapText="1"/>
    </xf>
    <xf numFmtId="0" fontId="9" fillId="12" borderId="64" xfId="0" applyFont="1" applyFill="1" applyBorder="1" applyAlignment="1">
      <alignment horizontal="left" vertical="top" wrapText="1"/>
    </xf>
    <xf numFmtId="0" fontId="2" fillId="11" borderId="62" xfId="0" applyFont="1" applyFill="1" applyBorder="1" applyAlignment="1">
      <alignment horizontal="center" vertical="center"/>
    </xf>
    <xf numFmtId="0" fontId="2" fillId="11" borderId="27" xfId="0" applyFont="1" applyFill="1" applyBorder="1" applyAlignment="1">
      <alignment horizontal="center" vertical="center"/>
    </xf>
    <xf numFmtId="0" fontId="10" fillId="0" borderId="65" xfId="0" applyFont="1" applyBorder="1" applyAlignment="1" applyProtection="1">
      <alignment horizontal="left" vertical="top" wrapText="1"/>
      <protection locked="0"/>
    </xf>
    <xf numFmtId="0" fontId="10" fillId="0" borderId="69" xfId="0" applyFont="1" applyBorder="1" applyAlignment="1" applyProtection="1">
      <alignment horizontal="left" vertical="top" wrapText="1"/>
      <protection locked="0"/>
    </xf>
    <xf numFmtId="0" fontId="2" fillId="19" borderId="50" xfId="0" applyFont="1" applyFill="1" applyBorder="1" applyAlignment="1">
      <alignment horizontal="center" vertical="center"/>
    </xf>
    <xf numFmtId="0" fontId="9" fillId="19" borderId="65" xfId="0" applyFont="1" applyFill="1" applyBorder="1" applyAlignment="1">
      <alignment horizontal="left" vertical="top" wrapText="1"/>
    </xf>
    <xf numFmtId="0" fontId="9" fillId="19" borderId="69" xfId="0" applyFont="1" applyFill="1" applyBorder="1" applyAlignment="1">
      <alignment horizontal="left" vertical="top" wrapText="1"/>
    </xf>
    <xf numFmtId="0" fontId="9" fillId="19" borderId="43" xfId="0" applyFont="1" applyFill="1" applyBorder="1" applyAlignment="1">
      <alignment horizontal="left" vertical="top" wrapText="1"/>
    </xf>
    <xf numFmtId="0" fontId="9" fillId="19" borderId="47" xfId="0" applyFont="1" applyFill="1" applyBorder="1" applyAlignment="1">
      <alignment horizontal="left" vertical="top" wrapText="1"/>
    </xf>
    <xf numFmtId="0" fontId="10" fillId="0" borderId="71" xfId="0" applyFont="1" applyBorder="1" applyAlignment="1" applyProtection="1">
      <alignment horizontal="left" vertical="top" wrapText="1"/>
      <protection locked="0"/>
    </xf>
    <xf numFmtId="0" fontId="9" fillId="12" borderId="43" xfId="0" applyFont="1" applyFill="1" applyBorder="1" applyAlignment="1">
      <alignment horizontal="left" vertical="top" wrapText="1"/>
    </xf>
    <xf numFmtId="0" fontId="10" fillId="0" borderId="29" xfId="0" applyFont="1" applyBorder="1" applyAlignment="1" applyProtection="1">
      <alignment horizontal="left" vertical="top" wrapText="1"/>
      <protection locked="0"/>
    </xf>
    <xf numFmtId="0" fontId="10" fillId="0" borderId="41" xfId="0" applyFont="1" applyBorder="1" applyAlignment="1" applyProtection="1">
      <alignment horizontal="left" vertical="top" wrapText="1"/>
      <protection locked="0"/>
    </xf>
    <xf numFmtId="0" fontId="10" fillId="0" borderId="67" xfId="0" applyFont="1" applyBorder="1" applyAlignment="1" applyProtection="1">
      <alignment horizontal="left" vertical="top" wrapText="1"/>
      <protection locked="0"/>
    </xf>
    <xf numFmtId="0" fontId="9" fillId="12" borderId="32" xfId="0" applyFont="1" applyFill="1" applyBorder="1" applyAlignment="1">
      <alignment horizontal="left" vertical="top" wrapText="1"/>
    </xf>
    <xf numFmtId="0" fontId="10" fillId="12" borderId="72" xfId="0" applyFont="1" applyFill="1" applyBorder="1" applyAlignment="1">
      <alignment horizontal="left" vertical="top" wrapText="1"/>
    </xf>
    <xf numFmtId="0" fontId="10" fillId="0" borderId="80" xfId="0" applyFont="1" applyBorder="1" applyAlignment="1" applyProtection="1">
      <alignment horizontal="left" vertical="top" wrapText="1"/>
      <protection locked="0"/>
    </xf>
    <xf numFmtId="0" fontId="10" fillId="0" borderId="81" xfId="0" applyFont="1" applyBorder="1" applyAlignment="1" applyProtection="1">
      <alignment horizontal="left" vertical="top" wrapText="1"/>
      <protection locked="0"/>
    </xf>
    <xf numFmtId="0" fontId="10" fillId="0" borderId="64" xfId="0" applyFont="1" applyBorder="1" applyAlignment="1" applyProtection="1">
      <alignment horizontal="left" vertical="top" wrapText="1"/>
      <protection locked="0"/>
    </xf>
    <xf numFmtId="0" fontId="10" fillId="0" borderId="63" xfId="0" applyFont="1" applyBorder="1" applyAlignment="1" applyProtection="1">
      <alignment horizontal="left" vertical="top" wrapText="1"/>
      <protection locked="0"/>
    </xf>
    <xf numFmtId="0" fontId="9" fillId="19" borderId="63" xfId="0" applyFont="1" applyFill="1" applyBorder="1" applyAlignment="1">
      <alignment horizontal="left" vertical="top" wrapText="1"/>
    </xf>
    <xf numFmtId="0" fontId="10" fillId="0" borderId="39" xfId="0" applyFont="1" applyBorder="1" applyAlignment="1" applyProtection="1">
      <alignment horizontal="left" vertical="top" wrapText="1"/>
      <protection locked="0"/>
    </xf>
    <xf numFmtId="0" fontId="10" fillId="0" borderId="56" xfId="0" applyFont="1" applyBorder="1" applyAlignment="1" applyProtection="1">
      <alignment horizontal="left" vertical="top" wrapText="1"/>
      <protection locked="0"/>
    </xf>
    <xf numFmtId="0" fontId="2" fillId="12" borderId="16" xfId="0" applyFont="1" applyFill="1" applyBorder="1" applyAlignment="1">
      <alignment horizontal="center" vertical="center"/>
    </xf>
    <xf numFmtId="0" fontId="2" fillId="12" borderId="15" xfId="0" applyFont="1" applyFill="1" applyBorder="1" applyAlignment="1">
      <alignment horizontal="center" vertical="center"/>
    </xf>
    <xf numFmtId="0" fontId="10" fillId="5" borderId="29" xfId="0" applyFont="1" applyFill="1" applyBorder="1" applyAlignment="1" applyProtection="1">
      <alignment horizontal="left" vertical="top" wrapText="1"/>
      <protection locked="0"/>
    </xf>
    <xf numFmtId="0" fontId="10" fillId="5" borderId="41" xfId="0" applyFont="1" applyFill="1" applyBorder="1" applyAlignment="1" applyProtection="1">
      <alignment horizontal="left" vertical="top" wrapText="1"/>
      <protection locked="0"/>
    </xf>
    <xf numFmtId="0" fontId="10" fillId="5" borderId="67" xfId="0" applyFont="1" applyFill="1" applyBorder="1" applyAlignment="1" applyProtection="1">
      <alignment horizontal="left" vertical="top" wrapText="1"/>
      <protection locked="0"/>
    </xf>
    <xf numFmtId="0" fontId="9" fillId="12" borderId="65" xfId="0" applyFont="1" applyFill="1" applyBorder="1" applyAlignment="1">
      <alignment horizontal="left" vertical="top" wrapText="1"/>
    </xf>
    <xf numFmtId="0" fontId="9" fillId="12" borderId="69" xfId="0" applyFont="1" applyFill="1" applyBorder="1" applyAlignment="1">
      <alignment horizontal="left" vertical="top" wrapText="1"/>
    </xf>
    <xf numFmtId="0" fontId="6" fillId="19" borderId="50" xfId="0" applyFont="1" applyFill="1" applyBorder="1" applyAlignment="1">
      <alignment horizontal="center" vertical="top" wrapText="1"/>
    </xf>
    <xf numFmtId="0" fontId="6" fillId="19" borderId="61" xfId="0" applyFont="1" applyFill="1" applyBorder="1" applyAlignment="1">
      <alignment horizontal="center" vertical="top" wrapText="1"/>
    </xf>
    <xf numFmtId="0" fontId="9" fillId="21" borderId="29" xfId="0" applyFont="1" applyFill="1" applyBorder="1" applyAlignment="1">
      <alignment vertical="top" wrapText="1"/>
    </xf>
    <xf numFmtId="0" fontId="9" fillId="21" borderId="18" xfId="0" applyFont="1" applyFill="1" applyBorder="1" applyAlignment="1">
      <alignment vertical="top" wrapText="1"/>
    </xf>
    <xf numFmtId="0" fontId="9" fillId="21" borderId="65" xfId="0" applyFont="1" applyFill="1" applyBorder="1" applyAlignment="1" applyProtection="1">
      <alignment horizontal="left" vertical="top" wrapText="1"/>
      <protection locked="0"/>
    </xf>
    <xf numFmtId="0" fontId="9" fillId="21" borderId="69" xfId="0" applyFont="1" applyFill="1" applyBorder="1" applyAlignment="1" applyProtection="1">
      <alignment horizontal="left" vertical="top" wrapText="1"/>
      <protection locked="0"/>
    </xf>
    <xf numFmtId="0" fontId="10" fillId="0" borderId="0" xfId="0" applyFont="1" applyAlignment="1" applyProtection="1">
      <alignment vertical="top" wrapText="1"/>
      <protection locked="0"/>
    </xf>
    <xf numFmtId="0" fontId="2" fillId="21" borderId="24" xfId="0" applyFont="1" applyFill="1" applyBorder="1" applyAlignment="1">
      <alignment horizontal="center" vertical="top"/>
    </xf>
    <xf numFmtId="0" fontId="2" fillId="21" borderId="21" xfId="0" applyFont="1" applyFill="1" applyBorder="1" applyAlignment="1">
      <alignment horizontal="center" vertical="top"/>
    </xf>
    <xf numFmtId="0" fontId="2" fillId="33" borderId="24" xfId="0" applyFont="1" applyFill="1" applyBorder="1" applyAlignment="1">
      <alignment horizontal="center" vertical="top"/>
    </xf>
    <xf numFmtId="0" fontId="2" fillId="33" borderId="21" xfId="0" applyFont="1" applyFill="1" applyBorder="1" applyAlignment="1">
      <alignment horizontal="center" vertical="top"/>
    </xf>
    <xf numFmtId="0" fontId="9" fillId="7" borderId="39" xfId="0" applyFont="1" applyFill="1" applyBorder="1" applyAlignment="1">
      <alignment vertical="top" wrapText="1"/>
    </xf>
    <xf numFmtId="0" fontId="9" fillId="7" borderId="71" xfId="0" applyFont="1" applyFill="1" applyBorder="1" applyAlignment="1">
      <alignment vertical="top" wrapText="1"/>
    </xf>
    <xf numFmtId="0" fontId="9" fillId="19" borderId="6" xfId="0" applyFont="1" applyFill="1" applyBorder="1" applyAlignment="1">
      <alignment horizontal="left" vertical="top" wrapText="1"/>
    </xf>
    <xf numFmtId="0" fontId="2" fillId="19" borderId="24" xfId="0" applyFont="1" applyFill="1" applyBorder="1" applyAlignment="1">
      <alignment horizontal="center" vertical="center"/>
    </xf>
    <xf numFmtId="0" fontId="2" fillId="19" borderId="21" xfId="0" applyFont="1" applyFill="1" applyBorder="1" applyAlignment="1">
      <alignment horizontal="center" vertical="center"/>
    </xf>
    <xf numFmtId="0" fontId="9" fillId="19" borderId="68" xfId="0" applyFont="1" applyFill="1" applyBorder="1" applyAlignment="1">
      <alignment horizontal="left" vertical="top" wrapText="1"/>
    </xf>
    <xf numFmtId="0" fontId="9" fillId="19" borderId="66" xfId="0" applyFont="1" applyFill="1" applyBorder="1" applyAlignment="1">
      <alignment horizontal="left" vertical="top" wrapText="1"/>
    </xf>
    <xf numFmtId="0" fontId="9" fillId="7" borderId="61" xfId="0" applyFont="1" applyFill="1" applyBorder="1" applyAlignment="1">
      <alignment vertical="top" wrapText="1"/>
    </xf>
    <xf numFmtId="0" fontId="9" fillId="7" borderId="21" xfId="0" applyFont="1" applyFill="1" applyBorder="1" applyAlignment="1">
      <alignment vertical="top" wrapText="1"/>
    </xf>
    <xf numFmtId="0" fontId="2" fillId="19" borderId="75" xfId="0" applyFont="1" applyFill="1" applyBorder="1" applyAlignment="1">
      <alignment horizontal="center" vertical="center"/>
    </xf>
    <xf numFmtId="0" fontId="2" fillId="19" borderId="40" xfId="0" applyFont="1" applyFill="1" applyBorder="1" applyAlignment="1">
      <alignment horizontal="center" vertical="center"/>
    </xf>
    <xf numFmtId="0" fontId="20" fillId="0" borderId="25" xfId="0" applyFont="1" applyBorder="1" applyAlignment="1" applyProtection="1">
      <alignment horizontal="left" vertical="center"/>
      <protection locked="0"/>
    </xf>
    <xf numFmtId="0" fontId="20" fillId="0" borderId="21" xfId="0" applyFont="1" applyBorder="1" applyAlignment="1" applyProtection="1">
      <alignment horizontal="left" vertical="center"/>
      <protection locked="0"/>
    </xf>
    <xf numFmtId="0" fontId="22" fillId="0" borderId="25" xfId="0" applyFont="1" applyBorder="1" applyAlignment="1" applyProtection="1">
      <alignment horizontal="left"/>
      <protection locked="0"/>
    </xf>
    <xf numFmtId="0" fontId="22" fillId="0" borderId="21" xfId="0" applyFont="1" applyBorder="1" applyAlignment="1" applyProtection="1">
      <alignment horizontal="left"/>
      <protection locked="0"/>
    </xf>
    <xf numFmtId="14" fontId="2" fillId="0" borderId="45" xfId="0" quotePrefix="1" applyNumberFormat="1" applyFont="1" applyBorder="1" applyAlignment="1" applyProtection="1">
      <alignment horizontal="center" vertical="center"/>
      <protection locked="0"/>
    </xf>
    <xf numFmtId="14" fontId="2" fillId="0" borderId="28" xfId="0" applyNumberFormat="1" applyFont="1" applyBorder="1" applyAlignment="1" applyProtection="1">
      <alignment horizontal="center" vertical="center"/>
      <protection locked="0"/>
    </xf>
    <xf numFmtId="0" fontId="2" fillId="2" borderId="18" xfId="0" applyFont="1" applyFill="1" applyBorder="1" applyAlignment="1">
      <alignment horizontal="center" vertical="center"/>
    </xf>
    <xf numFmtId="0" fontId="2" fillId="2" borderId="60" xfId="0" applyFont="1" applyFill="1" applyBorder="1" applyAlignment="1">
      <alignment horizontal="center" vertical="center"/>
    </xf>
    <xf numFmtId="0" fontId="2" fillId="2" borderId="24" xfId="0" applyFont="1" applyFill="1" applyBorder="1" applyAlignment="1">
      <alignment horizontal="left"/>
    </xf>
    <xf numFmtId="0" fontId="2" fillId="2" borderId="25" xfId="0" applyFont="1" applyFill="1" applyBorder="1" applyAlignment="1">
      <alignment horizontal="left"/>
    </xf>
    <xf numFmtId="0" fontId="2" fillId="2" borderId="21" xfId="0" applyFont="1" applyFill="1" applyBorder="1" applyAlignment="1">
      <alignment horizontal="left"/>
    </xf>
    <xf numFmtId="0" fontId="19" fillId="25" borderId="31" xfId="0" applyFont="1" applyFill="1" applyBorder="1" applyAlignment="1">
      <alignment horizontal="left" vertical="center"/>
    </xf>
    <xf numFmtId="0" fontId="19" fillId="25" borderId="41" xfId="0" applyFont="1" applyFill="1" applyBorder="1" applyAlignment="1">
      <alignment horizontal="left" vertical="center"/>
    </xf>
    <xf numFmtId="0" fontId="19" fillId="13" borderId="6" xfId="0" applyFont="1" applyFill="1" applyBorder="1" applyAlignment="1">
      <alignment horizontal="left" vertical="center"/>
    </xf>
    <xf numFmtId="0" fontId="19" fillId="13" borderId="36" xfId="0" applyFont="1" applyFill="1" applyBorder="1" applyAlignment="1">
      <alignment horizontal="left" vertical="center"/>
    </xf>
    <xf numFmtId="0" fontId="19" fillId="17" borderId="6" xfId="0" applyFont="1" applyFill="1" applyBorder="1" applyAlignment="1">
      <alignment horizontal="left" vertical="center"/>
    </xf>
    <xf numFmtId="0" fontId="19" fillId="17" borderId="36" xfId="0" applyFont="1" applyFill="1" applyBorder="1" applyAlignment="1">
      <alignment horizontal="left" vertical="center"/>
    </xf>
    <xf numFmtId="0" fontId="19" fillId="9" borderId="6" xfId="0" applyFont="1" applyFill="1" applyBorder="1" applyAlignment="1">
      <alignment horizontal="left" vertical="center"/>
    </xf>
    <xf numFmtId="0" fontId="19" fillId="9" borderId="36" xfId="0" applyFont="1" applyFill="1" applyBorder="1" applyAlignment="1">
      <alignment horizontal="left" vertical="center"/>
    </xf>
    <xf numFmtId="0" fontId="19" fillId="22" borderId="32" xfId="0" applyFont="1" applyFill="1" applyBorder="1" applyAlignment="1">
      <alignment horizontal="left" vertical="center"/>
    </xf>
    <xf numFmtId="0" fontId="19" fillId="22" borderId="51" xfId="0" applyFont="1" applyFill="1" applyBorder="1" applyAlignment="1">
      <alignment horizontal="left" vertical="center"/>
    </xf>
    <xf numFmtId="0" fontId="2" fillId="2" borderId="23" xfId="0" applyFont="1" applyFill="1" applyBorder="1" applyAlignment="1">
      <alignment horizontal="left" vertical="center"/>
    </xf>
    <xf numFmtId="0" fontId="2" fillId="2" borderId="40" xfId="0" applyFont="1" applyFill="1" applyBorder="1" applyAlignment="1">
      <alignment horizontal="left" vertical="center"/>
    </xf>
    <xf numFmtId="0" fontId="2" fillId="2" borderId="16" xfId="0" applyFont="1" applyFill="1" applyBorder="1" applyAlignment="1">
      <alignment horizontal="left" vertical="center"/>
    </xf>
    <xf numFmtId="0" fontId="2" fillId="2" borderId="27" xfId="0" applyFont="1" applyFill="1" applyBorder="1" applyAlignment="1">
      <alignment horizontal="left" vertical="center"/>
    </xf>
    <xf numFmtId="0" fontId="2" fillId="2" borderId="37" xfId="0" applyFont="1" applyFill="1" applyBorder="1" applyAlignment="1">
      <alignment horizontal="center"/>
    </xf>
    <xf numFmtId="0" fontId="2" fillId="2" borderId="30" xfId="0" applyFont="1" applyFill="1" applyBorder="1" applyAlignment="1">
      <alignment horizontal="center"/>
    </xf>
    <xf numFmtId="0" fontId="19" fillId="32" borderId="6" xfId="0" applyFont="1" applyFill="1" applyBorder="1" applyAlignment="1">
      <alignment horizontal="left" vertical="center"/>
    </xf>
    <xf numFmtId="0" fontId="0" fillId="32" borderId="12" xfId="0" applyFill="1" applyBorder="1" applyAlignment="1">
      <alignment horizontal="left" vertical="center"/>
    </xf>
    <xf numFmtId="0" fontId="34" fillId="4" borderId="24" xfId="0" applyFont="1" applyFill="1" applyBorder="1" applyAlignment="1">
      <alignment horizontal="center" vertical="center"/>
    </xf>
    <xf numFmtId="0" fontId="0" fillId="0" borderId="25" xfId="0" applyBorder="1" applyAlignment="1">
      <alignment vertical="center"/>
    </xf>
    <xf numFmtId="0" fontId="0" fillId="0" borderId="21" xfId="0" applyBorder="1" applyAlignment="1">
      <alignment vertical="center"/>
    </xf>
    <xf numFmtId="0" fontId="7" fillId="0" borderId="24" xfId="0" applyFont="1" applyBorder="1" applyAlignment="1" applyProtection="1">
      <alignment horizontal="left" vertical="top" wrapText="1"/>
      <protection locked="0"/>
    </xf>
    <xf numFmtId="0" fontId="7" fillId="0" borderId="25" xfId="0" applyFont="1" applyBorder="1" applyAlignment="1" applyProtection="1">
      <alignment horizontal="left" vertical="top" wrapText="1"/>
      <protection locked="0"/>
    </xf>
    <xf numFmtId="0" fontId="7" fillId="0" borderId="21" xfId="0" applyFont="1" applyBorder="1" applyAlignment="1" applyProtection="1">
      <alignment horizontal="left" vertical="top" wrapText="1"/>
      <protection locked="0"/>
    </xf>
    <xf numFmtId="0" fontId="2" fillId="2" borderId="24" xfId="0" applyFont="1" applyFill="1" applyBorder="1" applyAlignment="1">
      <alignment horizontal="center"/>
    </xf>
    <xf numFmtId="0" fontId="2" fillId="2" borderId="25" xfId="0" applyFont="1" applyFill="1" applyBorder="1" applyAlignment="1">
      <alignment horizontal="center"/>
    </xf>
    <xf numFmtId="0" fontId="2" fillId="2" borderId="21" xfId="0" applyFont="1" applyFill="1" applyBorder="1" applyAlignment="1">
      <alignment horizontal="center"/>
    </xf>
    <xf numFmtId="0" fontId="0" fillId="0" borderId="25" xfId="0" applyBorder="1" applyAlignment="1" applyProtection="1">
      <alignment horizontal="left" vertical="top" wrapText="1"/>
      <protection locked="0"/>
    </xf>
    <xf numFmtId="0" fontId="0" fillId="0" borderId="21" xfId="0" applyBorder="1" applyAlignment="1" applyProtection="1">
      <alignment horizontal="left" vertical="top" wrapText="1"/>
      <protection locked="0"/>
    </xf>
    <xf numFmtId="0" fontId="0" fillId="0" borderId="23" xfId="0" applyBorder="1" applyAlignment="1" applyProtection="1">
      <alignment vertical="top"/>
      <protection locked="0"/>
    </xf>
    <xf numFmtId="0" fontId="0" fillId="0" borderId="40" xfId="0" applyBorder="1" applyAlignment="1" applyProtection="1">
      <alignment vertical="top"/>
      <protection locked="0"/>
    </xf>
    <xf numFmtId="0" fontId="0" fillId="0" borderId="10" xfId="0" applyBorder="1" applyAlignment="1" applyProtection="1">
      <alignment vertical="top"/>
      <protection locked="0"/>
    </xf>
    <xf numFmtId="0" fontId="0" fillId="0" borderId="25" xfId="0" applyBorder="1" applyAlignment="1">
      <alignment horizontal="center"/>
    </xf>
    <xf numFmtId="0" fontId="0" fillId="0" borderId="21" xfId="0" applyBorder="1" applyAlignment="1">
      <alignment horizontal="center"/>
    </xf>
    <xf numFmtId="0" fontId="2" fillId="24" borderId="23" xfId="0" applyFont="1" applyFill="1" applyBorder="1" applyAlignment="1">
      <alignment horizontal="center" vertical="center" wrapText="1"/>
    </xf>
    <xf numFmtId="0" fontId="2" fillId="24" borderId="10" xfId="0" applyFont="1" applyFill="1" applyBorder="1" applyAlignment="1">
      <alignment horizontal="center" vertical="center" wrapText="1"/>
    </xf>
    <xf numFmtId="0" fontId="23" fillId="4" borderId="24" xfId="0" applyFont="1" applyFill="1" applyBorder="1" applyAlignment="1">
      <alignment horizontal="left"/>
    </xf>
    <xf numFmtId="0" fontId="23" fillId="4" borderId="21" xfId="0" applyFont="1" applyFill="1" applyBorder="1" applyAlignment="1">
      <alignment horizontal="left"/>
    </xf>
    <xf numFmtId="49" fontId="2" fillId="24" borderId="16" xfId="0" quotePrefix="1" applyNumberFormat="1" applyFont="1" applyFill="1" applyBorder="1" applyAlignment="1" applyProtection="1">
      <alignment horizontal="center" vertical="center"/>
      <protection locked="0"/>
    </xf>
    <xf numFmtId="49" fontId="2" fillId="24" borderId="15" xfId="0" quotePrefix="1" applyNumberFormat="1" applyFont="1" applyFill="1" applyBorder="1" applyAlignment="1" applyProtection="1">
      <alignment horizontal="center" vertical="center"/>
      <protection locked="0"/>
    </xf>
    <xf numFmtId="0" fontId="2" fillId="2" borderId="23"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16"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9" xfId="0" applyFont="1" applyFill="1" applyBorder="1" applyAlignment="1">
      <alignment horizontal="center" vertical="center"/>
    </xf>
    <xf numFmtId="0" fontId="2" fillId="2" borderId="14"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40" xfId="0" applyFont="1" applyFill="1" applyBorder="1" applyAlignment="1">
      <alignment horizontal="center" vertical="center"/>
    </xf>
    <xf numFmtId="0" fontId="2" fillId="2" borderId="0" xfId="0" applyFont="1" applyFill="1" applyAlignment="1">
      <alignment horizontal="center" vertical="center"/>
    </xf>
    <xf numFmtId="0" fontId="2" fillId="2" borderId="27" xfId="0" applyFont="1" applyFill="1" applyBorder="1" applyAlignment="1">
      <alignment horizontal="center" vertical="center"/>
    </xf>
    <xf numFmtId="2" fontId="7" fillId="4" borderId="23" xfId="0" applyNumberFormat="1" applyFont="1" applyFill="1" applyBorder="1" applyAlignment="1">
      <alignment horizontal="center" vertical="center"/>
    </xf>
    <xf numFmtId="2" fontId="7" fillId="4" borderId="2" xfId="0" applyNumberFormat="1" applyFont="1" applyFill="1" applyBorder="1" applyAlignment="1">
      <alignment horizontal="center" vertical="center"/>
    </xf>
    <xf numFmtId="2" fontId="7" fillId="4" borderId="16" xfId="0" applyNumberFormat="1" applyFont="1" applyFill="1" applyBorder="1" applyAlignment="1">
      <alignment horizontal="center" vertical="center"/>
    </xf>
    <xf numFmtId="0" fontId="7" fillId="2" borderId="9" xfId="0" applyFont="1" applyFill="1" applyBorder="1" applyAlignment="1">
      <alignment horizontal="center" vertical="center"/>
    </xf>
    <xf numFmtId="0" fontId="7" fillId="2" borderId="19" xfId="0" applyFont="1" applyFill="1" applyBorder="1" applyAlignment="1">
      <alignment horizontal="center" vertical="center"/>
    </xf>
    <xf numFmtId="0" fontId="7" fillId="2" borderId="14" xfId="0" applyFont="1" applyFill="1" applyBorder="1" applyAlignment="1">
      <alignment horizontal="center" vertical="center"/>
    </xf>
    <xf numFmtId="0" fontId="33" fillId="2" borderId="24" xfId="0" applyFont="1" applyFill="1" applyBorder="1" applyAlignment="1">
      <alignment horizontal="center" vertical="center"/>
    </xf>
    <xf numFmtId="0" fontId="33" fillId="2" borderId="21" xfId="0" applyFont="1" applyFill="1" applyBorder="1" applyAlignment="1">
      <alignment horizontal="center" vertical="center"/>
    </xf>
    <xf numFmtId="0" fontId="5" fillId="31" borderId="23" xfId="0" applyFont="1" applyFill="1" applyBorder="1" applyAlignment="1">
      <alignment horizontal="left" vertical="top"/>
    </xf>
    <xf numFmtId="0" fontId="5" fillId="31" borderId="10" xfId="0" applyFont="1" applyFill="1" applyBorder="1" applyAlignment="1">
      <alignment horizontal="left" vertical="top"/>
    </xf>
    <xf numFmtId="0" fontId="4" fillId="31" borderId="23" xfId="0" applyFont="1" applyFill="1" applyBorder="1" applyAlignment="1">
      <alignment horizontal="left" vertical="top"/>
    </xf>
    <xf numFmtId="0" fontId="4" fillId="31" borderId="10" xfId="0" applyFont="1" applyFill="1" applyBorder="1" applyAlignment="1">
      <alignment horizontal="left" vertical="top"/>
    </xf>
  </cellXfs>
  <cellStyles count="1">
    <cellStyle name="Normal" xfId="0" builtinId="0"/>
  </cellStyles>
  <dxfs count="96">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0000"/>
        </patternFill>
      </fill>
    </dxf>
    <dxf>
      <fill>
        <patternFill>
          <bgColor rgb="FF00B05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s>
  <tableStyles count="0" defaultTableStyle="TableStyleMedium9" defaultPivotStyle="PivotStyleLight16"/>
  <colors>
    <mruColors>
      <color rgb="FF785B97"/>
      <color rgb="FFB1A0C7"/>
      <color rgb="FF72569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80074074074074"/>
          <c:y val="0.19215092592592592"/>
          <c:w val="0.50986481481481483"/>
          <c:h val="0.50986481481481483"/>
        </c:manualLayout>
      </c:layout>
      <c:radarChart>
        <c:radarStyle val="marker"/>
        <c:varyColors val="0"/>
        <c:ser>
          <c:idx val="0"/>
          <c:order val="0"/>
          <c:tx>
            <c:v>Present profile</c:v>
          </c:tx>
          <c:spPr>
            <a:ln>
              <a:solidFill>
                <a:srgbClr val="C00000"/>
              </a:solidFill>
            </a:ln>
          </c:spPr>
          <c:marker>
            <c:symbol val="diamond"/>
            <c:size val="7"/>
            <c:spPr>
              <a:solidFill>
                <a:srgbClr val="C00000"/>
              </a:solidFill>
              <a:ln cmpd="sng">
                <a:solidFill>
                  <a:srgbClr val="C00000"/>
                </a:solidFill>
              </a:ln>
            </c:spPr>
          </c:marker>
          <c:cat>
            <c:strRef>
              <c:f>Profile!$A$14:$B$19</c:f>
              <c:strCache>
                <c:ptCount val="6"/>
                <c:pt idx="0">
                  <c:v>1. WORKING CONDITIONS</c:v>
                </c:pt>
                <c:pt idx="1">
                  <c:v>2. LAND &amp; WATER RIGHTS</c:v>
                </c:pt>
                <c:pt idx="2">
                  <c:v>3. GENDER EQUALITY</c:v>
                </c:pt>
                <c:pt idx="3">
                  <c:v>4. FOOD AND NUTRITION SECURITY</c:v>
                </c:pt>
                <c:pt idx="4">
                  <c:v>5. SOCIAL CAPITAL</c:v>
                </c:pt>
                <c:pt idx="5">
                  <c:v>6. LIVING CONDITIONS</c:v>
                </c:pt>
              </c:strCache>
            </c:strRef>
          </c:cat>
          <c:val>
            <c:numRef>
              <c:f>Profile!$D$14:$D$19</c:f>
              <c:numCache>
                <c:formatCode>0.00</c:formatCode>
                <c:ptCount val="6"/>
                <c:pt idx="0">
                  <c:v>3</c:v>
                </c:pt>
                <c:pt idx="1">
                  <c:v>2.6666666666666665</c:v>
                </c:pt>
                <c:pt idx="2">
                  <c:v>2.4899999999999998</c:v>
                </c:pt>
                <c:pt idx="3">
                  <c:v>2.75</c:v>
                </c:pt>
                <c:pt idx="4">
                  <c:v>2.7222222222222219</c:v>
                </c:pt>
                <c:pt idx="5">
                  <c:v>3.3888888888888888</c:v>
                </c:pt>
              </c:numCache>
            </c:numRef>
          </c:val>
          <c:extLst>
            <c:ext xmlns:c16="http://schemas.microsoft.com/office/drawing/2014/chart" uri="{C3380CC4-5D6E-409C-BE32-E72D297353CC}">
              <c16:uniqueId val="{00000000-3D45-4F2D-BC1B-AADCE74FB88E}"/>
            </c:ext>
          </c:extLst>
        </c:ser>
        <c:ser>
          <c:idx val="2"/>
          <c:order val="1"/>
          <c:tx>
            <c:strRef>
              <c:f>Profile!$F$12</c:f>
              <c:strCache>
                <c:ptCount val="1"/>
                <c:pt idx="0">
                  <c:v>Previous profile</c:v>
                </c:pt>
              </c:strCache>
            </c:strRef>
          </c:tx>
          <c:marker>
            <c:symbol val="none"/>
          </c:marker>
          <c:cat>
            <c:strRef>
              <c:f>Profile!$A$14:$B$19</c:f>
              <c:strCache>
                <c:ptCount val="6"/>
                <c:pt idx="0">
                  <c:v>1. WORKING CONDITIONS</c:v>
                </c:pt>
                <c:pt idx="1">
                  <c:v>2. LAND &amp; WATER RIGHTS</c:v>
                </c:pt>
                <c:pt idx="2">
                  <c:v>3. GENDER EQUALITY</c:v>
                </c:pt>
                <c:pt idx="3">
                  <c:v>4. FOOD AND NUTRITION SECURITY</c:v>
                </c:pt>
                <c:pt idx="4">
                  <c:v>5. SOCIAL CAPITAL</c:v>
                </c:pt>
                <c:pt idx="5">
                  <c:v>6. LIVING CONDITIONS</c:v>
                </c:pt>
              </c:strCache>
            </c:strRef>
          </c:cat>
          <c:val>
            <c:numRef>
              <c:f>Profile!$G$14:$G$19</c:f>
              <c:numCache>
                <c:formatCode>0.00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3D45-4F2D-BC1B-AADCE74FB88E}"/>
            </c:ext>
          </c:extLst>
        </c:ser>
        <c:dLbls>
          <c:showLegendKey val="0"/>
          <c:showVal val="0"/>
          <c:showCatName val="0"/>
          <c:showSerName val="0"/>
          <c:showPercent val="0"/>
          <c:showBubbleSize val="0"/>
        </c:dLbls>
        <c:axId val="237896064"/>
        <c:axId val="237897600"/>
      </c:radarChart>
      <c:catAx>
        <c:axId val="237896064"/>
        <c:scaling>
          <c:orientation val="minMax"/>
        </c:scaling>
        <c:delete val="0"/>
        <c:axPos val="b"/>
        <c:majorGridlines/>
        <c:numFmt formatCode="@" sourceLinked="0"/>
        <c:majorTickMark val="none"/>
        <c:minorTickMark val="none"/>
        <c:tickLblPos val="nextTo"/>
        <c:spPr>
          <a:ln w="9525">
            <a:noFill/>
          </a:ln>
        </c:spPr>
        <c:txPr>
          <a:bodyPr rot="0" vert="horz"/>
          <a:lstStyle/>
          <a:p>
            <a:pPr>
              <a:defRPr b="1"/>
            </a:pPr>
            <a:endParaRPr lang="en-US"/>
          </a:p>
        </c:txPr>
        <c:crossAx val="237897600"/>
        <c:crosses val="autoZero"/>
        <c:auto val="0"/>
        <c:lblAlgn val="ctr"/>
        <c:lblOffset val="100"/>
        <c:noMultiLvlLbl val="0"/>
      </c:catAx>
      <c:valAx>
        <c:axId val="237897600"/>
        <c:scaling>
          <c:orientation val="minMax"/>
          <c:max val="4"/>
          <c:min val="0"/>
        </c:scaling>
        <c:delete val="0"/>
        <c:axPos val="l"/>
        <c:majorGridlines/>
        <c:numFmt formatCode="@" sourceLinked="0"/>
        <c:majorTickMark val="out"/>
        <c:minorTickMark val="none"/>
        <c:tickLblPos val="nextTo"/>
        <c:txPr>
          <a:bodyPr rot="0" vert="horz"/>
          <a:lstStyle/>
          <a:p>
            <a:pPr>
              <a:defRPr/>
            </a:pPr>
            <a:endParaRPr lang="en-US"/>
          </a:p>
        </c:txPr>
        <c:crossAx val="237896064"/>
        <c:crosses val="autoZero"/>
        <c:crossBetween val="between"/>
      </c:valAx>
    </c:plotArea>
    <c:legend>
      <c:legendPos val="b"/>
      <c:overlay val="1"/>
    </c:legend>
    <c:plotVisOnly val="1"/>
    <c:dispBlanksAs val="gap"/>
    <c:showDLblsOverMax val="0"/>
  </c:chart>
  <c:spPr>
    <a:solidFill>
      <a:schemeClr val="bg1"/>
    </a:solidFill>
  </c:spPr>
  <c:printSettings>
    <c:headerFooter alignWithMargins="0"/>
    <c:pageMargins b="1" l="0.750000000000003" r="0.750000000000003" t="1" header="0.5" footer="0.5"/>
    <c:pageSetup paperSize="9"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7</xdr:col>
      <xdr:colOff>134992</xdr:colOff>
      <xdr:row>3</xdr:row>
      <xdr:rowOff>99520</xdr:rowOff>
    </xdr:from>
    <xdr:to>
      <xdr:col>15</xdr:col>
      <xdr:colOff>300626</xdr:colOff>
      <xdr:row>21</xdr:row>
      <xdr:rowOff>1241101</xdr:rowOff>
    </xdr:to>
    <xdr:graphicFrame macro="">
      <xdr:nvGraphicFramePr>
        <xdr:cNvPr id="4097" name="Chart 1">
          <a:extLst>
            <a:ext uri="{FF2B5EF4-FFF2-40B4-BE49-F238E27FC236}">
              <a16:creationId xmlns:a16="http://schemas.microsoft.com/office/drawing/2014/main" id="{00000000-0008-0000-0000-0000011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29"/>
  <sheetViews>
    <sheetView view="pageBreakPreview" zoomScaleNormal="100" zoomScaleSheetLayoutView="100" workbookViewId="0">
      <pane ySplit="3" topLeftCell="A4" activePane="bottomLeft" state="frozen"/>
      <selection pane="bottomLeft" activeCell="E2" sqref="E2:G2"/>
    </sheetView>
  </sheetViews>
  <sheetFormatPr defaultColWidth="8.77734375" defaultRowHeight="13.2" x14ac:dyDescent="0.25"/>
  <cols>
    <col min="1" max="1" width="20" customWidth="1"/>
    <col min="2" max="2" width="13.21875" customWidth="1"/>
    <col min="3" max="3" width="14.21875" customWidth="1"/>
    <col min="4" max="4" width="10.44140625" customWidth="1"/>
    <col min="5" max="5" width="8.44140625" customWidth="1"/>
    <col min="6" max="6" width="13.44140625" customWidth="1"/>
    <col min="7" max="7" width="11.21875" customWidth="1"/>
    <col min="9" max="9" width="10.77734375" hidden="1" customWidth="1"/>
  </cols>
  <sheetData>
    <row r="1" spans="1:10" ht="22.5" customHeight="1" thickBot="1" x14ac:dyDescent="0.3">
      <c r="A1" s="567" t="s">
        <v>214</v>
      </c>
      <c r="B1" s="568"/>
      <c r="C1" s="569"/>
      <c r="D1" s="398" t="s">
        <v>28</v>
      </c>
      <c r="E1" s="328"/>
      <c r="F1" s="538" t="s">
        <v>303</v>
      </c>
      <c r="G1" s="539"/>
      <c r="I1" s="218"/>
    </row>
    <row r="2" spans="1:10" ht="16.5" customHeight="1" thickBot="1" x14ac:dyDescent="0.3">
      <c r="A2" s="400"/>
      <c r="B2" s="113"/>
      <c r="C2" s="113"/>
      <c r="D2" s="329" t="s">
        <v>126</v>
      </c>
      <c r="E2" s="540" t="s">
        <v>304</v>
      </c>
      <c r="F2" s="540"/>
      <c r="G2" s="541"/>
    </row>
    <row r="3" spans="1:10" ht="18" customHeight="1" thickBot="1" x14ac:dyDescent="0.3">
      <c r="A3" s="15" t="s">
        <v>25</v>
      </c>
      <c r="B3" s="542" t="s">
        <v>27</v>
      </c>
      <c r="C3" s="543"/>
      <c r="D3" s="16"/>
      <c r="G3" s="14"/>
      <c r="J3" s="285"/>
    </row>
    <row r="4" spans="1:10" ht="13.5" customHeight="1" x14ac:dyDescent="0.25">
      <c r="A4" s="13"/>
      <c r="G4" s="14"/>
    </row>
    <row r="5" spans="1:10" ht="20.25" customHeight="1" x14ac:dyDescent="0.25">
      <c r="G5" s="14"/>
    </row>
    <row r="6" spans="1:10" ht="18" customHeight="1" x14ac:dyDescent="0.25">
      <c r="G6" s="14"/>
    </row>
    <row r="7" spans="1:10" ht="18" customHeight="1" x14ac:dyDescent="0.25">
      <c r="G7" s="14"/>
    </row>
    <row r="8" spans="1:10" ht="18" customHeight="1" x14ac:dyDescent="0.25">
      <c r="G8" s="14"/>
    </row>
    <row r="9" spans="1:10" ht="18" customHeight="1" x14ac:dyDescent="0.25">
      <c r="G9" s="14"/>
    </row>
    <row r="10" spans="1:10" ht="6" customHeight="1" thickBot="1" x14ac:dyDescent="0.3">
      <c r="A10" s="13"/>
      <c r="G10" s="14"/>
    </row>
    <row r="11" spans="1:10" ht="13.8" hidden="1" thickBot="1" x14ac:dyDescent="0.3">
      <c r="A11" s="13"/>
      <c r="G11" s="14"/>
    </row>
    <row r="12" spans="1:10" ht="13.8" thickBot="1" x14ac:dyDescent="0.3">
      <c r="A12" s="559" t="s">
        <v>84</v>
      </c>
      <c r="B12" s="560"/>
      <c r="C12" s="563" t="s">
        <v>85</v>
      </c>
      <c r="D12" s="564"/>
      <c r="E12" s="544" t="s">
        <v>7</v>
      </c>
      <c r="F12" s="17" t="s">
        <v>86</v>
      </c>
      <c r="G12" s="18" t="str">
        <f>Register!H3</f>
        <v>../../20..</v>
      </c>
    </row>
    <row r="13" spans="1:10" ht="13.8" thickBot="1" x14ac:dyDescent="0.3">
      <c r="A13" s="561"/>
      <c r="B13" s="562"/>
      <c r="C13" s="86" t="s">
        <v>88</v>
      </c>
      <c r="D13" s="87" t="s">
        <v>89</v>
      </c>
      <c r="E13" s="545"/>
      <c r="F13" s="19" t="s">
        <v>88</v>
      </c>
      <c r="G13" s="20" t="s">
        <v>89</v>
      </c>
      <c r="I13" s="219" t="s">
        <v>15</v>
      </c>
    </row>
    <row r="14" spans="1:10" ht="13.8" x14ac:dyDescent="0.25">
      <c r="A14" s="549" t="str">
        <f>Register!A5</f>
        <v>1. WORKING CONDITIONS</v>
      </c>
      <c r="B14" s="550"/>
      <c r="C14" s="330" t="str">
        <f>Register!C10</f>
        <v>Substantial</v>
      </c>
      <c r="D14" s="314">
        <f>Register!B10</f>
        <v>3</v>
      </c>
      <c r="E14" s="315" t="str">
        <f>Register!D10</f>
        <v>↑</v>
      </c>
      <c r="F14" s="21" t="str">
        <f>Register!I10</f>
        <v>Not at all</v>
      </c>
      <c r="G14" s="321">
        <f>Register!H10</f>
        <v>0</v>
      </c>
      <c r="I14" s="220" t="e">
        <f>Register!#REF!</f>
        <v>#REF!</v>
      </c>
    </row>
    <row r="15" spans="1:10" ht="13.8" x14ac:dyDescent="0.25">
      <c r="A15" s="551" t="str">
        <f>Register!A11</f>
        <v>2. LAND &amp; WATER RIGHTS</v>
      </c>
      <c r="B15" s="552"/>
      <c r="C15" s="331" t="str">
        <f>Register!C15</f>
        <v>Substantial</v>
      </c>
      <c r="D15" s="316">
        <f>Register!B15</f>
        <v>2.6666666666666665</v>
      </c>
      <c r="E15" s="317" t="str">
        <f>Register!D15</f>
        <v>↑</v>
      </c>
      <c r="F15" s="22" t="str">
        <f>Register!I15</f>
        <v>Not at all</v>
      </c>
      <c r="G15" s="322">
        <f>Register!H15</f>
        <v>0</v>
      </c>
      <c r="I15" s="221" t="e">
        <f>Register!#REF!</f>
        <v>#REF!</v>
      </c>
    </row>
    <row r="16" spans="1:10" ht="13.8" x14ac:dyDescent="0.25">
      <c r="A16" s="553" t="str">
        <f>Register!A16</f>
        <v>3. GENDER EQUALITY</v>
      </c>
      <c r="B16" s="554"/>
      <c r="C16" s="331" t="str">
        <f>Register!C22</f>
        <v>Moderate/Low</v>
      </c>
      <c r="D16" s="316">
        <f>Register!B22</f>
        <v>2.4899999999999998</v>
      </c>
      <c r="E16" s="317" t="str">
        <f>Register!D22</f>
        <v>↑</v>
      </c>
      <c r="F16" s="22" t="str">
        <f>Register!I22</f>
        <v>Not at all</v>
      </c>
      <c r="G16" s="322">
        <f>Register!H22</f>
        <v>0</v>
      </c>
      <c r="I16" s="221" t="e">
        <f>Register!#REF!</f>
        <v>#REF!</v>
      </c>
    </row>
    <row r="17" spans="1:9" ht="13.8" x14ac:dyDescent="0.25">
      <c r="A17" s="555" t="str">
        <f>Register!A23</f>
        <v>4. FOOD AND NUTRITION SECURITY</v>
      </c>
      <c r="B17" s="556"/>
      <c r="C17" s="331" t="str">
        <f>Register!C28</f>
        <v>Substantial</v>
      </c>
      <c r="D17" s="316">
        <f>Register!B28</f>
        <v>2.75</v>
      </c>
      <c r="E17" s="317" t="str">
        <f>Register!D28</f>
        <v>↑</v>
      </c>
      <c r="F17" s="22" t="str">
        <f>Register!I28</f>
        <v>Not at all</v>
      </c>
      <c r="G17" s="322">
        <f>Register!H28</f>
        <v>0</v>
      </c>
      <c r="I17" s="221" t="e">
        <f>Register!#REF!</f>
        <v>#REF!</v>
      </c>
    </row>
    <row r="18" spans="1:9" ht="13.8" x14ac:dyDescent="0.25">
      <c r="A18" s="565" t="str">
        <f>Register!A29</f>
        <v>5. SOCIAL CAPITAL</v>
      </c>
      <c r="B18" s="566"/>
      <c r="C18" s="331" t="str">
        <f>Register!C33</f>
        <v>Substantial</v>
      </c>
      <c r="D18" s="318">
        <f>Register!B33</f>
        <v>2.7222222222222219</v>
      </c>
      <c r="E18" s="317" t="str">
        <f>Register!D33</f>
        <v>↑</v>
      </c>
      <c r="F18" s="308" t="str">
        <f>Register!I33</f>
        <v>Not at all</v>
      </c>
      <c r="G18" s="322">
        <f>Register!H33</f>
        <v>0</v>
      </c>
      <c r="I18" s="307"/>
    </row>
    <row r="19" spans="1:9" ht="14.4" thickBot="1" x14ac:dyDescent="0.3">
      <c r="A19" s="557" t="str">
        <f>Register!A34</f>
        <v>6. LIVING CONDITIONS</v>
      </c>
      <c r="B19" s="558"/>
      <c r="C19" s="332" t="str">
        <f>Register!C39</f>
        <v>Substantial</v>
      </c>
      <c r="D19" s="319">
        <f>Register!B39</f>
        <v>3.3888888888888888</v>
      </c>
      <c r="E19" s="320" t="str">
        <f>Register!D39</f>
        <v>↑</v>
      </c>
      <c r="F19" s="23" t="str">
        <f>Register!I39</f>
        <v>Not at all</v>
      </c>
      <c r="G19" s="323">
        <f>Register!H39</f>
        <v>0</v>
      </c>
      <c r="I19" s="222" t="e">
        <f>Register!#REF!</f>
        <v>#REF!</v>
      </c>
    </row>
    <row r="20" spans="1:9" s="25" customFormat="1" ht="9" customHeight="1" thickBot="1" x14ac:dyDescent="0.3">
      <c r="A20" s="24"/>
      <c r="E20"/>
      <c r="F20"/>
      <c r="G20" s="14"/>
      <c r="I20" s="223" t="e">
        <f>AVERAGE(I14:I19)</f>
        <v>#REF!</v>
      </c>
    </row>
    <row r="21" spans="1:9" ht="13.8" thickBot="1" x14ac:dyDescent="0.3">
      <c r="A21" s="546" t="s">
        <v>8</v>
      </c>
      <c r="B21" s="547"/>
      <c r="C21" s="547"/>
      <c r="D21" s="547"/>
      <c r="E21" s="547"/>
      <c r="F21" s="547"/>
      <c r="G21" s="548"/>
    </row>
    <row r="22" spans="1:9" ht="107.25" customHeight="1" thickBot="1" x14ac:dyDescent="0.3">
      <c r="A22" s="570"/>
      <c r="B22" s="571"/>
      <c r="C22" s="571"/>
      <c r="D22" s="571"/>
      <c r="E22" s="571"/>
      <c r="F22" s="571"/>
      <c r="G22" s="572"/>
    </row>
    <row r="23" spans="1:9" ht="7.5" customHeight="1" thickBot="1" x14ac:dyDescent="0.3">
      <c r="A23" s="13"/>
      <c r="G23" s="14"/>
    </row>
    <row r="24" spans="1:9" ht="13.8" thickBot="1" x14ac:dyDescent="0.3">
      <c r="A24" s="573" t="s">
        <v>90</v>
      </c>
      <c r="B24" s="574"/>
      <c r="C24" s="574"/>
      <c r="D24" s="581"/>
      <c r="E24" s="581"/>
      <c r="F24" s="581"/>
      <c r="G24" s="582"/>
    </row>
    <row r="25" spans="1:9" ht="105.75" customHeight="1" thickBot="1" x14ac:dyDescent="0.3">
      <c r="A25" s="570"/>
      <c r="B25" s="576"/>
      <c r="C25" s="576"/>
      <c r="D25" s="576"/>
      <c r="E25" s="576"/>
      <c r="F25" s="576"/>
      <c r="G25" s="577"/>
    </row>
    <row r="26" spans="1:9" ht="13.8" thickBot="1" x14ac:dyDescent="0.3">
      <c r="A26" s="573" t="s">
        <v>91</v>
      </c>
      <c r="B26" s="574"/>
      <c r="C26" s="574"/>
      <c r="D26" s="574"/>
      <c r="E26" s="574"/>
      <c r="F26" s="574"/>
      <c r="G26" s="575"/>
    </row>
    <row r="27" spans="1:9" ht="83.25" customHeight="1" thickBot="1" x14ac:dyDescent="0.3">
      <c r="A27" s="578"/>
      <c r="B27" s="579"/>
      <c r="C27" s="579"/>
      <c r="D27" s="579"/>
      <c r="E27" s="579"/>
      <c r="F27" s="579"/>
      <c r="G27" s="580"/>
    </row>
    <row r="28" spans="1:9" ht="13.8" thickBot="1" x14ac:dyDescent="0.3">
      <c r="A28" s="573" t="s">
        <v>17</v>
      </c>
      <c r="B28" s="574"/>
      <c r="C28" s="574"/>
      <c r="D28" s="574"/>
      <c r="E28" s="574"/>
      <c r="F28" s="574"/>
      <c r="G28" s="575"/>
    </row>
    <row r="29" spans="1:9" ht="83.25" customHeight="1" thickBot="1" x14ac:dyDescent="0.3">
      <c r="A29" s="570"/>
      <c r="B29" s="571"/>
      <c r="C29" s="571"/>
      <c r="D29" s="571"/>
      <c r="E29" s="571"/>
      <c r="F29" s="571"/>
      <c r="G29" s="572"/>
    </row>
  </sheetData>
  <sheetProtection password="CC15" sheet="1" objects="1" scenarios="1" formatRows="0"/>
  <mergeCells count="21">
    <mergeCell ref="A29:G29"/>
    <mergeCell ref="A28:G28"/>
    <mergeCell ref="A22:G22"/>
    <mergeCell ref="A25:G25"/>
    <mergeCell ref="A26:G26"/>
    <mergeCell ref="A27:G27"/>
    <mergeCell ref="A24:G24"/>
    <mergeCell ref="F1:G1"/>
    <mergeCell ref="E2:G2"/>
    <mergeCell ref="B3:C3"/>
    <mergeCell ref="E12:E13"/>
    <mergeCell ref="A21:G21"/>
    <mergeCell ref="A14:B14"/>
    <mergeCell ref="A15:B15"/>
    <mergeCell ref="A16:B16"/>
    <mergeCell ref="A17:B17"/>
    <mergeCell ref="A19:B19"/>
    <mergeCell ref="A12:B13"/>
    <mergeCell ref="C12:D12"/>
    <mergeCell ref="A18:B18"/>
    <mergeCell ref="A1:C1"/>
  </mergeCells>
  <phoneticPr fontId="1" type="noConversion"/>
  <conditionalFormatting sqref="A8:G9">
    <cfRule type="cellIs" dxfId="91" priority="1" operator="equal">
      <formula>"High"</formula>
    </cfRule>
    <cfRule type="cellIs" dxfId="90" priority="2" operator="equal">
      <formula>"Substantial"</formula>
    </cfRule>
    <cfRule type="cellIs" dxfId="89" priority="3" operator="equal">
      <formula>"Moderate"</formula>
    </cfRule>
    <cfRule type="cellIs" dxfId="88" priority="4" operator="equal">
      <formula>"Low"</formula>
    </cfRule>
  </conditionalFormatting>
  <pageMargins left="0.70866141732283472" right="0.70866141732283472" top="0.74803149606299213" bottom="0.74803149606299213" header="0.31496062992125984" footer="0.31496062992125984"/>
  <pageSetup paperSize="9" scale="97" orientation="portrait" r:id="rId1"/>
  <headerFooter alignWithMargins="0"/>
  <colBreaks count="1" manualBreakCount="1">
    <brk id="7" max="1048575" man="1"/>
  </colBreaks>
  <drawing r:id="rId2"/>
  <extLst>
    <ext xmlns:x14="http://schemas.microsoft.com/office/spreadsheetml/2009/9/main" uri="{78C0D931-6437-407d-A8EE-F0AAD7539E65}">
      <x14:conditionalFormattings>
        <x14:conditionalFormatting xmlns:xm="http://schemas.microsoft.com/office/excel/2006/main">
          <x14:cfRule type="cellIs" priority="9" operator="equal" id="{34BB3A6B-5693-4104-B882-7EC3C2744687}">
            <xm:f>Register!$L$6</xm:f>
            <x14:dxf>
              <fill>
                <patternFill>
                  <bgColor rgb="FFFF0000"/>
                </patternFill>
              </fill>
            </x14:dxf>
          </x14:cfRule>
          <x14:cfRule type="cellIs" priority="10" operator="equal" id="{92867827-A734-4EBD-859A-FC93914BAC5D}">
            <xm:f>Register!$L$5</xm:f>
            <x14:dxf>
              <fill>
                <patternFill>
                  <bgColor rgb="FFFFC000"/>
                </patternFill>
              </fill>
            </x14:dxf>
          </x14:cfRule>
          <x14:cfRule type="cellIs" priority="11" operator="equal" id="{F24A8D15-038A-4A74-8DFE-EBD1E2C1A6B6}">
            <xm:f>Register!$L$4</xm:f>
            <x14:dxf>
              <fill>
                <patternFill>
                  <bgColor rgb="FF92D050"/>
                </patternFill>
              </fill>
            </x14:dxf>
          </x14:cfRule>
          <x14:cfRule type="cellIs" priority="12" operator="equal" id="{4E30DD93-1A47-4844-9856-E0E8EBD88FFA}">
            <xm:f>Register!$L$3</xm:f>
            <x14:dxf>
              <fill>
                <patternFill>
                  <bgColor rgb="FF00B050"/>
                </patternFill>
              </fill>
            </x14:dxf>
          </x14:cfRule>
          <xm:sqref>A5:G17 A18 C18:G18 A19:G19</xm:sqref>
        </x14:conditionalFormatting>
      </x14:conditionalFormatting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46"/>
  <sheetViews>
    <sheetView zoomScaleNormal="100" zoomScaleSheetLayoutView="100" workbookViewId="0">
      <pane ySplit="4" topLeftCell="A5" activePane="bottomLeft" state="frozen"/>
      <selection pane="bottomLeft" activeCell="F31" sqref="F31"/>
    </sheetView>
  </sheetViews>
  <sheetFormatPr defaultColWidth="8.77734375" defaultRowHeight="13.2" x14ac:dyDescent="0.25"/>
  <cols>
    <col min="1" max="1" width="36.77734375" customWidth="1"/>
    <col min="2" max="2" width="10.21875" style="275" customWidth="1"/>
    <col min="3" max="3" width="15.21875" style="25" customWidth="1"/>
    <col min="4" max="4" width="6.21875" style="25" customWidth="1"/>
    <col min="5" max="5" width="66.44140625" customWidth="1"/>
    <col min="6" max="7" width="39.21875" customWidth="1"/>
    <col min="8" max="8" width="6" style="275" customWidth="1"/>
    <col min="9" max="9" width="14.21875" style="25" customWidth="1"/>
    <col min="10" max="10" width="8.77734375" hidden="1" customWidth="1"/>
    <col min="11" max="11" width="9.21875" hidden="1" customWidth="1"/>
    <col min="12" max="12" width="14.77734375" hidden="1" customWidth="1"/>
    <col min="13" max="13" width="9.21875" hidden="1" customWidth="1"/>
    <col min="14" max="14" width="9.21875" customWidth="1"/>
  </cols>
  <sheetData>
    <row r="1" spans="1:15" s="105" customFormat="1" ht="27.75" customHeight="1" thickBot="1" x14ac:dyDescent="0.35">
      <c r="A1" s="585" t="str">
        <f>Profile!F1</f>
        <v>Cashmere</v>
      </c>
      <c r="B1" s="586"/>
      <c r="C1" s="367" t="s">
        <v>22</v>
      </c>
      <c r="D1" s="469" t="str">
        <f>Profile!E2</f>
        <v>Mongolia</v>
      </c>
      <c r="E1" s="470"/>
      <c r="F1" s="365" t="s">
        <v>26</v>
      </c>
      <c r="G1" s="366" t="str">
        <f>Profile!B3</f>
        <v xml:space="preserve"> . . / . . / 20 . .</v>
      </c>
      <c r="H1" s="583" t="s">
        <v>81</v>
      </c>
      <c r="I1" s="584"/>
      <c r="M1" s="106"/>
    </row>
    <row r="2" spans="1:15" s="105" customFormat="1" ht="10.5" customHeight="1" x14ac:dyDescent="0.25">
      <c r="A2" s="589" t="s">
        <v>9</v>
      </c>
      <c r="B2" s="601" t="s">
        <v>89</v>
      </c>
      <c r="C2" s="604" t="s">
        <v>88</v>
      </c>
      <c r="D2" s="592" t="s">
        <v>7</v>
      </c>
      <c r="E2" s="598" t="s">
        <v>10</v>
      </c>
      <c r="F2" s="592" t="s">
        <v>18</v>
      </c>
      <c r="G2" s="595" t="s">
        <v>87</v>
      </c>
      <c r="H2" s="583" t="s">
        <v>83</v>
      </c>
      <c r="I2" s="584"/>
      <c r="M2" s="106"/>
    </row>
    <row r="3" spans="1:15" s="106" customFormat="1" ht="13.5" customHeight="1" thickBot="1" x14ac:dyDescent="0.3">
      <c r="A3" s="590"/>
      <c r="B3" s="602"/>
      <c r="C3" s="605"/>
      <c r="D3" s="593"/>
      <c r="E3" s="599"/>
      <c r="F3" s="593"/>
      <c r="G3" s="596"/>
      <c r="H3" s="587" t="s">
        <v>82</v>
      </c>
      <c r="I3" s="588"/>
      <c r="L3" s="107" t="str">
        <f>Questionnaire!$N$3</f>
        <v>High</v>
      </c>
      <c r="M3" s="106" t="s">
        <v>20</v>
      </c>
    </row>
    <row r="4" spans="1:15" s="108" customFormat="1" ht="13.8" thickBot="1" x14ac:dyDescent="0.3">
      <c r="A4" s="591"/>
      <c r="B4" s="603"/>
      <c r="C4" s="606"/>
      <c r="D4" s="594"/>
      <c r="E4" s="600"/>
      <c r="F4" s="594"/>
      <c r="G4" s="597"/>
      <c r="H4" s="84" t="s">
        <v>1</v>
      </c>
      <c r="I4" s="85" t="s">
        <v>6</v>
      </c>
      <c r="L4" s="107" t="str">
        <f>Questionnaire!$N$4</f>
        <v>Substantial</v>
      </c>
      <c r="M4" s="106" t="s">
        <v>3</v>
      </c>
    </row>
    <row r="5" spans="1:15" s="106" customFormat="1" ht="15" customHeight="1" thickBot="1" x14ac:dyDescent="0.3">
      <c r="A5" s="53" t="str">
        <f>Questionnaire!$A$3</f>
        <v>1. WORKING CONDITIONS</v>
      </c>
      <c r="B5" s="54"/>
      <c r="C5" s="54"/>
      <c r="D5" s="54"/>
      <c r="E5" s="55"/>
      <c r="F5" s="55"/>
      <c r="G5" s="55"/>
      <c r="H5" s="55"/>
      <c r="I5" s="279"/>
      <c r="L5" s="107" t="str">
        <f>Questionnaire!$N$5</f>
        <v>Moderate/Low</v>
      </c>
      <c r="M5" s="106" t="s">
        <v>21</v>
      </c>
    </row>
    <row r="6" spans="1:15" s="109" customFormat="1" ht="13.8" x14ac:dyDescent="0.25">
      <c r="A6" s="56" t="str">
        <f>Questionnaire!$A$4</f>
        <v>1.1 Respect of labour rights</v>
      </c>
      <c r="B6" s="333">
        <f>Questionnaire!J10</f>
        <v>3</v>
      </c>
      <c r="C6" s="334" t="str">
        <f>IF(B6&lt;1.5,$L$6,IF(B6&lt;2.5,$L$5,IF(B6&lt;3.5,$L$4,IF(B6&lt;4.5,$L$3,"n/a"))))</f>
        <v>Substantial</v>
      </c>
      <c r="D6" s="335" t="str">
        <f>IF(H6&lt;B6,"↑",IF(H6&gt;B6,"↓","↔"))</f>
        <v>↑</v>
      </c>
      <c r="E6" s="2" t="s">
        <v>124</v>
      </c>
      <c r="F6" s="1"/>
      <c r="G6" s="1"/>
      <c r="H6" s="236">
        <v>0</v>
      </c>
      <c r="I6" s="278" t="str">
        <f>IF(H6&lt;1.5,$L$6,IF(H6&lt;2.5,$L$5,IF(H6&lt;3.5,$L$4,IF(H6&lt;4.5,$L$3,"n/a"))))</f>
        <v>Not at all</v>
      </c>
      <c r="K6" s="109" t="s">
        <v>11</v>
      </c>
      <c r="L6" s="107" t="str">
        <f>Questionnaire!$N$6</f>
        <v>Not at all</v>
      </c>
      <c r="M6" s="109" t="s">
        <v>4</v>
      </c>
    </row>
    <row r="7" spans="1:15" s="109" customFormat="1" ht="13.8" x14ac:dyDescent="0.25">
      <c r="A7" s="57" t="str">
        <f>Questionnaire!$A$11</f>
        <v>1.2 Child Labour</v>
      </c>
      <c r="B7" s="336">
        <f>Questionnaire!J14</f>
        <v>4</v>
      </c>
      <c r="C7" s="337" t="str">
        <f>IF(B7&lt;1.5,$L$6,IF(B7&lt;2.5,$L$5,IF(B7&lt;3.5,$L$4,IF(B7&lt;4.5,$L$3,"n/a"))))</f>
        <v>High</v>
      </c>
      <c r="D7" s="338" t="str">
        <f>IF(H7&lt;B7,"↑",IF(H7&gt;B7,"↓","↔"))</f>
        <v>↑</v>
      </c>
      <c r="E7" s="3"/>
      <c r="F7" s="3"/>
      <c r="G7" s="3"/>
      <c r="H7" s="237">
        <v>0</v>
      </c>
      <c r="I7" s="278" t="str">
        <f>IF(H7&lt;1.5,$L$6,IF(H7&lt;2.5,$L$5,IF(H7&lt;3.5,$L$4,IF(H7&lt;4.5,$L$3,"n/a"))))</f>
        <v>Not at all</v>
      </c>
      <c r="K7" s="109" t="s">
        <v>12</v>
      </c>
      <c r="L7" s="107" t="str">
        <f>Questionnaire!$N$7</f>
        <v>n/a</v>
      </c>
    </row>
    <row r="8" spans="1:15" s="109" customFormat="1" ht="13.8" x14ac:dyDescent="0.25">
      <c r="A8" s="57" t="str">
        <f>Questionnaire!$A$15</f>
        <v>1.3 Job safety</v>
      </c>
      <c r="B8" s="336">
        <f>Questionnaire!J17</f>
        <v>2</v>
      </c>
      <c r="C8" s="339" t="str">
        <f>IF(B8&lt;1.5,$L$6,IF(B8&lt;2.5,$L$5,IF(B8&lt;3.5,$L$4,IF(B8&lt;4.5,$L$3,"n/a"))))</f>
        <v>Moderate/Low</v>
      </c>
      <c r="D8" s="338" t="str">
        <f>IF(H8&lt;B8,"↑",IF(H8&gt;B8,"↓","↔"))</f>
        <v>↑</v>
      </c>
      <c r="E8" s="3"/>
      <c r="F8" s="3"/>
      <c r="G8" s="3"/>
      <c r="H8" s="237">
        <v>0</v>
      </c>
      <c r="I8" s="278" t="str">
        <f>IF(H8&lt;1.5,$L$6,IF(H8&lt;2.5,$L$5,IF(H8&lt;3.5,$L$4,IF(H8&lt;4.5,$L$3,"n/a"))))</f>
        <v>Not at all</v>
      </c>
      <c r="K8" s="109" t="s">
        <v>13</v>
      </c>
      <c r="L8" s="107"/>
    </row>
    <row r="9" spans="1:15" s="109" customFormat="1" ht="14.4" thickBot="1" x14ac:dyDescent="0.3">
      <c r="A9" s="58" t="str">
        <f>Questionnaire!$A$18</f>
        <v>1.4 Attractiveness</v>
      </c>
      <c r="B9" s="340">
        <f>Questionnaire!J21</f>
        <v>3</v>
      </c>
      <c r="C9" s="337" t="str">
        <f>IF(B9&lt;1.5,$L$6,IF(B9&lt;2.5,$L$5,IF(B9&lt;3.5,$L$4,IF(B9&lt;4.5,$L$3,"n/a"))))</f>
        <v>Substantial</v>
      </c>
      <c r="D9" s="341" t="str">
        <f>IF(H9&lt;B9,"↑",IF(H9&gt;B9,"↓","↔"))</f>
        <v>↑</v>
      </c>
      <c r="E9" s="4"/>
      <c r="F9" s="4"/>
      <c r="G9" s="4"/>
      <c r="H9" s="238">
        <v>0</v>
      </c>
      <c r="I9" s="249" t="str">
        <f>IF(H9&lt;1.5,$L$6,IF(H9&lt;2.5,$L$5,IF(H9&lt;3.5,$L$4,IF(H9&lt;4.5,$L$3,"n/a"))))</f>
        <v>Not at all</v>
      </c>
      <c r="L9" s="107"/>
    </row>
    <row r="10" spans="1:15" s="109" customFormat="1" ht="18" customHeight="1" thickTop="1" thickBot="1" x14ac:dyDescent="0.3">
      <c r="A10" s="59" t="s">
        <v>14</v>
      </c>
      <c r="B10" s="342">
        <f>IF(COUNT(B6:B9)=0,"n/a",(AVERAGE(B6:B9)))</f>
        <v>3</v>
      </c>
      <c r="C10" s="399" t="str">
        <f>IF(B10&lt;1.5,$L$6,IF(B10&lt;2.5,$L$5,IF(B10&lt;3.5,$L$4,IF(B10&lt;4.5,$L$3,"n/a"))))</f>
        <v>Substantial</v>
      </c>
      <c r="D10" s="343" t="str">
        <f>IF(H10&lt;B10,"↑",IF(H10&gt;B10,"↓","↔"))</f>
        <v>↑</v>
      </c>
      <c r="E10" s="11"/>
      <c r="F10" s="110"/>
      <c r="G10" s="110"/>
      <c r="H10" s="12">
        <f>AVERAGE(H6:H9)</f>
        <v>0</v>
      </c>
      <c r="I10" s="277" t="str">
        <f>IF(H10&lt;1.5,$L$6,IF(H10&lt;2.5,$L$5,IF(H10&lt;3.5,$L$4,IF(H10&lt;4.5,$L$3,"n/a"))))</f>
        <v>Not at all</v>
      </c>
      <c r="O10" s="285"/>
    </row>
    <row r="11" spans="1:15" s="109" customFormat="1" ht="15" customHeight="1" thickBot="1" x14ac:dyDescent="0.3">
      <c r="A11" s="60" t="str">
        <f>Questionnaire!$A$22</f>
        <v>2. LAND &amp; WATER RIGHTS</v>
      </c>
      <c r="B11" s="344"/>
      <c r="C11" s="344"/>
      <c r="D11" s="345"/>
      <c r="E11" s="61"/>
      <c r="F11" s="61"/>
      <c r="G11" s="61"/>
      <c r="H11" s="61"/>
      <c r="I11" s="280"/>
    </row>
    <row r="12" spans="1:15" s="109" customFormat="1" ht="18" customHeight="1" x14ac:dyDescent="0.25">
      <c r="A12" s="62" t="str">
        <f>Questionnaire!$A$23</f>
        <v xml:space="preserve">2.1 Adherence to VGGT </v>
      </c>
      <c r="B12" s="346">
        <f>Questionnaire!J26</f>
        <v>2</v>
      </c>
      <c r="C12" s="347" t="str">
        <f>IF(B12&lt;1.5,$L$6,IF(B12&lt;2.5,$L$5,IF(B12&lt;3.5,$L$4,IF(B12&lt;4.5,$L$3,"n/a"))))</f>
        <v>Moderate/Low</v>
      </c>
      <c r="D12" s="338" t="str">
        <f>IF(H12&lt;B12,"↑",IF(H12&gt;B12,"↓","↔"))</f>
        <v>↑</v>
      </c>
      <c r="E12" s="5"/>
      <c r="F12" s="1"/>
      <c r="G12" s="1"/>
      <c r="H12" s="236">
        <v>0</v>
      </c>
      <c r="I12" s="278" t="str">
        <f>IF(H12&lt;1.5,$L$6,IF(H12&lt;2.5,$L$5,IF(H12&lt;3.5,$L$4,IF(H12&lt;4.5,$L$3,"n/a"))))</f>
        <v>Not at all</v>
      </c>
    </row>
    <row r="13" spans="1:15" s="109" customFormat="1" ht="16.5" customHeight="1" x14ac:dyDescent="0.25">
      <c r="A13" s="63" t="str">
        <f>Questionnaire!$A$27</f>
        <v>2.2 Transparency, participation and consultation</v>
      </c>
      <c r="B13" s="348">
        <f>Questionnaire!J32</f>
        <v>3</v>
      </c>
      <c r="C13" s="339" t="str">
        <f>IF(B13&lt;1.5,$L$6,IF(B13&lt;2.5,$L$5,IF(B13&lt;3.5,$L$4,IF(B13&lt;4.5,$L$3,"n/a"))))</f>
        <v>Substantial</v>
      </c>
      <c r="D13" s="338" t="str">
        <f>IF(H13&lt;B13,"↑",IF(H13&gt;B13,"↓","↔"))</f>
        <v>↑</v>
      </c>
      <c r="E13" s="6"/>
      <c r="F13" s="3"/>
      <c r="G13" s="3"/>
      <c r="H13" s="237">
        <v>0</v>
      </c>
      <c r="I13" s="278" t="str">
        <f>IF(H13&lt;1.5,$L$6,IF(H13&lt;2.5,$L$5,IF(H13&lt;3.5,$L$4,IF(H13&lt;4.5,$L$3,"n/a"))))</f>
        <v>Not at all</v>
      </c>
    </row>
    <row r="14" spans="1:15" s="109" customFormat="1" ht="18.75" customHeight="1" thickBot="1" x14ac:dyDescent="0.3">
      <c r="A14" s="64" t="str">
        <f>Questionnaire!$A$33</f>
        <v>2.3  Equity,compensation and justice</v>
      </c>
      <c r="B14" s="349">
        <f>Questionnaire!J38</f>
        <v>3</v>
      </c>
      <c r="C14" s="337" t="str">
        <f>IF(B14&lt;1.5,$L$6,IF(B14&lt;2.5,$L$5,IF(B14&lt;3.5,$L$4,IF(B14&lt;4.5,$L$3,"n/a"))))</f>
        <v>Substantial</v>
      </c>
      <c r="D14" s="341" t="str">
        <f>IF(H14&lt;B14,"↑",IF(H14&gt;B14,"↓","↔"))</f>
        <v>↑</v>
      </c>
      <c r="E14" s="7"/>
      <c r="F14" s="4"/>
      <c r="G14" s="4"/>
      <c r="H14" s="238">
        <v>0</v>
      </c>
      <c r="I14" s="249" t="str">
        <f>IF(H14&lt;1.5,$L$6,IF(H14&lt;2.5,$L$5,IF(H14&lt;3.5,$L$4,IF(H14&lt;4.5,$L$3,"n/a"))))</f>
        <v>Not at all</v>
      </c>
    </row>
    <row r="15" spans="1:15" s="106" customFormat="1" ht="14.4" thickTop="1" thickBot="1" x14ac:dyDescent="0.3">
      <c r="A15" s="65" t="s">
        <v>14</v>
      </c>
      <c r="B15" s="350">
        <f>IF(COUNT(B12:B14)=0,"n/a",(AVERAGE(B12:B14)))</f>
        <v>2.6666666666666665</v>
      </c>
      <c r="C15" s="351" t="str">
        <f>IF(B15&lt;1.5,$L$6,IF(B15&lt;2.5,$L$5,IF(B15&lt;3.5,$L$4,IF(B15&lt;4.5,$L$3,"n/a"))))</f>
        <v>Substantial</v>
      </c>
      <c r="D15" s="343" t="str">
        <f>IF(H15&lt;B15,"↑",IF(H15&gt;B15,"↓","↔"))</f>
        <v>↑</v>
      </c>
      <c r="E15" s="110"/>
      <c r="F15" s="110"/>
      <c r="G15" s="110"/>
      <c r="H15" s="10">
        <f>AVERAGE(H12:H14)</f>
        <v>0</v>
      </c>
      <c r="I15" s="277" t="str">
        <f>IF(H15&lt;1.5,$L$6,IF(H15&lt;2.5,$L$5,IF(H15&lt;3.5,$L$4,IF(H15&lt;4.5,$L$3,"n/a"))))</f>
        <v>Not at all</v>
      </c>
    </row>
    <row r="16" spans="1:15" s="109" customFormat="1" ht="15" customHeight="1" thickBot="1" x14ac:dyDescent="0.3">
      <c r="A16" s="66" t="str">
        <f>Questionnaire!$A$39</f>
        <v>3. GENDER EQUALITY</v>
      </c>
      <c r="B16" s="344"/>
      <c r="C16" s="344"/>
      <c r="D16" s="344"/>
      <c r="E16" s="67"/>
      <c r="F16" s="67"/>
      <c r="G16" s="67"/>
      <c r="H16" s="67"/>
      <c r="I16" s="281"/>
    </row>
    <row r="17" spans="1:9" s="109" customFormat="1" ht="13.8" x14ac:dyDescent="0.25">
      <c r="A17" s="68" t="str">
        <f>Questionnaire!$A$40</f>
        <v>3.1 Economic activities</v>
      </c>
      <c r="B17" s="346">
        <f>Questionnaire!J43</f>
        <v>3</v>
      </c>
      <c r="C17" s="347" t="str">
        <f t="shared" ref="C17:C22" si="0">IF(B17&lt;1.5,$L$6,IF(B17&lt;2.5,$L$5,IF(B17&lt;3.5,$L$4,IF(B17&lt;4.5,$L$3,"n/a"))))</f>
        <v>Substantial</v>
      </c>
      <c r="D17" s="338" t="str">
        <f>IF(H17&lt;B17,"↑",IF(H17&gt;B17,"↓","↔"))</f>
        <v>↑</v>
      </c>
      <c r="E17" s="5"/>
      <c r="F17" s="1"/>
      <c r="G17" s="1"/>
      <c r="H17" s="236">
        <v>0</v>
      </c>
      <c r="I17" s="278" t="str">
        <f t="shared" ref="I17:I22" si="1">IF(H17&lt;1.5,$L$6,IF(H17&lt;2.5,$L$5,IF(H17&lt;3.5,$L$4,IF(H17&lt;4.5,$L$3,"n/a"))))</f>
        <v>Not at all</v>
      </c>
    </row>
    <row r="18" spans="1:9" s="109" customFormat="1" ht="13.8" x14ac:dyDescent="0.25">
      <c r="A18" s="68" t="str">
        <f>Questionnaire!$A$44</f>
        <v>3.2 Access to resources and services</v>
      </c>
      <c r="B18" s="348">
        <f>Questionnaire!J49</f>
        <v>2.5</v>
      </c>
      <c r="C18" s="352" t="str">
        <f t="shared" si="0"/>
        <v>Substantial</v>
      </c>
      <c r="D18" s="338" t="str">
        <f t="shared" ref="D18:D20" si="2">IF(H18&lt;B18,"↑",IF(H18&gt;B18,"↓","↔"))</f>
        <v>↑</v>
      </c>
      <c r="E18" s="6"/>
      <c r="F18" s="3"/>
      <c r="G18" s="3"/>
      <c r="H18" s="237">
        <v>0</v>
      </c>
      <c r="I18" s="278" t="str">
        <f t="shared" si="1"/>
        <v>Not at all</v>
      </c>
    </row>
    <row r="19" spans="1:9" s="109" customFormat="1" ht="13.8" x14ac:dyDescent="0.25">
      <c r="A19" s="68" t="str">
        <f>Questionnaire!$A$50</f>
        <v>3.3 Decision making</v>
      </c>
      <c r="B19" s="348">
        <f>Questionnaire!J56</f>
        <v>2.2000000000000002</v>
      </c>
      <c r="C19" s="339" t="str">
        <f t="shared" si="0"/>
        <v>Moderate/Low</v>
      </c>
      <c r="D19" s="353" t="str">
        <f t="shared" si="2"/>
        <v>↑</v>
      </c>
      <c r="E19" s="241"/>
      <c r="F19" s="3"/>
      <c r="G19" s="242"/>
      <c r="H19" s="240">
        <v>0</v>
      </c>
      <c r="I19" s="278" t="str">
        <f t="shared" si="1"/>
        <v>Not at all</v>
      </c>
    </row>
    <row r="20" spans="1:9" s="109" customFormat="1" ht="13.8" x14ac:dyDescent="0.25">
      <c r="A20" s="68" t="str">
        <f>Questionnaire!$A$57</f>
        <v>3.4 Leadership and empowerment</v>
      </c>
      <c r="B20" s="348">
        <f>Questionnaire!J62</f>
        <v>2.25</v>
      </c>
      <c r="C20" s="337" t="str">
        <f t="shared" si="0"/>
        <v>Moderate/Low</v>
      </c>
      <c r="D20" s="338" t="str">
        <f t="shared" si="2"/>
        <v>↑</v>
      </c>
      <c r="E20" s="82"/>
      <c r="F20" s="83"/>
      <c r="G20" s="83"/>
      <c r="H20" s="237">
        <v>0</v>
      </c>
      <c r="I20" s="278" t="str">
        <f t="shared" si="1"/>
        <v>Not at all</v>
      </c>
    </row>
    <row r="21" spans="1:9" s="109" customFormat="1" ht="14.4" thickBot="1" x14ac:dyDescent="0.3">
      <c r="A21" s="69" t="str">
        <f>Questionnaire!$A$63</f>
        <v>3.5 Hardship and division of labour</v>
      </c>
      <c r="B21" s="349">
        <f>Questionnaire!J66</f>
        <v>2.5</v>
      </c>
      <c r="C21" s="354" t="str">
        <f t="shared" si="0"/>
        <v>Substantial</v>
      </c>
      <c r="D21" s="341" t="str">
        <f>IF(H21&lt;B21,"↑",IF(H21&gt;B21,"↓","↔"))</f>
        <v>↑</v>
      </c>
      <c r="E21" s="7"/>
      <c r="F21" s="4"/>
      <c r="G21" s="4"/>
      <c r="H21" s="238">
        <v>0</v>
      </c>
      <c r="I21" s="249" t="str">
        <f t="shared" si="1"/>
        <v>Not at all</v>
      </c>
    </row>
    <row r="22" spans="1:9" s="106" customFormat="1" ht="14.4" thickTop="1" thickBot="1" x14ac:dyDescent="0.3">
      <c r="A22" s="81" t="s">
        <v>14</v>
      </c>
      <c r="B22" s="350">
        <f>IF(COUNT(B17:B21)=0,"n/a",(AVERAGE(B17:B21)))</f>
        <v>2.4899999999999998</v>
      </c>
      <c r="C22" s="355" t="str">
        <f t="shared" si="0"/>
        <v>Moderate/Low</v>
      </c>
      <c r="D22" s="343" t="str">
        <f>IF(H22&lt;B22,"↑",IF(H22&gt;B22,"↓","↔"))</f>
        <v>↑</v>
      </c>
      <c r="E22" s="110"/>
      <c r="F22" s="110"/>
      <c r="G22" s="110"/>
      <c r="H22" s="10">
        <f>AVERAGE(H17:H21)</f>
        <v>0</v>
      </c>
      <c r="I22" s="277" t="str">
        <f t="shared" si="1"/>
        <v>Not at all</v>
      </c>
    </row>
    <row r="23" spans="1:9" s="109" customFormat="1" ht="15" customHeight="1" thickBot="1" x14ac:dyDescent="0.3">
      <c r="A23" s="52" t="str">
        <f>Questionnaire!$A$67</f>
        <v>4. FOOD AND NUTRITION SECURITY</v>
      </c>
      <c r="B23" s="344"/>
      <c r="C23" s="344"/>
      <c r="D23" s="344"/>
      <c r="E23" s="70"/>
      <c r="F23" s="70"/>
      <c r="G23" s="70"/>
      <c r="H23" s="70"/>
      <c r="I23" s="282"/>
    </row>
    <row r="24" spans="1:9" s="109" customFormat="1" ht="18.75" customHeight="1" x14ac:dyDescent="0.25">
      <c r="A24" s="71" t="str">
        <f>Questionnaire!$A$68</f>
        <v xml:space="preserve">4.1 Availability of food </v>
      </c>
      <c r="B24" s="346">
        <f>Questionnaire!J71</f>
        <v>3</v>
      </c>
      <c r="C24" s="347" t="str">
        <f>IF(B24&lt;1.5,$L$6,IF(B24&lt;2.5,$L$5,IF(B24&lt;3.5,$L$4,IF(B24&lt;4.5,$L$3,"n/a"))))</f>
        <v>Substantial</v>
      </c>
      <c r="D24" s="335" t="str">
        <f>IF(H24&lt;B24,"↑",IF(H24&gt;B24,"↓","↔"))</f>
        <v>↑</v>
      </c>
      <c r="E24" s="5"/>
      <c r="F24" s="1"/>
      <c r="G24" s="1"/>
      <c r="H24" s="236">
        <v>0</v>
      </c>
      <c r="I24" s="278" t="str">
        <f>IF(H24&lt;1.5,$L$6,IF(H24&lt;2.5,$L$5,IF(H24&lt;3.5,$L$4,IF(H24&lt;4.5,$L$3,"n/a"))))</f>
        <v>Not at all</v>
      </c>
    </row>
    <row r="25" spans="1:9" s="109" customFormat="1" ht="16.5" customHeight="1" x14ac:dyDescent="0.25">
      <c r="A25" s="72" t="str">
        <f>Questionnaire!$A$72</f>
        <v xml:space="preserve">4.2 Accessibility of food </v>
      </c>
      <c r="B25" s="348">
        <f>Questionnaire!J75</f>
        <v>3</v>
      </c>
      <c r="C25" s="339" t="str">
        <f>IF(B25&lt;1.5,$L$6,IF(B25&lt;2.5,$L$5,IF(B25&lt;3.5,$L$4,IF(B25&lt;4.5,$L$3,"n/a"))))</f>
        <v>Substantial</v>
      </c>
      <c r="D25" s="338" t="str">
        <f>IF(H25&lt;B25,"↑",IF(H25&gt;B25,"↓","↔"))</f>
        <v>↑</v>
      </c>
      <c r="E25" s="6"/>
      <c r="F25" s="3"/>
      <c r="G25" s="3"/>
      <c r="H25" s="237">
        <v>0</v>
      </c>
      <c r="I25" s="278" t="str">
        <f>IF(H25&lt;1.5,$L$6,IF(H25&lt;2.5,$L$5,IF(H25&lt;3.5,$L$4,IF(H25&lt;4.5,$L$3,"n/a"))))</f>
        <v>Not at all</v>
      </c>
    </row>
    <row r="26" spans="1:9" s="109" customFormat="1" ht="13.8" x14ac:dyDescent="0.25">
      <c r="A26" s="73" t="str">
        <f>Questionnaire!$A$76</f>
        <v xml:space="preserve">4.3 Utilisation and nutritional adequacy </v>
      </c>
      <c r="B26" s="348">
        <f>Questionnaire!J80</f>
        <v>2</v>
      </c>
      <c r="C26" s="339" t="str">
        <f>IF(B26&lt;1.5,$L$6,IF(B26&lt;2.5,$L$5,IF(B26&lt;3.5,$L$4,IF(B26&lt;4.5,$L$3,"n/a"))))</f>
        <v>Moderate/Low</v>
      </c>
      <c r="D26" s="338" t="str">
        <f>IF(H26&lt;B26,"↑",IF(H26&gt;B26,"↓","↔"))</f>
        <v>↑</v>
      </c>
      <c r="E26" s="6"/>
      <c r="F26" s="3"/>
      <c r="G26" s="3"/>
      <c r="H26" s="237">
        <v>0</v>
      </c>
      <c r="I26" s="278" t="str">
        <f>IF(H26&lt;1.5,$L$6,IF(H26&lt;2.5,$L$5,IF(H26&lt;3.5,$L$4,IF(H26&lt;4.5,$L$3,"n/a"))))</f>
        <v>Not at all</v>
      </c>
    </row>
    <row r="27" spans="1:9" s="109" customFormat="1" ht="14.4" thickBot="1" x14ac:dyDescent="0.3">
      <c r="A27" s="74" t="str">
        <f>Questionnaire!$A$81</f>
        <v xml:space="preserve">4.4 Stability </v>
      </c>
      <c r="B27" s="349">
        <f>Questionnaire!J84</f>
        <v>3</v>
      </c>
      <c r="C27" s="337" t="str">
        <f>IF(B27&lt;1.5,$L$6,IF(B27&lt;2.5,$L$5,IF(B27&lt;3.5,$L$4,IF(B27&lt;4.5,$L$3,"n/a"))))</f>
        <v>Substantial</v>
      </c>
      <c r="D27" s="341" t="str">
        <f>IF(H27&lt;B27,"↑",IF(H27&gt;B27,"↓","↔"))</f>
        <v>↑</v>
      </c>
      <c r="E27" s="7"/>
      <c r="F27" s="4"/>
      <c r="G27" s="4"/>
      <c r="H27" s="238">
        <v>0</v>
      </c>
      <c r="I27" s="249" t="str">
        <f>IF(H27&lt;1.5,$L$6,IF(H27&lt;2.5,$L$5,IF(H27&lt;3.5,$L$4,IF(H27&lt;4.5,$L$3,"n/a"))))</f>
        <v>Not at all</v>
      </c>
    </row>
    <row r="28" spans="1:9" s="106" customFormat="1" ht="14.4" thickTop="1" thickBot="1" x14ac:dyDescent="0.3">
      <c r="A28" s="75" t="s">
        <v>14</v>
      </c>
      <c r="B28" s="350">
        <f>IF(COUNT(B24:B27)=0,"n/a",(AVERAGE(B24:B27)))</f>
        <v>2.75</v>
      </c>
      <c r="C28" s="351" t="str">
        <f>IF(B28&lt;1.5,$L$6,IF(B28&lt;2.5,$L$5,IF(B28&lt;3.5,$L$4,IF(B28&lt;4.5,$L$3,"n/a"))))</f>
        <v>Substantial</v>
      </c>
      <c r="D28" s="343" t="str">
        <f>IF(H28&lt;B28,"↑",IF(H28&gt;B28,"↓","↔"))</f>
        <v>↑</v>
      </c>
      <c r="E28" s="110"/>
      <c r="F28" s="110"/>
      <c r="G28" s="110"/>
      <c r="H28" s="10">
        <f>AVERAGE(H24:H27)</f>
        <v>0</v>
      </c>
      <c r="I28" s="277" t="str">
        <f>IF(H28&lt;1.5,$L$6,IF(H28&lt;2.5,$L$5,IF(H28&lt;3.5,$L$4,IF(H28&lt;4.5,$L$3,"n/a"))))</f>
        <v>Not at all</v>
      </c>
    </row>
    <row r="29" spans="1:9" s="106" customFormat="1" ht="13.8" thickBot="1" x14ac:dyDescent="0.3">
      <c r="A29" s="306" t="str">
        <f>Questionnaire!$A$85</f>
        <v>5. SOCIAL CAPITAL</v>
      </c>
      <c r="B29" s="356"/>
      <c r="C29" s="357"/>
      <c r="D29" s="357"/>
      <c r="E29" s="298"/>
      <c r="F29" s="298"/>
      <c r="G29" s="298"/>
      <c r="H29" s="299"/>
      <c r="I29" s="300"/>
    </row>
    <row r="30" spans="1:9" s="106" customFormat="1" x14ac:dyDescent="0.25">
      <c r="A30" s="303" t="str">
        <f>Questionnaire!$A$86</f>
        <v>5.1 Strength of producer organisations</v>
      </c>
      <c r="B30" s="358">
        <f>Questionnaire!J91</f>
        <v>2.5</v>
      </c>
      <c r="C30" s="334" t="str">
        <f>IF(B30&lt;1.5,$L$6,IF(B30&lt;2.5,$L$5,IF(B30&lt;3.5,$L$4,IF(B30&lt;4.5,$L$3,"n/a"))))</f>
        <v>Substantial</v>
      </c>
      <c r="D30" s="335" t="str">
        <f t="shared" ref="D30:D32" si="3">IF(H30&lt;B30,"↑",IF(H30&gt;B30,"↓","↔"))</f>
        <v>↑</v>
      </c>
      <c r="E30" s="401"/>
      <c r="F30" s="402"/>
      <c r="G30" s="403"/>
      <c r="H30" s="236">
        <v>0</v>
      </c>
      <c r="I30" s="278" t="str">
        <f>IF(H30&lt;1.5,$L$6,IF(H30&lt;2.5,$L$5,IF(H30&lt;3.5,$L$4,IF(H30&lt;4.5,$L$3,"n/a"))))</f>
        <v>Not at all</v>
      </c>
    </row>
    <row r="31" spans="1:9" s="106" customFormat="1" x14ac:dyDescent="0.25">
      <c r="A31" s="304" t="str">
        <f>Questionnaire!$A$92</f>
        <v>5.2 Information and confidence</v>
      </c>
      <c r="B31" s="359">
        <f>Questionnaire!J95</f>
        <v>3</v>
      </c>
      <c r="C31" s="339" t="str">
        <f>IF(B31&lt;1.5,$L$6,IF(B31&lt;2.5,$L$5,IF(B31&lt;3.5,$L$4,IF(B31&lt;4.5,$L$3,"n/a"))))</f>
        <v>Substantial</v>
      </c>
      <c r="D31" s="352" t="str">
        <f t="shared" si="3"/>
        <v>↑</v>
      </c>
      <c r="E31" s="404"/>
      <c r="F31" s="405"/>
      <c r="G31" s="406"/>
      <c r="H31" s="236">
        <v>0</v>
      </c>
      <c r="I31" s="278" t="str">
        <f>IF(H31&lt;1.5,$L$6,IF(H31&lt;2.5,$L$5,IF(H31&lt;3.5,$L$4,IF(H31&lt;4.5,$L$3,"n/a"))))</f>
        <v>Not at all</v>
      </c>
    </row>
    <row r="32" spans="1:9" s="106" customFormat="1" ht="13.8" thickBot="1" x14ac:dyDescent="0.3">
      <c r="A32" s="305" t="str">
        <f>Questionnaire!$A$96</f>
        <v>5.3 Social involvement</v>
      </c>
      <c r="B32" s="360">
        <f>Questionnaire!J100</f>
        <v>2.6666666666666665</v>
      </c>
      <c r="C32" s="337" t="str">
        <f>IF(B32&lt;1.5,$L$6,IF(B32&lt;2.5,$L$5,IF(B32&lt;3.5,$L$4,IF(B32&lt;4.5,$L$3,"n/a"))))</f>
        <v>Substantial</v>
      </c>
      <c r="D32" s="354" t="str">
        <f t="shared" si="3"/>
        <v>↑</v>
      </c>
      <c r="E32" s="407"/>
      <c r="F32" s="408"/>
      <c r="G32" s="409"/>
      <c r="H32" s="238">
        <v>0</v>
      </c>
      <c r="I32" s="245" t="str">
        <f>IF(H32&lt;1.5,$L$6,IF(H32&lt;2.5,$L$5,IF(H32&lt;3.5,$L$4,IF(H32&lt;4.5,$L$3,"n/a"))))</f>
        <v>Not at all</v>
      </c>
    </row>
    <row r="33" spans="1:9" s="106" customFormat="1" ht="14.4" thickTop="1" thickBot="1" x14ac:dyDescent="0.3">
      <c r="A33" s="301" t="s">
        <v>14</v>
      </c>
      <c r="B33" s="350">
        <f>IF(COUNT(B30:B32)=0,"n/a",(AVERAGE(B30:B32)))</f>
        <v>2.7222222222222219</v>
      </c>
      <c r="C33" s="351" t="str">
        <f>IF(B33&lt;1.5,$L$6,IF(B33&lt;2.5,$L$5,IF(B33&lt;3.5,$L$4,IF(B33&lt;4.5,$L$3,"n/a"))))</f>
        <v>Substantial</v>
      </c>
      <c r="D33" s="343" t="str">
        <f>IF(H33&lt;B33,"↑",IF(H33&gt;B33,"↓","↔"))</f>
        <v>↑</v>
      </c>
      <c r="E33" s="110"/>
      <c r="F33" s="302"/>
      <c r="G33" s="110"/>
      <c r="H33" s="10">
        <f>AVERAGE(H30:H32)</f>
        <v>0</v>
      </c>
      <c r="I33" s="286" t="str">
        <f>IF(H33&lt;1.5,$L$6,IF(H33&lt;2.5,$L$5,IF(H33&lt;3.5,$L$4,IF(H33&lt;4.5,$L$3,"n/a"))))</f>
        <v>Not at all</v>
      </c>
    </row>
    <row r="34" spans="1:9" s="109" customFormat="1" ht="15" customHeight="1" thickBot="1" x14ac:dyDescent="0.3">
      <c r="A34" s="76" t="str">
        <f>Questionnaire!$A$101</f>
        <v>6. LIVING CONDITIONS</v>
      </c>
      <c r="B34" s="361"/>
      <c r="C34" s="362"/>
      <c r="D34" s="362"/>
      <c r="E34" s="78"/>
      <c r="F34" s="78"/>
      <c r="G34" s="78"/>
      <c r="H34" s="77"/>
      <c r="I34" s="283"/>
    </row>
    <row r="35" spans="1:9" s="109" customFormat="1" ht="15" customHeight="1" thickBot="1" x14ac:dyDescent="0.3">
      <c r="A35" s="246" t="str">
        <f>Questionnaire!$A$102</f>
        <v>6.1 Health services</v>
      </c>
      <c r="B35" s="363">
        <f>Questionnaire!J106</f>
        <v>4</v>
      </c>
      <c r="C35" s="347" t="str">
        <f>IF(B35&lt;1.5,$L$6,IF(B35&lt;2.5,$L$5,IF(B35&lt;3.5,$L$4,IF(B35&lt;4.5,$L$3,"n/a"))))</f>
        <v>High</v>
      </c>
      <c r="D35" s="364" t="str">
        <f>IF(H35&lt;B35,"↑",IF(H35&gt;B35,"↓","↔"))</f>
        <v>↑</v>
      </c>
      <c r="E35" s="5"/>
      <c r="F35" s="243"/>
      <c r="G35" s="5"/>
      <c r="H35" s="239">
        <v>0</v>
      </c>
      <c r="I35" s="278" t="str">
        <f>IF(H35&lt;1.5,$L$6,IF(H35&lt;2.5,$L$5,IF(H35&lt;3.5,$L$4,IF(H35&lt;4.5,$L$3,"n/a"))))</f>
        <v>Not at all</v>
      </c>
    </row>
    <row r="36" spans="1:9" s="109" customFormat="1" ht="15" customHeight="1" thickTop="1" thickBot="1" x14ac:dyDescent="0.3">
      <c r="A36" s="79" t="str">
        <f>Questionnaire!$A$107</f>
        <v>6.2 Housing</v>
      </c>
      <c r="B36" s="348">
        <f>Questionnaire!J110</f>
        <v>2.5</v>
      </c>
      <c r="C36" s="339" t="str">
        <f>IF(B36&lt;1.5,$L$6,IF(B36&lt;2.5,$L$5,IF(B36&lt;3.5,$L$4,IF(B36&lt;4.5,$L$3,"n/a"))))</f>
        <v>Substantial</v>
      </c>
      <c r="D36" s="339" t="str">
        <f>IF(H36&lt;B36,"↑",IF(H36&gt;B36,"↓","↔"))</f>
        <v>↑</v>
      </c>
      <c r="E36" s="6"/>
      <c r="F36" s="244"/>
      <c r="G36" s="6"/>
      <c r="H36" s="239">
        <v>0</v>
      </c>
      <c r="I36" s="278" t="str">
        <f>IF(H36&lt;1.5,$L$6,IF(H36&lt;2.5,$L$5,IF(H36&lt;3.5,$L$4,IF(H36&lt;4.5,$L$3,"n/a"))))</f>
        <v>Not at all</v>
      </c>
    </row>
    <row r="37" spans="1:9" s="109" customFormat="1" ht="15" customHeight="1" thickTop="1" thickBot="1" x14ac:dyDescent="0.3">
      <c r="A37" s="247" t="str">
        <f>Questionnaire!$A$111</f>
        <v>6.3 Education and training</v>
      </c>
      <c r="B37" s="363">
        <f>Questionnaire!J115</f>
        <v>3.6666666666666665</v>
      </c>
      <c r="C37" s="339" t="str">
        <f>IF(B37&lt;1.5,$L$6,IF(B37&lt;2.5,$L$5,IF(B37&lt;3.5,$L$4,IF(B37&lt;4.5,$L$3,"n/a"))))</f>
        <v>High</v>
      </c>
      <c r="D37" s="364" t="str">
        <f>IF(H37&lt;B37,"↑",IF(H37&gt;B37,"↓","↔"))</f>
        <v>↑</v>
      </c>
      <c r="E37" s="6"/>
      <c r="F37" s="244"/>
      <c r="G37" s="6"/>
      <c r="H37" s="239">
        <v>0</v>
      </c>
      <c r="I37" s="278" t="str">
        <f>IF(H37&lt;1.5,$L$6,IF(H37&lt;2.5,$L$5,IF(H37&lt;3.5,$L$4,IF(H37&lt;4.5,$L$3,"n/a"))))</f>
        <v>Not at all</v>
      </c>
    </row>
    <row r="38" spans="1:9" s="109" customFormat="1" ht="15" customHeight="1" thickTop="1" thickBot="1" x14ac:dyDescent="0.3">
      <c r="A38" s="248" t="str">
        <f>Questionnaire!$A$116</f>
        <v>6.4 Mobility ??????</v>
      </c>
      <c r="B38" s="349" t="str">
        <f>Questionnaire!J120</f>
        <v>n/a</v>
      </c>
      <c r="C38" s="337" t="str">
        <f>IF(B38&lt;1.5,$L$6,IF(B38&lt;2.5,$L$5,IF(B38&lt;3.5,$L$4,IF(B38&lt;4.5,$L$3,"n/a"))))</f>
        <v>n/a</v>
      </c>
      <c r="D38" s="354" t="str">
        <f>IF(H38&lt;B38,"↑",IF(H38&gt;B38,"↓","↔"))</f>
        <v>↑</v>
      </c>
      <c r="E38" s="8"/>
      <c r="F38" s="9"/>
      <c r="G38" s="9"/>
      <c r="H38" s="239">
        <v>0</v>
      </c>
      <c r="I38" s="249" t="str">
        <f>IF(H38&lt;1.5,$L$6,IF(H38&lt;2.5,$L$5,IF(H38&lt;3.5,$L$4,IF(H38&lt;4.5,$L$3,"n/a"))))</f>
        <v>Not at all</v>
      </c>
    </row>
    <row r="39" spans="1:9" s="106" customFormat="1" ht="14.4" thickTop="1" thickBot="1" x14ac:dyDescent="0.3">
      <c r="A39" s="80" t="s">
        <v>14</v>
      </c>
      <c r="B39" s="342">
        <f>IF(COUNT(B35:B38)=0,"n/a",(AVERAGE(B35:B38)))</f>
        <v>3.3888888888888888</v>
      </c>
      <c r="C39" s="351" t="str">
        <f>IF(B39&lt;1.5,$L$6,IF(B39&lt;2.5,$L$5,IF(B39&lt;3.5,$L$4,IF(B39&lt;4.5,$L$3,"n/a"))))</f>
        <v>Substantial</v>
      </c>
      <c r="D39" s="343" t="str">
        <f>IF(H39&lt;B39,"↑",IF(H39&gt;B39,"↓","↔"))</f>
        <v>↑</v>
      </c>
      <c r="E39" s="110"/>
      <c r="F39" s="110"/>
      <c r="G39" s="110"/>
      <c r="H39" s="10">
        <f>AVERAGE(H35:H38)</f>
        <v>0</v>
      </c>
      <c r="I39" s="284" t="str">
        <f>IF(H39&lt;1.5,$L$6,IF(H39&lt;2.5,$L$5,IF(H39&lt;3.5,$L$4,IF(H39&lt;4.5,$L$3,"n/a"))))</f>
        <v>Not at all</v>
      </c>
    </row>
    <row r="40" spans="1:9" x14ac:dyDescent="0.25">
      <c r="B40" s="274"/>
      <c r="C40" s="276"/>
      <c r="I40" s="276"/>
    </row>
    <row r="41" spans="1:9" x14ac:dyDescent="0.25">
      <c r="C41" s="111"/>
    </row>
    <row r="44" spans="1:9" x14ac:dyDescent="0.25">
      <c r="D44"/>
      <c r="I44"/>
    </row>
    <row r="45" spans="1:9" x14ac:dyDescent="0.25">
      <c r="F45" s="112"/>
    </row>
    <row r="46" spans="1:9" x14ac:dyDescent="0.25">
      <c r="B46" s="273"/>
    </row>
  </sheetData>
  <sheetProtection password="CC15" sheet="1" objects="1" scenarios="1" formatRows="0"/>
  <mergeCells count="12">
    <mergeCell ref="D1:E1"/>
    <mergeCell ref="H1:I1"/>
    <mergeCell ref="A1:B1"/>
    <mergeCell ref="H3:I3"/>
    <mergeCell ref="A2:A4"/>
    <mergeCell ref="D2:D4"/>
    <mergeCell ref="G2:G4"/>
    <mergeCell ref="H2:I2"/>
    <mergeCell ref="F2:F4"/>
    <mergeCell ref="E2:E4"/>
    <mergeCell ref="B2:B4"/>
    <mergeCell ref="C2:C4"/>
  </mergeCells>
  <phoneticPr fontId="1" type="noConversion"/>
  <conditionalFormatting sqref="A28:A33 C28:I33">
    <cfRule type="cellIs" dxfId="87" priority="6" operator="equal">
      <formula>$L$4</formula>
    </cfRule>
    <cfRule type="cellIs" dxfId="86" priority="7" operator="equal">
      <formula>$L$3</formula>
    </cfRule>
    <cfRule type="cellIs" dxfId="85" priority="8" operator="equal">
      <formula>$L$6</formula>
    </cfRule>
  </conditionalFormatting>
  <conditionalFormatting sqref="A5:I9 A10 C10:I10 A11:I14 A15 C15:I15 A16:I21 A22 C22:I22 A23:I27 A34:I38 A39 C39:I39">
    <cfRule type="cellIs" dxfId="84" priority="47" operator="equal">
      <formula>$L$4</formula>
    </cfRule>
    <cfRule type="cellIs" dxfId="83" priority="48" operator="equal">
      <formula>$L$3</formula>
    </cfRule>
    <cfRule type="cellIs" dxfId="82" priority="57" operator="equal">
      <formula>$L$6</formula>
    </cfRule>
  </conditionalFormatting>
  <conditionalFormatting sqref="A5:I9 C10:I10 A11:I14 C15:I15 A16:I21 C22:I22 A23:I27 A34:I38 C39:I39 A10 A15 A22 A39">
    <cfRule type="cellIs" dxfId="81" priority="46" operator="equal">
      <formula>$L$5</formula>
    </cfRule>
  </conditionalFormatting>
  <conditionalFormatting sqref="C1">
    <cfRule type="cellIs" dxfId="80" priority="21" operator="equal">
      <formula>"High"</formula>
    </cfRule>
    <cfRule type="cellIs" dxfId="79" priority="22" operator="equal">
      <formula>"Substantial"</formula>
    </cfRule>
    <cfRule type="cellIs" dxfId="78" priority="23" operator="equal">
      <formula>"Moderate"</formula>
    </cfRule>
    <cfRule type="cellIs" dxfId="77" priority="24" operator="equal">
      <formula>"Low"</formula>
    </cfRule>
  </conditionalFormatting>
  <conditionalFormatting sqref="C28:I33 A28:A33">
    <cfRule type="cellIs" dxfId="76" priority="5" operator="equal">
      <formula>$L$5</formula>
    </cfRule>
  </conditionalFormatting>
  <conditionalFormatting sqref="F1">
    <cfRule type="cellIs" dxfId="75" priority="17" operator="equal">
      <formula>"High"</formula>
    </cfRule>
    <cfRule type="cellIs" dxfId="74" priority="18" operator="equal">
      <formula>"Substantial"</formula>
    </cfRule>
    <cfRule type="cellIs" dxfId="73" priority="19" operator="equal">
      <formula>"Moderate"</formula>
    </cfRule>
    <cfRule type="cellIs" dxfId="72" priority="20" operator="equal">
      <formula>"Low"</formula>
    </cfRule>
  </conditionalFormatting>
  <conditionalFormatting sqref="G2 G5 G10:G11 G15:G16 G22:G23">
    <cfRule type="cellIs" dxfId="71" priority="41" operator="equal">
      <formula>"High"</formula>
    </cfRule>
    <cfRule type="cellIs" dxfId="70" priority="42" operator="equal">
      <formula>"Substantial"</formula>
    </cfRule>
    <cfRule type="cellIs" dxfId="69" priority="43" operator="equal">
      <formula>"Moderate"</formula>
    </cfRule>
    <cfRule type="containsText" dxfId="68" priority="44" operator="containsText" text="Low">
      <formula>NOT(ISERROR(SEARCH("Low",G2)))</formula>
    </cfRule>
  </conditionalFormatting>
  <conditionalFormatting sqref="G28:G34">
    <cfRule type="cellIs" dxfId="67" priority="1" operator="equal">
      <formula>"High"</formula>
    </cfRule>
    <cfRule type="cellIs" dxfId="66" priority="2" operator="equal">
      <formula>"Substantial"</formula>
    </cfRule>
    <cfRule type="cellIs" dxfId="65" priority="3" operator="equal">
      <formula>"Moderate"</formula>
    </cfRule>
    <cfRule type="containsText" dxfId="64" priority="4" operator="containsText" text="Low">
      <formula>NOT(ISERROR(SEARCH("Low",G28)))</formula>
    </cfRule>
  </conditionalFormatting>
  <conditionalFormatting sqref="G39:H39">
    <cfRule type="cellIs" dxfId="63" priority="29" operator="equal">
      <formula>"High"</formula>
    </cfRule>
    <cfRule type="cellIs" dxfId="62" priority="30" operator="equal">
      <formula>"Substantial"</formula>
    </cfRule>
    <cfRule type="cellIs" dxfId="61" priority="31" operator="equal">
      <formula>"Moderate"</formula>
    </cfRule>
    <cfRule type="containsText" dxfId="60" priority="32" operator="containsText" text="Low">
      <formula>NOT(ISERROR(SEARCH("Low",G39)))</formula>
    </cfRule>
  </conditionalFormatting>
  <conditionalFormatting sqref="H35:I38">
    <cfRule type="cellIs" dxfId="59" priority="33" operator="equal">
      <formula>"High"</formula>
    </cfRule>
    <cfRule type="cellIs" dxfId="58" priority="34" operator="equal">
      <formula>"Substantial"</formula>
    </cfRule>
    <cfRule type="cellIs" dxfId="57" priority="35" operator="equal">
      <formula>"Moderate"</formula>
    </cfRule>
    <cfRule type="containsText" dxfId="56" priority="36" operator="containsText" text="Low">
      <formula>NOT(ISERROR(SEARCH("Low",H35)))</formula>
    </cfRule>
  </conditionalFormatting>
  <pageMargins left="0.70866141732283472" right="0.70866141732283472" top="0.74803149606299213" bottom="0.74803149606299213" header="0.31496062992125984" footer="0.31496062992125984"/>
  <pageSetup paperSize="9" scale="61" orientation="landscape" r:id="rId1"/>
  <headerFooter alignWithMargins="0"/>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S120"/>
  <sheetViews>
    <sheetView zoomScale="85" zoomScaleNormal="85" zoomScaleSheetLayoutView="100" workbookViewId="0">
      <pane ySplit="2" topLeftCell="A3" activePane="bottomLeft" state="frozen"/>
      <selection pane="bottomLeft" activeCell="B1" sqref="B1"/>
    </sheetView>
  </sheetViews>
  <sheetFormatPr defaultColWidth="8.77734375" defaultRowHeight="13.2" x14ac:dyDescent="0.25"/>
  <cols>
    <col min="1" max="1" width="18" customWidth="1"/>
    <col min="2" max="2" width="29" customWidth="1"/>
    <col min="3" max="3" width="30.5546875" style="160" customWidth="1"/>
    <col min="4" max="4" width="14.44140625" style="161" customWidth="1"/>
    <col min="5" max="6" width="7.44140625" style="25" customWidth="1"/>
    <col min="7" max="7" width="1.21875" style="25" customWidth="1"/>
    <col min="8" max="8" width="7.44140625" style="25" customWidth="1"/>
    <col min="9" max="9" width="12.5546875" style="25" customWidth="1"/>
    <col min="10" max="10" width="12.21875" style="25" customWidth="1"/>
    <col min="11" max="11" width="65.77734375" customWidth="1"/>
    <col min="12" max="12" width="15.5546875" style="160" customWidth="1"/>
    <col min="13" max="13" width="13.44140625" hidden="1" customWidth="1"/>
    <col min="14" max="14" width="14.77734375" hidden="1" customWidth="1"/>
    <col min="15" max="15" width="11.21875" hidden="1" customWidth="1"/>
    <col min="16" max="16" width="13.77734375" customWidth="1"/>
  </cols>
  <sheetData>
    <row r="1" spans="1:15" ht="21" customHeight="1" thickBot="1" x14ac:dyDescent="0.35">
      <c r="A1" s="368" t="s">
        <v>28</v>
      </c>
      <c r="B1" s="369" t="str">
        <f>Profile!F1</f>
        <v>Cashmere</v>
      </c>
      <c r="C1" s="367" t="s">
        <v>22</v>
      </c>
      <c r="D1" s="469" t="str">
        <f>Profile!E2</f>
        <v>Mongolia</v>
      </c>
      <c r="E1" s="470"/>
      <c r="F1" s="365" t="s">
        <v>26</v>
      </c>
      <c r="G1" s="370"/>
      <c r="H1" s="371"/>
      <c r="I1" s="372"/>
      <c r="J1" s="366" t="str">
        <f>Profile!B3</f>
        <v xml:space="preserve"> . . / . . / 20 . .</v>
      </c>
      <c r="K1" s="113"/>
      <c r="L1" s="373" t="s">
        <v>181</v>
      </c>
    </row>
    <row r="2" spans="1:15" s="105" customFormat="1" ht="15" customHeight="1" thickBot="1" x14ac:dyDescent="0.3">
      <c r="A2" s="471" t="s">
        <v>0</v>
      </c>
      <c r="B2" s="472"/>
      <c r="C2" s="374" t="s">
        <v>2</v>
      </c>
      <c r="D2" s="374" t="s">
        <v>88</v>
      </c>
      <c r="E2" s="374" t="s">
        <v>89</v>
      </c>
      <c r="F2" s="471" t="s">
        <v>87</v>
      </c>
      <c r="G2" s="472"/>
      <c r="H2" s="472"/>
      <c r="I2" s="472"/>
      <c r="J2" s="472"/>
      <c r="K2" s="472"/>
      <c r="L2" s="375"/>
      <c r="M2" s="107"/>
    </row>
    <row r="3" spans="1:15" s="105" customFormat="1" ht="24.75" customHeight="1" thickBot="1" x14ac:dyDescent="0.3">
      <c r="A3" s="114" t="s">
        <v>217</v>
      </c>
      <c r="B3" s="115"/>
      <c r="C3" s="115"/>
      <c r="D3" s="115"/>
      <c r="E3" s="115"/>
      <c r="F3" s="115"/>
      <c r="G3" s="115"/>
      <c r="H3" s="115"/>
      <c r="I3" s="115"/>
      <c r="J3" s="115"/>
      <c r="K3" s="115"/>
      <c r="L3" s="376"/>
      <c r="N3" s="16" t="s">
        <v>4</v>
      </c>
      <c r="O3" s="105">
        <v>4.5</v>
      </c>
    </row>
    <row r="4" spans="1:15" s="105" customFormat="1" ht="21" customHeight="1" x14ac:dyDescent="0.25">
      <c r="A4" s="116" t="s">
        <v>30</v>
      </c>
      <c r="B4" s="117"/>
      <c r="C4" s="117"/>
      <c r="D4" s="117"/>
      <c r="E4" s="117"/>
      <c r="F4" s="117"/>
      <c r="G4" s="117"/>
      <c r="H4" s="117"/>
      <c r="I4" s="117"/>
      <c r="J4" s="117"/>
      <c r="K4" s="117"/>
      <c r="L4" s="376"/>
      <c r="N4" s="16" t="s">
        <v>5</v>
      </c>
      <c r="O4" s="105">
        <v>3.5</v>
      </c>
    </row>
    <row r="5" spans="1:15" s="105" customFormat="1" ht="60.75" customHeight="1" x14ac:dyDescent="0.25">
      <c r="A5" s="445" t="s">
        <v>72</v>
      </c>
      <c r="B5" s="445"/>
      <c r="C5" s="37" t="s">
        <v>231</v>
      </c>
      <c r="D5" s="48" t="s">
        <v>5</v>
      </c>
      <c r="E5" s="118">
        <f>IF(D5=$N$6,1,IF(D5=$N$5,2,IF(D5=$N$4,3,IF(D5=$N$3,4,"n/a"))))</f>
        <v>3</v>
      </c>
      <c r="F5" s="446" t="s">
        <v>226</v>
      </c>
      <c r="G5" s="446"/>
      <c r="H5" s="446"/>
      <c r="I5" s="446"/>
      <c r="J5" s="446"/>
      <c r="K5" s="446"/>
      <c r="L5" s="376"/>
      <c r="N5" s="107" t="s">
        <v>43</v>
      </c>
      <c r="O5" s="106">
        <v>2.5</v>
      </c>
    </row>
    <row r="6" spans="1:15" s="105" customFormat="1" ht="47.55" customHeight="1" x14ac:dyDescent="0.25">
      <c r="A6" s="445" t="s">
        <v>31</v>
      </c>
      <c r="B6" s="445"/>
      <c r="C6" s="37" t="s">
        <v>232</v>
      </c>
      <c r="D6" s="48" t="s">
        <v>5</v>
      </c>
      <c r="E6" s="118">
        <f>IF(D6=$N$6,1,IF(D6=$N$5,2,IF(D6=$N$4,3,IF(D6=$N$3,4,"n/a"))))</f>
        <v>3</v>
      </c>
      <c r="F6" s="446" t="s">
        <v>224</v>
      </c>
      <c r="G6" s="446"/>
      <c r="H6" s="446"/>
      <c r="I6" s="446"/>
      <c r="J6" s="446"/>
      <c r="K6" s="446"/>
      <c r="L6" s="376"/>
      <c r="N6" s="107" t="s">
        <v>80</v>
      </c>
      <c r="O6" s="106">
        <v>1.5</v>
      </c>
    </row>
    <row r="7" spans="1:15" s="105" customFormat="1" ht="28.5" customHeight="1" x14ac:dyDescent="0.25">
      <c r="A7" s="445" t="s">
        <v>190</v>
      </c>
      <c r="B7" s="445"/>
      <c r="C7" s="37" t="s">
        <v>232</v>
      </c>
      <c r="D7" s="48" t="s">
        <v>5</v>
      </c>
      <c r="E7" s="118">
        <f>IF(D7=$N$6,1,IF(D7=$N$5,2,IF(D7=$N$4,3,IF(D7=$N$3,4,"n/a"))))</f>
        <v>3</v>
      </c>
      <c r="F7" s="446" t="s">
        <v>225</v>
      </c>
      <c r="G7" s="446"/>
      <c r="H7" s="446"/>
      <c r="I7" s="446"/>
      <c r="J7" s="446"/>
      <c r="K7" s="446"/>
      <c r="L7" s="376"/>
      <c r="N7" s="16" t="s">
        <v>19</v>
      </c>
    </row>
    <row r="8" spans="1:15" s="105" customFormat="1" ht="30" customHeight="1" x14ac:dyDescent="0.25">
      <c r="A8" s="445" t="s">
        <v>41</v>
      </c>
      <c r="B8" s="445"/>
      <c r="C8" s="37" t="s">
        <v>223</v>
      </c>
      <c r="D8" s="48" t="s">
        <v>5</v>
      </c>
      <c r="E8" s="118">
        <f>IF(D8=$N$6,1,IF(D8=$N$5,2,IF(D8=$N$4,3,IF(D8=$N$3,4,"n/a"))))</f>
        <v>3</v>
      </c>
      <c r="F8" s="446" t="s">
        <v>227</v>
      </c>
      <c r="G8" s="446"/>
      <c r="H8" s="446"/>
      <c r="I8" s="446"/>
      <c r="J8" s="446"/>
      <c r="K8" s="446"/>
      <c r="L8" s="376"/>
      <c r="N8" s="107"/>
    </row>
    <row r="9" spans="1:15" s="105" customFormat="1" ht="45.75" customHeight="1" thickBot="1" x14ac:dyDescent="0.3">
      <c r="A9" s="447" t="s">
        <v>60</v>
      </c>
      <c r="B9" s="447"/>
      <c r="C9" s="179" t="s">
        <v>231</v>
      </c>
      <c r="D9" s="167" t="s">
        <v>5</v>
      </c>
      <c r="E9" s="175">
        <f>IF(D9=$N$6,1,IF(D9=$N$5,2,IF(D9=$N$4,3,IF(D9=$N$3,4,"n/a"))))</f>
        <v>3</v>
      </c>
      <c r="F9" s="504" t="s">
        <v>228</v>
      </c>
      <c r="G9" s="505"/>
      <c r="H9" s="504"/>
      <c r="I9" s="504"/>
      <c r="J9" s="504"/>
      <c r="K9" s="504"/>
      <c r="L9" s="376"/>
      <c r="N9" s="119"/>
    </row>
    <row r="10" spans="1:15" s="105" customFormat="1" ht="28.5" customHeight="1" thickBot="1" x14ac:dyDescent="0.3">
      <c r="A10" s="476"/>
      <c r="B10" s="477"/>
      <c r="C10" s="183" t="s">
        <v>24</v>
      </c>
      <c r="D10" s="90" t="str">
        <f>IF(E10&lt;1.5,$N$6,IF(E10&lt;2.5,$N$5,IF(E10&lt;3.5,$N$4,IF(E10&lt;4.5,$N$3,"n/a"))))</f>
        <v>Substantial</v>
      </c>
      <c r="E10" s="250">
        <f>IF(COUNT(E5:E9)=0,"n/a",AVERAGE(E5:E9))</f>
        <v>3</v>
      </c>
      <c r="F10" s="49">
        <f>E10</f>
        <v>3</v>
      </c>
      <c r="G10" s="216"/>
      <c r="H10" s="50" t="s">
        <v>23</v>
      </c>
      <c r="I10" s="26" t="str">
        <f>D10</f>
        <v>Substantial</v>
      </c>
      <c r="J10" s="91">
        <f>IF(I10=$N$7,"n/a",IF(AND(I10=$N$5,D10=$N$6),1.5,IF(AND(I10=$N$4,D10=$N$5),2.5,IF(AND(I10=$N$3,D10=$N$4),3.5,IF(AND(I10=$N$6,D10=$N$5),1.49,IF(AND(I10=$N$5,D10=$N$4),2.49,IF(AND(I10=$N$4,D10=$N$3),3.49,E10)))))))</f>
        <v>3</v>
      </c>
      <c r="K10" s="92" t="s">
        <v>92</v>
      </c>
      <c r="L10" s="377"/>
      <c r="N10" s="16"/>
    </row>
    <row r="11" spans="1:15" s="105" customFormat="1" ht="20.25" customHeight="1" thickBot="1" x14ac:dyDescent="0.3">
      <c r="A11" s="121" t="s">
        <v>29</v>
      </c>
      <c r="B11" s="122"/>
      <c r="C11" s="180"/>
      <c r="D11" s="123"/>
      <c r="E11" s="123"/>
      <c r="F11" s="123"/>
      <c r="G11" s="123"/>
      <c r="H11" s="123"/>
      <c r="I11" s="123"/>
      <c r="J11" s="123"/>
      <c r="K11" s="123"/>
      <c r="L11" s="376"/>
      <c r="N11" s="16"/>
    </row>
    <row r="12" spans="1:15" ht="45.75" customHeight="1" x14ac:dyDescent="0.25">
      <c r="A12" s="445" t="s">
        <v>191</v>
      </c>
      <c r="B12" s="445"/>
      <c r="C12" s="37" t="s">
        <v>230</v>
      </c>
      <c r="D12" s="166" t="s">
        <v>4</v>
      </c>
      <c r="E12" s="177">
        <f>IF(D12=$N$6,1,IF(D12=$N$5,2,IF(D12=$N$4,3,IF(D12=$N$3,4,"n/a"))))</f>
        <v>4</v>
      </c>
      <c r="F12" s="475" t="s">
        <v>235</v>
      </c>
      <c r="G12" s="475"/>
      <c r="H12" s="475"/>
      <c r="I12" s="475"/>
      <c r="J12" s="475"/>
      <c r="K12" s="475"/>
      <c r="L12" s="378" t="s">
        <v>97</v>
      </c>
      <c r="N12" s="16"/>
    </row>
    <row r="13" spans="1:15" ht="43.5" customHeight="1" thickBot="1" x14ac:dyDescent="0.3">
      <c r="A13" s="481" t="s">
        <v>192</v>
      </c>
      <c r="B13" s="481"/>
      <c r="C13" s="184" t="s">
        <v>229</v>
      </c>
      <c r="D13" s="182" t="s">
        <v>4</v>
      </c>
      <c r="E13" s="178">
        <f>IF(D13=$N$6,1,IF(D13=$N$5,2,IF(D13=$N$4,3,IF(D13=$N$3,4,"n/a"))))</f>
        <v>4</v>
      </c>
      <c r="F13" s="488" t="s">
        <v>236</v>
      </c>
      <c r="G13" s="482"/>
      <c r="H13" s="482"/>
      <c r="I13" s="482"/>
      <c r="J13" s="482"/>
      <c r="K13" s="464"/>
      <c r="L13" s="378" t="s">
        <v>97</v>
      </c>
    </row>
    <row r="14" spans="1:15" s="108" customFormat="1" ht="28.5" customHeight="1" thickBot="1" x14ac:dyDescent="0.3">
      <c r="A14" s="476"/>
      <c r="B14" s="478"/>
      <c r="C14" s="183" t="s">
        <v>24</v>
      </c>
      <c r="D14" s="27" t="str">
        <f>IF(E14&lt;1.5,$N$6,IF(E14&lt;2.5,$N$5,IF(E14&lt;3.5,$N$4,IF(E14&lt;4.5,$N$3,"n/a"))))</f>
        <v>High</v>
      </c>
      <c r="E14" s="145">
        <f>IF(COUNT(E12:E13)=0,"n/a",AVERAGE(E12:E13))</f>
        <v>4</v>
      </c>
      <c r="F14" s="28">
        <f>E14</f>
        <v>4</v>
      </c>
      <c r="G14" s="216"/>
      <c r="H14" s="29" t="s">
        <v>23</v>
      </c>
      <c r="I14" s="26" t="str">
        <f>D14</f>
        <v>High</v>
      </c>
      <c r="J14" s="30">
        <f>IF(I14=$N$7,"n/a",IF(AND(I14=$N$5,D14=$N$6),1.5,IF(AND(I14=$N$4,D14=$N$5),2.5,IF(AND(I14=$N$3,D14=$N$4),3.5,IF(AND(I14=$N$6,D14=$N$5),1.49,IF(AND(I14=$N$5,D14=$N$4),2.49,IF(AND(I14=$N$4,D14=$N$3),3.49,E14)))))))</f>
        <v>4</v>
      </c>
      <c r="K14" s="181" t="s">
        <v>92</v>
      </c>
      <c r="L14" s="379"/>
      <c r="N14" s="16"/>
    </row>
    <row r="15" spans="1:15" ht="21.75" customHeight="1" x14ac:dyDescent="0.25">
      <c r="A15" s="397" t="s">
        <v>32</v>
      </c>
      <c r="B15" s="121"/>
      <c r="C15" s="121"/>
      <c r="D15" s="121"/>
      <c r="E15" s="121"/>
      <c r="F15" s="121"/>
      <c r="G15" s="121"/>
      <c r="H15" s="121"/>
      <c r="I15" s="121"/>
      <c r="J15" s="121"/>
      <c r="K15" s="121"/>
      <c r="L15" s="380"/>
      <c r="N15" s="16"/>
    </row>
    <row r="16" spans="1:15" ht="46.5" customHeight="1" thickBot="1" x14ac:dyDescent="0.3">
      <c r="A16" s="447" t="s">
        <v>193</v>
      </c>
      <c r="B16" s="447"/>
      <c r="C16" s="184" t="s">
        <v>233</v>
      </c>
      <c r="D16" s="167" t="s">
        <v>43</v>
      </c>
      <c r="E16" s="171">
        <f>IF(D16=$N$6,1,IF(D16=$N$5,2,IF(D16=$N$4,3,IF(D16=$N$3,4,"n/a"))))</f>
        <v>2</v>
      </c>
      <c r="F16" s="462" t="s">
        <v>234</v>
      </c>
      <c r="G16" s="482"/>
      <c r="H16" s="463"/>
      <c r="I16" s="463"/>
      <c r="J16" s="482"/>
      <c r="K16" s="464"/>
      <c r="L16" s="380"/>
    </row>
    <row r="17" spans="1:14" s="105" customFormat="1" ht="24.75" customHeight="1" thickBot="1" x14ac:dyDescent="0.3">
      <c r="A17" s="486"/>
      <c r="B17" s="487"/>
      <c r="C17" s="183" t="s">
        <v>24</v>
      </c>
      <c r="D17" s="27" t="str">
        <f>IF(E17&lt;1.5,$N$6,IF(E17&lt;2.5,$N$5,IF(E17&lt;3.5,$N$4,IF(E17&lt;4.5,$N$3,"n/a"))))</f>
        <v>Moderate/Low</v>
      </c>
      <c r="E17" s="145">
        <f>IF(COUNT(E16)=0,"n/a",AVERAGE(E16))</f>
        <v>2</v>
      </c>
      <c r="F17" s="28">
        <f>E17</f>
        <v>2</v>
      </c>
      <c r="G17" s="216"/>
      <c r="H17" s="29" t="s">
        <v>23</v>
      </c>
      <c r="I17" s="26" t="str">
        <f>D17</f>
        <v>Moderate/Low</v>
      </c>
      <c r="J17" s="30">
        <f>IF(I17=$N$7,"n/a",IF(AND(I17=$N$5,D17=$N$6),1.5,IF(AND(I17=$N$4,D17=$N$5),2.5,IF(AND(I17=$N$3,D17=$N$4),3.5,IF(AND(I17=$N$6,D17=$N$5),1.49,IF(AND(I17=$N$5,D17=$N$4),2.49,IF(AND(I17=$N$4,D17=$N$3),3.49,E17)))))))</f>
        <v>2</v>
      </c>
      <c r="K17" s="181" t="s">
        <v>92</v>
      </c>
      <c r="L17" s="376"/>
      <c r="N17" s="107"/>
    </row>
    <row r="18" spans="1:14" s="124" customFormat="1" ht="21" customHeight="1" x14ac:dyDescent="0.25">
      <c r="A18" s="121" t="s">
        <v>70</v>
      </c>
      <c r="B18" s="121"/>
      <c r="C18" s="121"/>
      <c r="D18" s="121"/>
      <c r="E18" s="121"/>
      <c r="F18" s="121"/>
      <c r="G18" s="121"/>
      <c r="H18" s="121"/>
      <c r="I18" s="121"/>
      <c r="J18" s="121"/>
      <c r="K18" s="121"/>
      <c r="L18" s="380"/>
      <c r="N18" s="16"/>
    </row>
    <row r="19" spans="1:14" s="124" customFormat="1" ht="45.45" customHeight="1" x14ac:dyDescent="0.25">
      <c r="A19" s="445" t="s">
        <v>74</v>
      </c>
      <c r="B19" s="445"/>
      <c r="C19" s="37" t="s">
        <v>237</v>
      </c>
      <c r="D19" s="48" t="s">
        <v>5</v>
      </c>
      <c r="E19" s="163">
        <f>IF(D19=$N$6,1,IF(D19=$N$5,2,IF(D19=$N$4,3,IF(D19=$N$3,4,"n/a"))))</f>
        <v>3</v>
      </c>
      <c r="F19" s="462" t="s">
        <v>238</v>
      </c>
      <c r="G19" s="463"/>
      <c r="H19" s="463"/>
      <c r="I19" s="463"/>
      <c r="J19" s="463"/>
      <c r="K19" s="464"/>
      <c r="L19" s="378" t="s">
        <v>97</v>
      </c>
      <c r="N19" s="16"/>
    </row>
    <row r="20" spans="1:14" s="124" customFormat="1" ht="33" customHeight="1" thickBot="1" x14ac:dyDescent="0.3">
      <c r="A20" s="481" t="s">
        <v>71</v>
      </c>
      <c r="B20" s="481"/>
      <c r="C20" s="184" t="s">
        <v>239</v>
      </c>
      <c r="D20" s="176" t="s">
        <v>5</v>
      </c>
      <c r="E20" s="175">
        <f>IF(D20=$N$6,1,IF(D20=$N$5,2,IF(D20=$N$4,3,IF(D20=$N$3,4,"n/a"))))</f>
        <v>3</v>
      </c>
      <c r="F20" s="448" t="s">
        <v>240</v>
      </c>
      <c r="G20" s="482"/>
      <c r="H20" s="449"/>
      <c r="I20" s="449"/>
      <c r="J20" s="449"/>
      <c r="K20" s="450"/>
      <c r="L20" s="381"/>
      <c r="N20" s="16"/>
    </row>
    <row r="21" spans="1:14" s="105" customFormat="1" ht="29.25" customHeight="1" thickBot="1" x14ac:dyDescent="0.3">
      <c r="A21" s="476"/>
      <c r="B21" s="478"/>
      <c r="C21" s="183" t="s">
        <v>24</v>
      </c>
      <c r="D21" s="27" t="str">
        <f>IF(E21&lt;1.5,$N$6,IF(E21&lt;2.5,$N$5,IF(E21&lt;3.5,$N$4,IF(E21&lt;4.5,$N$3,"n/a"))))</f>
        <v>Substantial</v>
      </c>
      <c r="E21" s="145">
        <f>IF(COUNT(E19:E20)=0,"n/a",AVERAGE(E19:E20))</f>
        <v>3</v>
      </c>
      <c r="F21" s="28">
        <f>E21</f>
        <v>3</v>
      </c>
      <c r="G21" s="216"/>
      <c r="H21" s="29" t="s">
        <v>23</v>
      </c>
      <c r="I21" s="26" t="str">
        <f>D21</f>
        <v>Substantial</v>
      </c>
      <c r="J21" s="91">
        <f>IF(I21=$N$7,"n/a",IF(AND(I21=$N$5,D21=$N$6),1.5,IF(AND(I21=$N$4,D21=$N$5),2.5,IF(AND(I21=$N$3,D21=$N$4),3.5,IF(AND(I21=$N$6,D21=$N$5),1.49,IF(AND(I21=$N$5,D21=$N$4),2.49,IF(AND(I21=$N$4,D21=$N$3),3.49,E21)))))))</f>
        <v>3</v>
      </c>
      <c r="K21" s="89" t="s">
        <v>92</v>
      </c>
      <c r="L21" s="382"/>
    </row>
    <row r="22" spans="1:14" s="105" customFormat="1" ht="22.5" customHeight="1" thickBot="1" x14ac:dyDescent="0.3">
      <c r="A22" s="125" t="s">
        <v>218</v>
      </c>
      <c r="B22" s="126"/>
      <c r="C22" s="126"/>
      <c r="D22" s="127"/>
      <c r="E22" s="127"/>
      <c r="F22" s="127"/>
      <c r="G22" s="127"/>
      <c r="H22" s="127"/>
      <c r="I22" s="127"/>
      <c r="J22" s="127"/>
      <c r="K22" s="127"/>
      <c r="L22" s="376"/>
    </row>
    <row r="23" spans="1:14" ht="21.75" customHeight="1" thickBot="1" x14ac:dyDescent="0.3">
      <c r="A23" s="128" t="s">
        <v>45</v>
      </c>
      <c r="B23" s="129"/>
      <c r="C23" s="129"/>
      <c r="D23" s="129"/>
      <c r="E23" s="129"/>
      <c r="F23" s="129"/>
      <c r="G23" s="129"/>
      <c r="H23" s="129"/>
      <c r="I23" s="129"/>
      <c r="J23" s="129"/>
      <c r="K23" s="129"/>
      <c r="L23" s="378" t="s">
        <v>97</v>
      </c>
    </row>
    <row r="24" spans="1:14" ht="54" customHeight="1" x14ac:dyDescent="0.25">
      <c r="A24" s="473" t="s">
        <v>46</v>
      </c>
      <c r="B24" s="474"/>
      <c r="C24" s="173" t="s">
        <v>241</v>
      </c>
      <c r="D24" s="164" t="s">
        <v>43</v>
      </c>
      <c r="E24" s="174">
        <f>IF(D24=$N$6,1,IF(D24=$N$5,2,IF(D24=$N$4,3,IF(D24=$N$3,4,"n/a"))))</f>
        <v>2</v>
      </c>
      <c r="F24" s="475" t="s">
        <v>243</v>
      </c>
      <c r="G24" s="475"/>
      <c r="H24" s="475"/>
      <c r="I24" s="475"/>
      <c r="J24" s="475"/>
      <c r="K24" s="475"/>
      <c r="L24" s="378" t="s">
        <v>97</v>
      </c>
    </row>
    <row r="25" spans="1:14" ht="73.5" customHeight="1" thickBot="1" x14ac:dyDescent="0.3">
      <c r="A25" s="484" t="s">
        <v>63</v>
      </c>
      <c r="B25" s="485"/>
      <c r="C25" s="185" t="s">
        <v>241</v>
      </c>
      <c r="D25" s="165" t="s">
        <v>43</v>
      </c>
      <c r="E25" s="175">
        <f>IF(D25=$N$6,1,IF(D25=$N$5,2,IF(D25=$N$4,3,IF(D25=$N$3,4,"n/a"))))</f>
        <v>2</v>
      </c>
      <c r="F25" s="448" t="s">
        <v>242</v>
      </c>
      <c r="G25" s="449"/>
      <c r="H25" s="449"/>
      <c r="I25" s="449"/>
      <c r="J25" s="449"/>
      <c r="K25" s="450"/>
      <c r="L25" s="380"/>
    </row>
    <row r="26" spans="1:14" ht="35.25" customHeight="1" thickBot="1" x14ac:dyDescent="0.3">
      <c r="A26" s="509"/>
      <c r="B26" s="510"/>
      <c r="C26" s="40" t="s">
        <v>24</v>
      </c>
      <c r="D26" s="27" t="str">
        <f>IF(E26&lt;1.5,"Low",IF(E26&lt;2.5,"Moderate",IF(E26&lt;3.5,"Substantial",IF(E26&lt;4.5,"High","n/a"))))</f>
        <v>Moderate</v>
      </c>
      <c r="E26" s="145">
        <f>IF(COUNT(E24:E25)=0,"n/a",AVERAGE(E24:E25))</f>
        <v>2</v>
      </c>
      <c r="F26" s="49">
        <f>E26</f>
        <v>2</v>
      </c>
      <c r="G26" s="216"/>
      <c r="H26" s="50" t="s">
        <v>23</v>
      </c>
      <c r="I26" s="26" t="str">
        <f>D26</f>
        <v>Moderate</v>
      </c>
      <c r="J26" s="91">
        <f>IF(I26=$N$7,"n/a",IF(AND(I26=$N$5,D26=$N$6),1.5,IF(AND(I26=$N$4,D26=$N$5),2.5,IF(AND(I26=$N$3,D26=$N$4),3.5,IF(AND(I26=$N$6,D26=$N$5),1.49,IF(AND(I26=$N$5,D26=$N$4),2.49,IF(AND(I26=$N$4,D26=$N$3),3.49,E26)))))))</f>
        <v>2</v>
      </c>
      <c r="K26" s="326" t="s">
        <v>92</v>
      </c>
      <c r="L26" s="380"/>
    </row>
    <row r="27" spans="1:14" ht="20.25" customHeight="1" thickBot="1" x14ac:dyDescent="0.3">
      <c r="A27" s="130" t="s">
        <v>49</v>
      </c>
      <c r="B27" s="131"/>
      <c r="C27" s="132"/>
      <c r="D27" s="133"/>
      <c r="E27" s="133"/>
      <c r="F27" s="133"/>
      <c r="G27" s="133"/>
      <c r="H27" s="133"/>
      <c r="I27" s="133"/>
      <c r="J27" s="133"/>
      <c r="K27" s="133"/>
      <c r="L27" s="380"/>
    </row>
    <row r="28" spans="1:14" ht="30.75" customHeight="1" x14ac:dyDescent="0.25">
      <c r="A28" s="496" t="s">
        <v>66</v>
      </c>
      <c r="B28" s="480"/>
      <c r="C28" s="41" t="s">
        <v>241</v>
      </c>
      <c r="D28" s="166" t="s">
        <v>43</v>
      </c>
      <c r="E28" s="177">
        <f>IF(D28=$N$6,1,IF(D28=$N$5,2,IF(D28=$N$4,3,IF(D28=$N$3,4,"n/a"))))</f>
        <v>2</v>
      </c>
      <c r="F28" s="497" t="s">
        <v>244</v>
      </c>
      <c r="G28" s="498"/>
      <c r="H28" s="498"/>
      <c r="I28" s="498"/>
      <c r="J28" s="498"/>
      <c r="K28" s="499"/>
      <c r="L28" s="380"/>
    </row>
    <row r="29" spans="1:14" ht="50.25" customHeight="1" x14ac:dyDescent="0.25">
      <c r="A29" s="496" t="s">
        <v>47</v>
      </c>
      <c r="B29" s="480"/>
      <c r="C29" s="41" t="s">
        <v>245</v>
      </c>
      <c r="D29" s="48" t="s">
        <v>5</v>
      </c>
      <c r="E29" s="163">
        <f>IF(D29=$N$6,1,IF(D29=$N$5,2,IF(D29=$N$4,3,IF(D29=$N$3,4,"n/a"))))</f>
        <v>3</v>
      </c>
      <c r="F29" s="462" t="s">
        <v>246</v>
      </c>
      <c r="G29" s="463"/>
      <c r="H29" s="463"/>
      <c r="I29" s="463"/>
      <c r="J29" s="463"/>
      <c r="K29" s="464"/>
      <c r="L29" s="380"/>
    </row>
    <row r="30" spans="1:14" s="134" customFormat="1" ht="56.25" customHeight="1" x14ac:dyDescent="0.25">
      <c r="A30" s="496" t="s">
        <v>61</v>
      </c>
      <c r="B30" s="480"/>
      <c r="C30" s="41" t="s">
        <v>245</v>
      </c>
      <c r="D30" s="48" t="s">
        <v>4</v>
      </c>
      <c r="E30" s="163">
        <f>IF(D30=$N$6,1,IF(D30=$N$5,2,IF(D30=$N$4,3,IF(D30=$N$3,4,"n/a"))))</f>
        <v>4</v>
      </c>
      <c r="F30" s="483" t="s">
        <v>285</v>
      </c>
      <c r="G30" s="483"/>
      <c r="H30" s="483"/>
      <c r="I30" s="483"/>
      <c r="J30" s="483"/>
      <c r="K30" s="483"/>
      <c r="L30" s="376"/>
    </row>
    <row r="31" spans="1:14" s="105" customFormat="1" ht="36" customHeight="1" thickBot="1" x14ac:dyDescent="0.3">
      <c r="A31" s="514" t="s">
        <v>62</v>
      </c>
      <c r="B31" s="515"/>
      <c r="C31" s="185"/>
      <c r="D31" s="167" t="s">
        <v>19</v>
      </c>
      <c r="E31" s="172" t="str">
        <f>IF(D31=$N$6,1,IF(D31=$N$5,2,IF(D31=$N$4,3,IF(D31=$N$3,4,"n/a"))))</f>
        <v>n/a</v>
      </c>
      <c r="F31" s="488" t="s">
        <v>16</v>
      </c>
      <c r="G31" s="482"/>
      <c r="H31" s="482"/>
      <c r="I31" s="482"/>
      <c r="J31" s="482"/>
      <c r="K31" s="489"/>
      <c r="L31" s="378" t="s">
        <v>97</v>
      </c>
    </row>
    <row r="32" spans="1:14" s="105" customFormat="1" ht="25.5" customHeight="1" thickBot="1" x14ac:dyDescent="0.3">
      <c r="A32" s="188"/>
      <c r="B32" s="189"/>
      <c r="C32" s="40" t="s">
        <v>24</v>
      </c>
      <c r="D32" s="27" t="str">
        <f>IF(E32&lt;1.5,"Low",IF(E32&lt;2.5,"Moderate",IF(E32&lt;3.5,"Substantial",IF(E32&lt;4.5,"High","n/a"))))</f>
        <v>Substantial</v>
      </c>
      <c r="E32" s="145">
        <f>IF(COUNT(E28:E31)=0,"n/a",AVERAGE(E28:E31))</f>
        <v>3</v>
      </c>
      <c r="F32" s="28">
        <f>E32</f>
        <v>3</v>
      </c>
      <c r="G32" s="216"/>
      <c r="H32" s="29" t="s">
        <v>23</v>
      </c>
      <c r="I32" s="26" t="str">
        <f>D32</f>
        <v>Substantial</v>
      </c>
      <c r="J32" s="30">
        <f>IF(I32=$N$7,"n/a",IF(AND(I32=$N$5,D32=$N$6),1.5,IF(AND(I32=$N$4,D32=$N$5),2.5,IF(AND(I32=$N$3,D32=$N$4),3.5,IF(AND(I32=$N$6,D32=$N$5),1.49,IF(AND(I32=$N$5,D32=$N$4),2.49,IF(AND(I32=$N$4,D32=$N$3),3.49,E32)))))))</f>
        <v>3</v>
      </c>
      <c r="K32" s="181" t="s">
        <v>92</v>
      </c>
      <c r="L32" s="376"/>
    </row>
    <row r="33" spans="1:12" s="105" customFormat="1" ht="25.5" customHeight="1" thickBot="1" x14ac:dyDescent="0.3">
      <c r="A33" s="186" t="s">
        <v>50</v>
      </c>
      <c r="B33" s="187"/>
      <c r="C33" s="187"/>
      <c r="D33" s="187"/>
      <c r="E33" s="187"/>
      <c r="F33" s="187"/>
      <c r="G33" s="187"/>
      <c r="H33" s="187"/>
      <c r="I33" s="187"/>
      <c r="J33" s="187"/>
      <c r="K33" s="187"/>
      <c r="L33" s="376"/>
    </row>
    <row r="34" spans="1:12" s="105" customFormat="1" ht="45.75" customHeight="1" x14ac:dyDescent="0.25">
      <c r="A34" s="467" t="s">
        <v>51</v>
      </c>
      <c r="B34" s="468"/>
      <c r="C34" s="47" t="s">
        <v>247</v>
      </c>
      <c r="D34" s="48" t="s">
        <v>5</v>
      </c>
      <c r="E34" s="118">
        <f>IF(D34=$N$6,1,IF(D34=$N$5,2,IF(D34=$N$4,3,IF(D34=$N$3,4,"n/a"))))</f>
        <v>3</v>
      </c>
      <c r="F34" s="475" t="s">
        <v>248</v>
      </c>
      <c r="G34" s="475"/>
      <c r="H34" s="475"/>
      <c r="I34" s="475"/>
      <c r="J34" s="475"/>
      <c r="K34" s="475"/>
      <c r="L34" s="378" t="s">
        <v>97</v>
      </c>
    </row>
    <row r="35" spans="1:12" s="105" customFormat="1" ht="33" customHeight="1" x14ac:dyDescent="0.25">
      <c r="A35" s="479" t="s">
        <v>52</v>
      </c>
      <c r="B35" s="480"/>
      <c r="C35" s="47"/>
      <c r="D35" s="168" t="s">
        <v>19</v>
      </c>
      <c r="E35" s="118" t="str">
        <f>IF(D35=$N$6,1,IF(D35=$N$5,2,IF(D35=$N$4,3,IF(D35=$N$3,4,"n/a"))))</f>
        <v>n/a</v>
      </c>
      <c r="F35" s="462" t="s">
        <v>16</v>
      </c>
      <c r="G35" s="463"/>
      <c r="H35" s="463"/>
      <c r="I35" s="463"/>
      <c r="J35" s="463"/>
      <c r="K35" s="464"/>
      <c r="L35" s="376"/>
    </row>
    <row r="36" spans="1:12" s="105" customFormat="1" ht="60.75" customHeight="1" x14ac:dyDescent="0.25">
      <c r="A36" s="467" t="s">
        <v>68</v>
      </c>
      <c r="B36" s="468"/>
      <c r="C36" s="47"/>
      <c r="D36" s="168" t="s">
        <v>19</v>
      </c>
      <c r="E36" s="118" t="str">
        <f>IF(D36=$N$6,1,IF(D36=$N$5,2,IF(D36=$N$4,3,IF(D36=$N$3,4,"n/a"))))</f>
        <v>n/a</v>
      </c>
      <c r="F36" s="462" t="s">
        <v>16</v>
      </c>
      <c r="G36" s="463"/>
      <c r="H36" s="463"/>
      <c r="I36" s="463"/>
      <c r="J36" s="463"/>
      <c r="K36" s="464"/>
      <c r="L36" s="376"/>
    </row>
    <row r="37" spans="1:12" s="105" customFormat="1" ht="60.75" customHeight="1" thickBot="1" x14ac:dyDescent="0.3">
      <c r="A37" s="500" t="s">
        <v>69</v>
      </c>
      <c r="B37" s="501"/>
      <c r="C37" s="190" t="s">
        <v>247</v>
      </c>
      <c r="D37" s="167" t="s">
        <v>5</v>
      </c>
      <c r="E37" s="171">
        <f>IF(D37=$N$6,1,IF(D37=$N$5,2,IF(D37=$N$4,3,IF(D37=$N$3,4,"n/a"))))</f>
        <v>3</v>
      </c>
      <c r="F37" s="502" t="s">
        <v>249</v>
      </c>
      <c r="G37" s="483"/>
      <c r="H37" s="483"/>
      <c r="I37" s="483"/>
      <c r="J37" s="483"/>
      <c r="K37" s="503"/>
      <c r="L37" s="376"/>
    </row>
    <row r="38" spans="1:12" s="105" customFormat="1" ht="25.5" customHeight="1" thickBot="1" x14ac:dyDescent="0.3">
      <c r="A38" s="42"/>
      <c r="B38" s="43"/>
      <c r="C38" s="44" t="s">
        <v>24</v>
      </c>
      <c r="D38" s="27" t="str">
        <f>IF(E38&lt;1.5,"Low",IF(E38&lt;2.5,"Moderate",IF(E38&lt;3.5,"Substantial",IF(E38&lt;4.5,"High","n/a"))))</f>
        <v>Substantial</v>
      </c>
      <c r="E38" s="145">
        <f>IF(COUNT(E34:E37)=0,"n/a",AVERAGE(E34:E37))</f>
        <v>3</v>
      </c>
      <c r="F38" s="28">
        <f>E38</f>
        <v>3</v>
      </c>
      <c r="G38" s="216"/>
      <c r="H38" s="29" t="s">
        <v>23</v>
      </c>
      <c r="I38" s="26" t="str">
        <f>D38</f>
        <v>Substantial</v>
      </c>
      <c r="J38" s="30">
        <f>IF(I38=$N$7,"n/a",IF(AND(I38=$N$5,D38=$N$6),1.5,IF(AND(I38=$N$4,D38=$N$5),2.5,IF(AND(I38=$N$3,D38=$N$4),3.5,IF(AND(I38=$N$6,D38=$N$5),1.49,IF(AND(I38=$N$5,D38=$N$4),2.49,IF(AND(I38=$N$4,D38=$N$3),3.49,E38)))))))</f>
        <v>3</v>
      </c>
      <c r="K38" s="181" t="s">
        <v>92</v>
      </c>
      <c r="L38" s="376"/>
    </row>
    <row r="39" spans="1:12" s="124" customFormat="1" ht="22.5" customHeight="1" thickBot="1" x14ac:dyDescent="0.3">
      <c r="A39" s="31" t="s">
        <v>219</v>
      </c>
      <c r="B39" s="32"/>
      <c r="C39" s="33"/>
      <c r="D39" s="35"/>
      <c r="E39" s="35"/>
      <c r="F39" s="34"/>
      <c r="G39" s="135"/>
      <c r="H39" s="35"/>
      <c r="I39" s="35"/>
      <c r="J39" s="34"/>
      <c r="K39" s="136"/>
      <c r="L39" s="380"/>
    </row>
    <row r="40" spans="1:12" s="124" customFormat="1" ht="22.5" customHeight="1" x14ac:dyDescent="0.25">
      <c r="A40" s="137" t="s">
        <v>34</v>
      </c>
      <c r="B40" s="138"/>
      <c r="C40" s="138"/>
      <c r="D40" s="138"/>
      <c r="E40" s="138"/>
      <c r="F40" s="138"/>
      <c r="G40" s="138"/>
      <c r="H40" s="138"/>
      <c r="I40" s="138"/>
      <c r="J40" s="138"/>
      <c r="K40" s="138"/>
      <c r="L40" s="380"/>
    </row>
    <row r="41" spans="1:12" s="105" customFormat="1" ht="33.75" customHeight="1" x14ac:dyDescent="0.25">
      <c r="A41" s="458" t="s">
        <v>42</v>
      </c>
      <c r="B41" s="458"/>
      <c r="C41" s="38" t="s">
        <v>250</v>
      </c>
      <c r="D41" s="48" t="s">
        <v>5</v>
      </c>
      <c r="E41" s="163">
        <f>IF(D41=$N$6,1,IF(D41=$N$5,2,IF(D41=$N$4,3,IF(D41=$N$3,4,"n/a"))))</f>
        <v>3</v>
      </c>
      <c r="F41" s="482" t="s">
        <v>257</v>
      </c>
      <c r="G41" s="482"/>
      <c r="H41" s="482"/>
      <c r="I41" s="482"/>
      <c r="J41" s="482"/>
      <c r="K41" s="482"/>
      <c r="L41" s="378" t="s">
        <v>97</v>
      </c>
    </row>
    <row r="42" spans="1:12" s="105" customFormat="1" ht="44.25" customHeight="1" thickBot="1" x14ac:dyDescent="0.3">
      <c r="A42" s="491" t="s">
        <v>141</v>
      </c>
      <c r="B42" s="492"/>
      <c r="C42" s="191" t="s">
        <v>250</v>
      </c>
      <c r="D42" s="48" t="s">
        <v>5</v>
      </c>
      <c r="E42" s="163">
        <f>IF(D42=$N$6,1,IF(D42=$N$5,2,IF(D42=$N$4,3,IF(D42=$N$3,4,"n/a"))))</f>
        <v>3</v>
      </c>
      <c r="F42" s="482" t="s">
        <v>251</v>
      </c>
      <c r="G42" s="482"/>
      <c r="H42" s="482"/>
      <c r="I42" s="482"/>
      <c r="J42" s="482"/>
      <c r="K42" s="489"/>
      <c r="L42" s="376"/>
    </row>
    <row r="43" spans="1:12" s="124" customFormat="1" ht="30" customHeight="1" thickBot="1" x14ac:dyDescent="0.3">
      <c r="A43" s="490"/>
      <c r="B43" s="460"/>
      <c r="C43" s="36" t="s">
        <v>24</v>
      </c>
      <c r="D43" s="27" t="str">
        <f>IF(E43&lt;1.5,"Low",IF(E43&lt;2.5,"Moderate",IF(E43&lt;3.5,"Substantial",IF(E43&lt;4.5,"High","n/a"))))</f>
        <v>Substantial</v>
      </c>
      <c r="E43" s="145">
        <f>IF(COUNT(E41:E42)=0,"n/a",AVERAGE(E41:E42))</f>
        <v>3</v>
      </c>
      <c r="F43" s="28">
        <f>E43</f>
        <v>3</v>
      </c>
      <c r="G43" s="216"/>
      <c r="H43" s="29" t="s">
        <v>23</v>
      </c>
      <c r="I43" s="26" t="str">
        <f>D43</f>
        <v>Substantial</v>
      </c>
      <c r="J43" s="30">
        <f>IF(I43=$N$7,"n/a",IF(AND(I43=$N$5,D43=$N$6),1.5,IF(AND(I43=$N$4,D43=$N$5),2.5,IF(AND(I43=$N$3,D43=$N$4),3.5,IF(AND(I43=$N$6,D43=$N$5),1.49,IF(AND(I43=$N$5,D43=$N$4),2.49,IF(AND(I43=$N$4,D43=$N$3),3.49,E43)))))))</f>
        <v>3</v>
      </c>
      <c r="K43" s="192" t="s">
        <v>92</v>
      </c>
      <c r="L43" s="383"/>
    </row>
    <row r="44" spans="1:12" s="124" customFormat="1" ht="18" customHeight="1" thickBot="1" x14ac:dyDescent="0.3">
      <c r="A44" s="139" t="s">
        <v>35</v>
      </c>
      <c r="B44" s="140"/>
      <c r="C44" s="140"/>
      <c r="D44" s="141"/>
      <c r="E44" s="141"/>
      <c r="F44" s="141"/>
      <c r="G44" s="141"/>
      <c r="H44" s="141"/>
      <c r="I44" s="141"/>
      <c r="J44" s="141"/>
      <c r="K44" s="141"/>
      <c r="L44" s="380"/>
    </row>
    <row r="45" spans="1:12" s="105" customFormat="1" ht="30.75" customHeight="1" x14ac:dyDescent="0.25">
      <c r="A45" s="458" t="s">
        <v>142</v>
      </c>
      <c r="B45" s="459"/>
      <c r="C45" s="38" t="s">
        <v>258</v>
      </c>
      <c r="D45" s="48" t="s">
        <v>43</v>
      </c>
      <c r="E45" s="163">
        <f>IF(D45=$N$6,1,IF(D45=$N$5,2,IF(D45=$N$4,3,IF(D45=$N$3,4,"n/a"))))</f>
        <v>2</v>
      </c>
      <c r="F45" s="497" t="s">
        <v>253</v>
      </c>
      <c r="G45" s="498"/>
      <c r="H45" s="498"/>
      <c r="I45" s="498"/>
      <c r="J45" s="498"/>
      <c r="K45" s="499"/>
      <c r="L45" s="376"/>
    </row>
    <row r="46" spans="1:12" s="105" customFormat="1" ht="30" customHeight="1" x14ac:dyDescent="0.25">
      <c r="A46" s="493" t="s">
        <v>40</v>
      </c>
      <c r="B46" s="494"/>
      <c r="C46" s="38" t="s">
        <v>258</v>
      </c>
      <c r="D46" s="48" t="s">
        <v>43</v>
      </c>
      <c r="E46" s="163">
        <f>IF(D46=$N$6,1,IF(D46=$N$5,2,IF(D46=$N$4,3,IF(D46=$N$3,4,"n/a"))))</f>
        <v>2</v>
      </c>
      <c r="F46" s="495" t="s">
        <v>254</v>
      </c>
      <c r="G46" s="495"/>
      <c r="H46" s="495"/>
      <c r="I46" s="495"/>
      <c r="J46" s="495"/>
      <c r="K46" s="495"/>
      <c r="L46" s="376"/>
    </row>
    <row r="47" spans="1:12" s="105" customFormat="1" ht="25.95" customHeight="1" x14ac:dyDescent="0.25">
      <c r="A47" s="493" t="s">
        <v>144</v>
      </c>
      <c r="B47" s="494"/>
      <c r="C47" s="38" t="s">
        <v>258</v>
      </c>
      <c r="D47" s="48" t="s">
        <v>5</v>
      </c>
      <c r="E47" s="163">
        <f>IF(D47=$N$6,1,IF(D47=$N$5,2,IF(D47=$N$4,3,IF(D47=$N$3,4,"n/a"))))</f>
        <v>3</v>
      </c>
      <c r="F47" s="463" t="s">
        <v>255</v>
      </c>
      <c r="G47" s="463"/>
      <c r="H47" s="463"/>
      <c r="I47" s="463"/>
      <c r="J47" s="463"/>
      <c r="K47" s="463"/>
      <c r="L47" s="376"/>
    </row>
    <row r="48" spans="1:12" s="105" customFormat="1" ht="31.5" customHeight="1" thickBot="1" x14ac:dyDescent="0.3">
      <c r="A48" s="491" t="s">
        <v>145</v>
      </c>
      <c r="B48" s="492"/>
      <c r="C48" s="193" t="s">
        <v>258</v>
      </c>
      <c r="D48" s="167" t="s">
        <v>5</v>
      </c>
      <c r="E48" s="163">
        <f>IF(D48=$N$6,1,IF(D48=$N$5,2,IF(D48=$N$4,3,IF(D48=$N$3,4,"n/a"))))</f>
        <v>3</v>
      </c>
      <c r="F48" s="448" t="s">
        <v>256</v>
      </c>
      <c r="G48" s="449"/>
      <c r="H48" s="449"/>
      <c r="I48" s="449"/>
      <c r="J48" s="449"/>
      <c r="K48" s="450"/>
      <c r="L48" s="376"/>
    </row>
    <row r="49" spans="1:19" s="124" customFormat="1" ht="32.25" customHeight="1" thickBot="1" x14ac:dyDescent="0.3">
      <c r="A49" s="460"/>
      <c r="B49" s="461"/>
      <c r="C49" s="36" t="s">
        <v>24</v>
      </c>
      <c r="D49" s="27" t="str">
        <f>IF(E49&lt;1.5,"Low",IF(E49&lt;2.5,"Moderate",IF(E49&lt;3.5,"Substantial",IF(E49&lt;4.5,"High","n/a"))))</f>
        <v>Substantial</v>
      </c>
      <c r="E49" s="145">
        <f>IF(COUNT(E45:E48)=0,"n/a",AVERAGE(E45:E48))</f>
        <v>2.5</v>
      </c>
      <c r="F49" s="49">
        <f>E49</f>
        <v>2.5</v>
      </c>
      <c r="G49" s="216"/>
      <c r="H49" s="50" t="s">
        <v>23</v>
      </c>
      <c r="I49" s="325" t="str">
        <f>D49</f>
        <v>Substantial</v>
      </c>
      <c r="J49" s="91">
        <f>IF(I49=$N$7,"n/a",IF(AND(I49=$N$5,D49=$N$6),1.5,IF(AND(I49=$N$4,D49=$N$5),2.5,IF(AND(I49=$N$3,D49=$N$4),3.5,IF(AND(I49=$N$6,D49=$N$5),1.49,IF(AND(I49=$N$5,D49=$N$4),2.49,IF(AND(I49=$N$4,D49=$N$3),3.49,E49)))))))</f>
        <v>2.5</v>
      </c>
      <c r="K49" s="92" t="s">
        <v>92</v>
      </c>
      <c r="L49" s="380"/>
    </row>
    <row r="50" spans="1:19" s="124" customFormat="1" ht="22.5" customHeight="1" thickBot="1" x14ac:dyDescent="0.3">
      <c r="A50" s="142" t="s">
        <v>148</v>
      </c>
      <c r="B50" s="143"/>
      <c r="C50" s="169"/>
      <c r="D50" s="169"/>
      <c r="E50" s="170"/>
      <c r="F50" s="144"/>
      <c r="G50" s="144"/>
      <c r="H50" s="144"/>
      <c r="I50" s="144"/>
      <c r="J50" s="144"/>
      <c r="K50" s="144"/>
      <c r="L50" s="380"/>
    </row>
    <row r="51" spans="1:19" s="124" customFormat="1" ht="34.5" customHeight="1" x14ac:dyDescent="0.25">
      <c r="A51" s="506" t="s">
        <v>147</v>
      </c>
      <c r="B51" s="506"/>
      <c r="C51" s="193" t="s">
        <v>258</v>
      </c>
      <c r="D51" s="168" t="s">
        <v>43</v>
      </c>
      <c r="E51" s="162">
        <f>IF(D51=$N$6,1,IF(D51=$N$5,2,IF(D51=$N$4,3,IF(D51=$N$3,4,"n/a"))))</f>
        <v>2</v>
      </c>
      <c r="F51" s="497" t="s">
        <v>260</v>
      </c>
      <c r="G51" s="498"/>
      <c r="H51" s="498"/>
      <c r="I51" s="498"/>
      <c r="J51" s="498"/>
      <c r="K51" s="499"/>
      <c r="L51" s="380"/>
    </row>
    <row r="52" spans="1:19" s="124" customFormat="1" ht="34.5" customHeight="1" x14ac:dyDescent="0.25">
      <c r="A52" s="506" t="s">
        <v>143</v>
      </c>
      <c r="B52" s="506"/>
      <c r="C52" s="193" t="s">
        <v>258</v>
      </c>
      <c r="D52" s="168" t="s">
        <v>43</v>
      </c>
      <c r="E52" s="162">
        <f>IF(D52=$N$6,1,IF(D52=$N$5,2,IF(D52=$N$4,3,IF(D52=$N$3,4,"n/a"))))</f>
        <v>2</v>
      </c>
      <c r="F52" s="462" t="s">
        <v>259</v>
      </c>
      <c r="G52" s="463"/>
      <c r="H52" s="463"/>
      <c r="I52" s="463"/>
      <c r="J52" s="463"/>
      <c r="K52" s="464"/>
      <c r="L52" s="380"/>
    </row>
    <row r="53" spans="1:19" s="124" customFormat="1" ht="24.75" customHeight="1" x14ac:dyDescent="0.25">
      <c r="A53" s="458" t="s">
        <v>146</v>
      </c>
      <c r="B53" s="458"/>
      <c r="C53" s="38" t="s">
        <v>258</v>
      </c>
      <c r="D53" s="168" t="s">
        <v>43</v>
      </c>
      <c r="E53" s="162">
        <f>IF(D53=$N$6,1,IF(D53=$N$5,2,IF(D53=$N$4,3,IF(D53=$N$3,4,"n/a"))))</f>
        <v>2</v>
      </c>
      <c r="F53" s="507" t="s">
        <v>261</v>
      </c>
      <c r="G53" s="495"/>
      <c r="H53" s="495"/>
      <c r="I53" s="495"/>
      <c r="J53" s="495"/>
      <c r="K53" s="508"/>
      <c r="L53" s="380"/>
    </row>
    <row r="54" spans="1:19" s="124" customFormat="1" ht="31.95" customHeight="1" x14ac:dyDescent="0.25">
      <c r="A54" s="506" t="s">
        <v>149</v>
      </c>
      <c r="B54" s="506"/>
      <c r="C54" s="193" t="s">
        <v>252</v>
      </c>
      <c r="D54" s="48" t="s">
        <v>5</v>
      </c>
      <c r="E54" s="171">
        <f>IF(D54=$N$6,1,IF(D54=$N$5,2,IF(D54=$N$4,3,IF(D54=$N$3,4,"n/a"))))</f>
        <v>3</v>
      </c>
      <c r="F54" s="462" t="s">
        <v>262</v>
      </c>
      <c r="G54" s="482"/>
      <c r="H54" s="463"/>
      <c r="I54" s="463"/>
      <c r="J54" s="463"/>
      <c r="K54" s="464"/>
      <c r="L54" s="380"/>
    </row>
    <row r="55" spans="1:19" s="124" customFormat="1" ht="31.95" customHeight="1" thickBot="1" x14ac:dyDescent="0.3">
      <c r="A55" s="458" t="s">
        <v>150</v>
      </c>
      <c r="B55" s="458"/>
      <c r="C55" s="38" t="s">
        <v>258</v>
      </c>
      <c r="D55" s="168" t="s">
        <v>43</v>
      </c>
      <c r="E55" s="163">
        <f>IF(D55=$N$6,1,IF(D55=$N$5,2,IF(D55=$N$4,3,IF(D55=$N$3,4,"n/a"))))</f>
        <v>2</v>
      </c>
      <c r="F55" s="463" t="s">
        <v>300</v>
      </c>
      <c r="G55" s="463"/>
      <c r="H55" s="463"/>
      <c r="I55" s="463"/>
      <c r="J55" s="482"/>
      <c r="K55" s="463"/>
      <c r="L55" s="380"/>
    </row>
    <row r="56" spans="1:19" s="105" customFormat="1" ht="28.5" customHeight="1" thickBot="1" x14ac:dyDescent="0.3">
      <c r="A56" s="516"/>
      <c r="B56" s="517"/>
      <c r="C56" s="36" t="s">
        <v>24</v>
      </c>
      <c r="D56" s="27" t="str">
        <f>IF(E56&lt;1.5,"Low",IF(E56&lt;2.5,"Moderate",IF(E56&lt;3.5,"Substantial",IF(E56&lt;4.5,"High","n/a"))))</f>
        <v>Moderate</v>
      </c>
      <c r="E56" s="145">
        <f>IF(COUNT(E51:E55)=0,"n/a",AVERAGE(E51:E55))</f>
        <v>2.2000000000000002</v>
      </c>
      <c r="F56" s="28">
        <f>E56</f>
        <v>2.2000000000000002</v>
      </c>
      <c r="G56" s="216"/>
      <c r="H56" s="29" t="s">
        <v>23</v>
      </c>
      <c r="I56" s="26" t="str">
        <f>D56</f>
        <v>Moderate</v>
      </c>
      <c r="J56" s="30">
        <f>IF(I56=$N$7,"n/a",IF(AND(I56=$N$5,D56=$N$6),1.5,IF(AND(I56=$N$4,D56=$N$5),2.5,IF(AND(I56=$N$3,D56=$N$4),3.5,IF(AND(I56=$N$6,D56=$N$5),1.49,IF(AND(I56=$N$5,D56=$N$4),2.49,IF(AND(I56=$N$4,D56=$N$3),3.49,E56)))))))</f>
        <v>2.2000000000000002</v>
      </c>
      <c r="K56" s="89" t="s">
        <v>92</v>
      </c>
      <c r="L56" s="376"/>
    </row>
    <row r="57" spans="1:19" s="105" customFormat="1" ht="19.5" customHeight="1" thickBot="1" x14ac:dyDescent="0.3">
      <c r="A57" s="139" t="s">
        <v>151</v>
      </c>
      <c r="B57" s="146"/>
      <c r="C57" s="194"/>
      <c r="D57" s="147"/>
      <c r="E57" s="147"/>
      <c r="F57" s="147"/>
      <c r="G57" s="147"/>
      <c r="H57" s="147"/>
      <c r="I57" s="147"/>
      <c r="J57" s="147"/>
      <c r="K57" s="147"/>
      <c r="L57" s="376"/>
    </row>
    <row r="58" spans="1:19" s="124" customFormat="1" ht="32.25" customHeight="1" x14ac:dyDescent="0.25">
      <c r="A58" s="458" t="s">
        <v>39</v>
      </c>
      <c r="B58" s="458"/>
      <c r="C58" s="38" t="s">
        <v>263</v>
      </c>
      <c r="D58" s="166" t="s">
        <v>5</v>
      </c>
      <c r="E58" s="171">
        <f>IF(D58=$N$6,1,IF(D58=$N$5,2,IF(D58=$N$4,3,IF(D58=$N$3,4,"n/a"))))</f>
        <v>3</v>
      </c>
      <c r="F58" s="511" t="s">
        <v>264</v>
      </c>
      <c r="G58" s="512"/>
      <c r="H58" s="512"/>
      <c r="I58" s="512"/>
      <c r="J58" s="512"/>
      <c r="K58" s="513"/>
      <c r="L58" s="380"/>
    </row>
    <row r="59" spans="1:19" s="124" customFormat="1" ht="32.25" customHeight="1" x14ac:dyDescent="0.25">
      <c r="A59" s="458" t="s">
        <v>36</v>
      </c>
      <c r="B59" s="458"/>
      <c r="C59" s="38" t="s">
        <v>263</v>
      </c>
      <c r="D59" s="48" t="s">
        <v>43</v>
      </c>
      <c r="E59" s="118">
        <f>IF(D59=$N$6,1,IF(D59=$N$5,2,IF(D59=$N$4,3,IF(D59=$N$3,4,"n/a"))))</f>
        <v>2</v>
      </c>
      <c r="F59" s="462" t="s">
        <v>265</v>
      </c>
      <c r="G59" s="463"/>
      <c r="H59" s="463"/>
      <c r="I59" s="463"/>
      <c r="J59" s="463"/>
      <c r="K59" s="464"/>
      <c r="L59" s="380"/>
    </row>
    <row r="60" spans="1:19" s="124" customFormat="1" ht="48.75" customHeight="1" x14ac:dyDescent="0.25">
      <c r="A60" s="458" t="s">
        <v>37</v>
      </c>
      <c r="B60" s="458"/>
      <c r="C60" s="38" t="s">
        <v>263</v>
      </c>
      <c r="D60" s="48" t="s">
        <v>43</v>
      </c>
      <c r="E60" s="118">
        <f>IF(D60=$N$6,1,IF(D60=$N$5,2,IF(D60=$N$4,3,IF(D60=$N$3,4,"n/a"))))</f>
        <v>2</v>
      </c>
      <c r="F60" s="462" t="s">
        <v>266</v>
      </c>
      <c r="G60" s="463"/>
      <c r="H60" s="463"/>
      <c r="I60" s="463"/>
      <c r="J60" s="463"/>
      <c r="K60" s="464"/>
      <c r="L60" s="384"/>
    </row>
    <row r="61" spans="1:19" s="124" customFormat="1" ht="21" customHeight="1" thickBot="1" x14ac:dyDescent="0.3">
      <c r="A61" s="506" t="s">
        <v>38</v>
      </c>
      <c r="B61" s="506"/>
      <c r="C61" s="193" t="s">
        <v>267</v>
      </c>
      <c r="D61" s="176" t="s">
        <v>43</v>
      </c>
      <c r="E61" s="175">
        <f>IF(D61=$N$6,1,IF(D61=$N$5,2,IF(D61=$N$4,3,IF(D61=$N$3,4,"n/a"))))</f>
        <v>2</v>
      </c>
      <c r="F61" s="448" t="s">
        <v>266</v>
      </c>
      <c r="G61" s="449"/>
      <c r="H61" s="449"/>
      <c r="I61" s="449"/>
      <c r="J61" s="449"/>
      <c r="K61" s="450"/>
      <c r="L61" s="380"/>
    </row>
    <row r="62" spans="1:19" s="105" customFormat="1" ht="28.5" customHeight="1" thickBot="1" x14ac:dyDescent="0.3">
      <c r="A62" s="536"/>
      <c r="B62" s="537"/>
      <c r="C62" s="36" t="s">
        <v>24</v>
      </c>
      <c r="D62" s="27" t="str">
        <f>IF(E62&lt;1.5,"Low",IF(E62&lt;2.5,"Moderate",IF(E62&lt;3.5,"Substantial",IF(E62&lt;4.5,"High","n/a"))))</f>
        <v>Moderate</v>
      </c>
      <c r="E62" s="145">
        <f>IF(COUNT(E58:E61)=0,"n/a",AVERAGE(E58:E61))</f>
        <v>2.25</v>
      </c>
      <c r="F62" s="49">
        <f>E62</f>
        <v>2.25</v>
      </c>
      <c r="G62" s="120"/>
      <c r="H62" s="50" t="s">
        <v>23</v>
      </c>
      <c r="I62" s="325" t="str">
        <f>D62</f>
        <v>Moderate</v>
      </c>
      <c r="J62" s="91">
        <f>IF(I62=$N$7,"n/a",IF(AND(I62=$N$5,D62=$N$6),1.5,IF(AND(I62=$N$4,D62=$N$5),2.5,IF(AND(I62=$N$3,D62=$N$4),3.5,IF(AND(I62=$N$6,D62=$N$5),1.49,IF(AND(I62=$N$5,D62=$N$4),2.49,IF(AND(I62=$N$4,D62=$N$3),3.49,E62)))))))</f>
        <v>2.25</v>
      </c>
      <c r="K62" s="326" t="s">
        <v>92</v>
      </c>
      <c r="L62" s="376"/>
    </row>
    <row r="63" spans="1:19" s="105" customFormat="1" ht="21.75" customHeight="1" x14ac:dyDescent="0.25">
      <c r="A63" s="198" t="s">
        <v>152</v>
      </c>
      <c r="B63" s="138"/>
      <c r="C63" s="146"/>
      <c r="D63" s="138"/>
      <c r="E63" s="194"/>
      <c r="F63" s="194"/>
      <c r="G63" s="194"/>
      <c r="H63" s="194"/>
      <c r="I63" s="194"/>
      <c r="J63" s="194"/>
      <c r="K63" s="197"/>
      <c r="L63" s="376"/>
    </row>
    <row r="64" spans="1:19" s="148" customFormat="1" ht="47.25" customHeight="1" x14ac:dyDescent="0.25">
      <c r="A64" s="529" t="s">
        <v>153</v>
      </c>
      <c r="B64" s="494"/>
      <c r="C64" s="38" t="s">
        <v>267</v>
      </c>
      <c r="D64" s="195" t="s">
        <v>43</v>
      </c>
      <c r="E64" s="196">
        <f>IF(D64=$N$6,1,IF(D64=$N$5,2,IF(D64=$N$4,3,IF(D64=$N$3,4,"n/a"))))</f>
        <v>2</v>
      </c>
      <c r="F64" s="483" t="s">
        <v>268</v>
      </c>
      <c r="G64" s="483"/>
      <c r="H64" s="483"/>
      <c r="I64" s="483"/>
      <c r="J64" s="483"/>
      <c r="K64" s="483"/>
      <c r="L64" s="385"/>
      <c r="S64" s="149"/>
    </row>
    <row r="65" spans="1:19" s="148" customFormat="1" ht="48.75" customHeight="1" thickBot="1" x14ac:dyDescent="0.3">
      <c r="A65" s="532" t="s">
        <v>154</v>
      </c>
      <c r="B65" s="533"/>
      <c r="C65" s="191" t="s">
        <v>269</v>
      </c>
      <c r="D65" s="165" t="s">
        <v>5</v>
      </c>
      <c r="E65" s="163">
        <f>IF(D65=$N$6,1,IF(D65=$N$5,2,IF(D65=$N$4,3,IF(D65=$N$3,4,"n/a"))))</f>
        <v>3</v>
      </c>
      <c r="F65" s="448" t="s">
        <v>270</v>
      </c>
      <c r="G65" s="449"/>
      <c r="H65" s="449"/>
      <c r="I65" s="449"/>
      <c r="J65" s="449"/>
      <c r="K65" s="450"/>
      <c r="L65" s="385"/>
      <c r="S65" s="149"/>
    </row>
    <row r="66" spans="1:19" s="148" customFormat="1" ht="30" customHeight="1" thickBot="1" x14ac:dyDescent="0.3">
      <c r="A66" s="530"/>
      <c r="B66" s="531"/>
      <c r="C66" s="36" t="s">
        <v>24</v>
      </c>
      <c r="D66" s="27" t="str">
        <f>IF(E66&lt;1.5,"Low",IF(E66&lt;2.5,"Moderate",IF(E66&lt;3.5,"Substantial",IF(E66&lt;4.5,"High","n/a"))))</f>
        <v>Substantial</v>
      </c>
      <c r="E66" s="145">
        <f>IF(COUNT(E64:E65)=0,"n/a",AVERAGE(E64:E65))</f>
        <v>2.5</v>
      </c>
      <c r="F66" s="49">
        <f>E66</f>
        <v>2.5</v>
      </c>
      <c r="G66" s="216"/>
      <c r="H66" s="50" t="s">
        <v>23</v>
      </c>
      <c r="I66" s="325" t="str">
        <f>D66</f>
        <v>Substantial</v>
      </c>
      <c r="J66" s="91">
        <f>IF(I66=$N$7,"n/a",IF(AND(I66=$N$5,D66=$N$6),1.5,IF(AND(I66=$N$4,D66=$N$5),2.5,IF(AND(I66=$N$3,D66=$N$4),3.5,IF(AND(I66=$N$6,D66=$N$5),1.49,IF(AND(I66=$N$5,D66=$N$4),2.49,IF(AND(I66=$N$4,D66=$N$3),3.49,E66)))))))</f>
        <v>2.5</v>
      </c>
      <c r="K66" s="327" t="s">
        <v>92</v>
      </c>
      <c r="L66" s="386"/>
      <c r="S66" s="149"/>
    </row>
    <row r="67" spans="1:19" s="152" customFormat="1" ht="24.75" customHeight="1" thickBot="1" x14ac:dyDescent="0.3">
      <c r="A67" s="150" t="s">
        <v>220</v>
      </c>
      <c r="B67" s="151"/>
      <c r="C67" s="208"/>
      <c r="D67" s="208"/>
      <c r="E67" s="208"/>
      <c r="F67" s="208"/>
      <c r="G67" s="208"/>
      <c r="H67" s="208"/>
      <c r="I67" s="208"/>
      <c r="J67" s="208"/>
      <c r="K67" s="209"/>
      <c r="L67" s="378" t="s">
        <v>97</v>
      </c>
      <c r="Q67" s="153"/>
    </row>
    <row r="68" spans="1:19" s="152" customFormat="1" ht="23.25" customHeight="1" x14ac:dyDescent="0.25">
      <c r="A68" s="202" t="s">
        <v>213</v>
      </c>
      <c r="B68" s="203"/>
      <c r="C68" s="205"/>
      <c r="D68" s="206"/>
      <c r="E68" s="206"/>
      <c r="F68" s="206"/>
      <c r="G68" s="206"/>
      <c r="H68" s="206"/>
      <c r="I68" s="206"/>
      <c r="J68" s="206"/>
      <c r="K68" s="207"/>
      <c r="L68" s="385"/>
    </row>
    <row r="69" spans="1:19" s="152" customFormat="1" ht="24.75" customHeight="1" x14ac:dyDescent="0.25">
      <c r="A69" s="426" t="s">
        <v>53</v>
      </c>
      <c r="B69" s="429"/>
      <c r="C69" s="224" t="s">
        <v>271</v>
      </c>
      <c r="D69" s="225" t="s">
        <v>5</v>
      </c>
      <c r="E69" s="118">
        <f>IF(D69=$N$6,1,IF(D69=$N$5,2,IF(D69=$N$4,3,IF(D69=$N$3,4,"n/a"))))</f>
        <v>3</v>
      </c>
      <c r="F69" s="411" t="s">
        <v>272</v>
      </c>
      <c r="G69" s="411"/>
      <c r="H69" s="411"/>
      <c r="I69" s="411"/>
      <c r="J69" s="411"/>
      <c r="K69" s="411"/>
      <c r="L69" s="378" t="s">
        <v>97</v>
      </c>
    </row>
    <row r="70" spans="1:19" s="152" customFormat="1" ht="33.75" customHeight="1" thickBot="1" x14ac:dyDescent="0.3">
      <c r="A70" s="421" t="s">
        <v>54</v>
      </c>
      <c r="B70" s="422"/>
      <c r="C70" s="226" t="s">
        <v>271</v>
      </c>
      <c r="D70" s="165" t="s">
        <v>5</v>
      </c>
      <c r="E70" s="175">
        <f>IF(D70=$N$6,1,IF(D70=$N$5,2,IF(D70=$N$4,3,IF(D70=$N$3,4,"n/a"))))</f>
        <v>3</v>
      </c>
      <c r="F70" s="428" t="s">
        <v>272</v>
      </c>
      <c r="G70" s="437"/>
      <c r="H70" s="428"/>
      <c r="I70" s="428"/>
      <c r="J70" s="437"/>
      <c r="K70" s="428"/>
      <c r="L70" s="378" t="s">
        <v>97</v>
      </c>
    </row>
    <row r="71" spans="1:19" s="152" customFormat="1" ht="27" customHeight="1" thickBot="1" x14ac:dyDescent="0.3">
      <c r="A71" s="534"/>
      <c r="B71" s="535"/>
      <c r="C71" s="212" t="s">
        <v>24</v>
      </c>
      <c r="D71" s="46" t="str">
        <f>IF(E71&lt;1.5,"Low",IF(E71&lt;2.5,"Moderate",IF(E71&lt;3.5,"Substantial",IF(E71&lt;4.5,"High","n/a"))))</f>
        <v>Substantial</v>
      </c>
      <c r="E71" s="145">
        <f>IF(COUNT(E69:E70)=0,"n/a",AVERAGE(E69:E70))</f>
        <v>3</v>
      </c>
      <c r="F71" s="28">
        <f>E71</f>
        <v>3</v>
      </c>
      <c r="G71" s="216"/>
      <c r="H71" s="29" t="s">
        <v>23</v>
      </c>
      <c r="I71" s="26" t="str">
        <f>D71</f>
        <v>Substantial</v>
      </c>
      <c r="J71" s="30">
        <f>IF(I71=$N$7,"n/a",IF(AND(I71=$N$5,D71=$N$6),1.5,IF(AND(I71=$N$4,D71=$N$5),2.5,IF(AND(I71=$N$3,D71=$N$4),3.5,IF(AND(I71=$N$6,D71=$N$5),1.49,IF(AND(I71=$N$5,D71=$N$4),2.49,IF(AND(I71=$N$4,D71=$N$3),3.49,E71)))))))</f>
        <v>3</v>
      </c>
      <c r="K71" s="181" t="s">
        <v>92</v>
      </c>
      <c r="L71" s="385"/>
    </row>
    <row r="72" spans="1:19" s="152" customFormat="1" ht="20.25" customHeight="1" x14ac:dyDescent="0.25">
      <c r="A72" s="313" t="s">
        <v>44</v>
      </c>
      <c r="B72" s="205"/>
      <c r="C72" s="206"/>
      <c r="D72" s="199"/>
      <c r="E72" s="200"/>
      <c r="F72" s="206"/>
      <c r="G72" s="206"/>
      <c r="H72" s="206"/>
      <c r="I72" s="206"/>
      <c r="J72" s="206"/>
      <c r="K72" s="207"/>
      <c r="L72" s="385"/>
    </row>
    <row r="73" spans="1:19" s="152" customFormat="1" ht="36" customHeight="1" x14ac:dyDescent="0.25">
      <c r="A73" s="527" t="s">
        <v>75</v>
      </c>
      <c r="B73" s="528"/>
      <c r="C73" s="227" t="s">
        <v>273</v>
      </c>
      <c r="D73" s="168" t="s">
        <v>5</v>
      </c>
      <c r="E73" s="118">
        <f>IF(D73=$N$6,1,IF(D73=$N$5,2,IF(D73=$N$4,3,IF(D73=$N$3,4,"n/a"))))</f>
        <v>3</v>
      </c>
      <c r="F73" s="434" t="s">
        <v>274</v>
      </c>
      <c r="G73" s="428"/>
      <c r="H73" s="428"/>
      <c r="I73" s="428"/>
      <c r="J73" s="428"/>
      <c r="K73" s="435"/>
      <c r="L73" s="378"/>
    </row>
    <row r="74" spans="1:19" s="152" customFormat="1" ht="33.75" customHeight="1" thickBot="1" x14ac:dyDescent="0.3">
      <c r="A74" s="421" t="s">
        <v>58</v>
      </c>
      <c r="B74" s="422"/>
      <c r="C74" s="228" t="s">
        <v>271</v>
      </c>
      <c r="D74" s="167" t="s">
        <v>5</v>
      </c>
      <c r="E74" s="175">
        <f>IF(D74=$N$6,1,IF(D74=$N$5,2,IF(D74=$N$4,3,IF(D74=$N$3,4,"n/a"))))</f>
        <v>3</v>
      </c>
      <c r="F74" s="423" t="s">
        <v>275</v>
      </c>
      <c r="G74" s="424"/>
      <c r="H74" s="424"/>
      <c r="I74" s="424"/>
      <c r="J74" s="424"/>
      <c r="K74" s="425"/>
      <c r="L74" s="378" t="s">
        <v>97</v>
      </c>
    </row>
    <row r="75" spans="1:19" s="152" customFormat="1" ht="25.5" customHeight="1" thickBot="1" x14ac:dyDescent="0.3">
      <c r="A75" s="430"/>
      <c r="B75" s="431"/>
      <c r="C75" s="45" t="s">
        <v>24</v>
      </c>
      <c r="D75" s="27" t="str">
        <f>IF(E75&lt;1.5,"Low",IF(E75&lt;2.5,"Moderate",IF(E75&lt;3.5,"Substantial",IF(E75&lt;4.5,"High","n/a"))))</f>
        <v>Substantial</v>
      </c>
      <c r="E75" s="145">
        <f>IF(COUNT(E73:E74)=0,"n/a",AVERAGE(E73:E74))</f>
        <v>3</v>
      </c>
      <c r="F75" s="49">
        <f>E75</f>
        <v>3</v>
      </c>
      <c r="G75" s="216"/>
      <c r="H75" s="50" t="s">
        <v>23</v>
      </c>
      <c r="I75" s="325" t="str">
        <f>D75</f>
        <v>Substantial</v>
      </c>
      <c r="J75" s="91">
        <f>IF(I75=$N$7,"n/a",IF(AND(I75=$N$5,D75=$N$6),1.5,IF(AND(I75=$N$4,D75=$N$5),2.5,IF(AND(I75=$N$3,D75=$N$4),3.5,IF(AND(I75=$N$6,D75=$N$5),1.49,IF(AND(I75=$N$5,D75=$N$4),2.49,IF(AND(I75=$N$4,D75=$N$3),3.49,E75)))))))</f>
        <v>3</v>
      </c>
      <c r="K75" s="92" t="s">
        <v>92</v>
      </c>
      <c r="L75" s="385"/>
    </row>
    <row r="76" spans="1:19" s="152" customFormat="1" ht="21" customHeight="1" x14ac:dyDescent="0.25">
      <c r="A76" s="202" t="s">
        <v>55</v>
      </c>
      <c r="B76" s="203"/>
      <c r="C76" s="199"/>
      <c r="D76" s="199"/>
      <c r="E76" s="199"/>
      <c r="F76" s="199"/>
      <c r="G76" s="199"/>
      <c r="H76" s="199"/>
      <c r="I76" s="199"/>
      <c r="J76" s="199"/>
      <c r="K76" s="201"/>
      <c r="L76" s="385"/>
    </row>
    <row r="77" spans="1:19" s="152" customFormat="1" ht="35.25" customHeight="1" x14ac:dyDescent="0.25">
      <c r="A77" s="426" t="s">
        <v>56</v>
      </c>
      <c r="B77" s="429"/>
      <c r="C77" s="229" t="s">
        <v>271</v>
      </c>
      <c r="D77" s="168" t="s">
        <v>43</v>
      </c>
      <c r="E77" s="118">
        <f>IF(D77=$N$6,1,IF(D77=$N$5,2,IF(D77=$N$4,3,IF(D77=$N$3,4,"n/a"))))</f>
        <v>2</v>
      </c>
      <c r="F77" s="411" t="s">
        <v>276</v>
      </c>
      <c r="G77" s="411"/>
      <c r="H77" s="411"/>
      <c r="I77" s="411"/>
      <c r="J77" s="411"/>
      <c r="K77" s="411"/>
      <c r="L77" s="385"/>
    </row>
    <row r="78" spans="1:19" s="152" customFormat="1" ht="26.25" customHeight="1" x14ac:dyDescent="0.25">
      <c r="A78" s="426" t="s">
        <v>57</v>
      </c>
      <c r="B78" s="427"/>
      <c r="C78" s="227" t="s">
        <v>271</v>
      </c>
      <c r="D78" s="48" t="s">
        <v>43</v>
      </c>
      <c r="E78" s="118">
        <f>IF(D78=$N$6,1,IF(D78=$N$5,2,IF(D78=$N$4,3,IF(D78=$N$3,4,"n/a"))))</f>
        <v>2</v>
      </c>
      <c r="F78" s="428" t="s">
        <v>277</v>
      </c>
      <c r="G78" s="428"/>
      <c r="H78" s="428"/>
      <c r="I78" s="428"/>
      <c r="J78" s="428"/>
      <c r="K78" s="428"/>
      <c r="L78" s="378" t="s">
        <v>97</v>
      </c>
    </row>
    <row r="79" spans="1:19" s="152" customFormat="1" ht="24" customHeight="1" thickBot="1" x14ac:dyDescent="0.3">
      <c r="A79" s="426" t="s">
        <v>76</v>
      </c>
      <c r="B79" s="427"/>
      <c r="C79" s="230" t="s">
        <v>271</v>
      </c>
      <c r="D79" s="167" t="s">
        <v>43</v>
      </c>
      <c r="E79" s="175">
        <f>IF(D79=$N$6,1,IF(D79=$N$5,2,IF(D79=$N$4,3,IF(D79=$N$3,4,"n/a"))))</f>
        <v>2</v>
      </c>
      <c r="F79" s="428" t="s">
        <v>277</v>
      </c>
      <c r="G79" s="437"/>
      <c r="H79" s="428"/>
      <c r="I79" s="428"/>
      <c r="J79" s="437"/>
      <c r="K79" s="428"/>
      <c r="L79" s="378" t="s">
        <v>97</v>
      </c>
    </row>
    <row r="80" spans="1:19" s="152" customFormat="1" ht="27.75" customHeight="1" thickBot="1" x14ac:dyDescent="0.3">
      <c r="A80" s="430"/>
      <c r="B80" s="431"/>
      <c r="C80" s="45" t="s">
        <v>24</v>
      </c>
      <c r="D80" s="27" t="str">
        <f>IF(E80&lt;1.5,"Low",IF(E80&lt;2.5,"Moderate",IF(E80&lt;3.5,"Substantial",IF(E80&lt;4.5,"High","n/a"))))</f>
        <v>Moderate</v>
      </c>
      <c r="E80" s="145">
        <f>IF(COUNT(E77:E79)=0,"n/a",AVERAGE(E77:E79))</f>
        <v>2</v>
      </c>
      <c r="F80" s="28">
        <f>E80</f>
        <v>2</v>
      </c>
      <c r="G80" s="216"/>
      <c r="H80" s="29" t="s">
        <v>23</v>
      </c>
      <c r="I80" s="26" t="str">
        <f>D80</f>
        <v>Moderate</v>
      </c>
      <c r="J80" s="30">
        <f>IF(I80=$N$7,"n/a",IF(AND(I80=$N$5,D80=$N$6),1.5,IF(AND(I80=$N$4,D80=$N$5),2.5,IF(AND(I80=$N$3,D80=$N$4),3.5,IF(AND(I80=$N$6,D80=$N$5),1.49,IF(AND(I80=$N$5,D80=$N$4),2.49,IF(AND(I80=$N$4,D80=$N$3),3.49,E80)))))))</f>
        <v>2</v>
      </c>
      <c r="K80" s="89" t="s">
        <v>92</v>
      </c>
      <c r="L80" s="385"/>
    </row>
    <row r="81" spans="1:17" s="152" customFormat="1" ht="21" customHeight="1" x14ac:dyDescent="0.25">
      <c r="A81" s="204" t="s">
        <v>59</v>
      </c>
      <c r="B81" s="199"/>
      <c r="C81" s="199"/>
      <c r="D81" s="199"/>
      <c r="E81" s="199"/>
      <c r="F81" s="199"/>
      <c r="G81" s="199"/>
      <c r="H81" s="199"/>
      <c r="I81" s="199"/>
      <c r="J81" s="199"/>
      <c r="K81" s="201"/>
      <c r="L81" s="385"/>
    </row>
    <row r="82" spans="1:17" s="152" customFormat="1" ht="34.5" customHeight="1" x14ac:dyDescent="0.25">
      <c r="A82" s="426" t="s">
        <v>78</v>
      </c>
      <c r="B82" s="429"/>
      <c r="C82" s="229"/>
      <c r="D82" s="168" t="s">
        <v>5</v>
      </c>
      <c r="E82" s="118">
        <f>IF(D82=$N$6,1,IF(D82=$N$5,2,IF(D82=$N$4,3,IF(D82=$N$3,4,"n/a"))))</f>
        <v>3</v>
      </c>
      <c r="F82" s="411" t="s">
        <v>278</v>
      </c>
      <c r="G82" s="411"/>
      <c r="H82" s="411"/>
      <c r="I82" s="411"/>
      <c r="J82" s="411"/>
      <c r="K82" s="411"/>
      <c r="L82" s="385"/>
    </row>
    <row r="83" spans="1:17" s="152" customFormat="1" ht="27.75" customHeight="1" thickBot="1" x14ac:dyDescent="0.3">
      <c r="A83" s="421" t="s">
        <v>79</v>
      </c>
      <c r="B83" s="422"/>
      <c r="C83" s="230"/>
      <c r="D83" s="167" t="s">
        <v>19</v>
      </c>
      <c r="E83" s="175" t="str">
        <f>IF(D83=$N$6,1,IF(D83=$N$5,2,IF(D83=$N$4,3,IF(D83=$N$3,4,"n/a"))))</f>
        <v>n/a</v>
      </c>
      <c r="F83" s="423" t="s">
        <v>16</v>
      </c>
      <c r="G83" s="424"/>
      <c r="H83" s="424"/>
      <c r="I83" s="424"/>
      <c r="J83" s="424"/>
      <c r="K83" s="457"/>
      <c r="L83" s="378" t="s">
        <v>97</v>
      </c>
      <c r="Q83" s="154"/>
    </row>
    <row r="84" spans="1:17" s="152" customFormat="1" ht="26.25" customHeight="1" thickBot="1" x14ac:dyDescent="0.3">
      <c r="A84" s="210"/>
      <c r="B84" s="211"/>
      <c r="C84" s="212" t="s">
        <v>24</v>
      </c>
      <c r="D84" s="27" t="str">
        <f>IF(E84&lt;1.5,"Low",IF(E84&lt;2.5,"Moderate",IF(E84&lt;3.5,"Substantial",IF(E84&lt;4.5,"High","n/a"))))</f>
        <v>Substantial</v>
      </c>
      <c r="E84" s="145">
        <f>IF(COUNT(E82:E83)=0,"n/a",AVERAGE(E82:E83))</f>
        <v>3</v>
      </c>
      <c r="F84" s="49">
        <f>E84</f>
        <v>3</v>
      </c>
      <c r="G84" s="217"/>
      <c r="H84" s="324" t="s">
        <v>23</v>
      </c>
      <c r="I84" s="325" t="str">
        <f>D84</f>
        <v>Substantial</v>
      </c>
      <c r="J84" s="91">
        <f>IF(I84=$N$7,"n/a",IF(AND(I84=$N$5,D84=$N$6),1.5,IF(AND(I84=$N$4,D84=$N$5),2.5,IF(AND(I84=$N$3,D84=$N$4),3.5,IF(AND(I84=$N$6,D84=$N$5),1.49,IF(AND(I84=$N$5,D84=$N$4),2.49,IF(AND(I84=$N$4,D84=$N$3),3.49,E84)))))))</f>
        <v>3</v>
      </c>
      <c r="K84" s="326" t="s">
        <v>92</v>
      </c>
      <c r="L84" s="385"/>
      <c r="Q84" s="155"/>
    </row>
    <row r="85" spans="1:17" s="152" customFormat="1" ht="26.25" customHeight="1" thickBot="1" x14ac:dyDescent="0.3">
      <c r="A85" s="290" t="s">
        <v>221</v>
      </c>
      <c r="B85" s="289"/>
      <c r="C85" s="289"/>
      <c r="D85" s="289"/>
      <c r="E85" s="289"/>
      <c r="F85" s="289"/>
      <c r="G85" s="289"/>
      <c r="H85" s="289"/>
      <c r="I85" s="289"/>
      <c r="J85" s="289"/>
      <c r="K85" s="289"/>
      <c r="L85" s="385"/>
      <c r="Q85" s="155"/>
    </row>
    <row r="86" spans="1:17" s="152" customFormat="1" ht="21.75" customHeight="1" x14ac:dyDescent="0.25">
      <c r="A86" s="394" t="s">
        <v>177</v>
      </c>
      <c r="B86" s="291"/>
      <c r="C86" s="291"/>
      <c r="D86" s="291"/>
      <c r="E86" s="291"/>
      <c r="F86" s="291"/>
      <c r="G86" s="291"/>
      <c r="H86" s="291"/>
      <c r="I86" s="291"/>
      <c r="J86" s="291"/>
      <c r="K86" s="292"/>
      <c r="L86" s="385"/>
      <c r="Q86" s="155"/>
    </row>
    <row r="87" spans="1:17" s="152" customFormat="1" ht="33.75" customHeight="1" x14ac:dyDescent="0.25">
      <c r="A87" s="416" t="s">
        <v>155</v>
      </c>
      <c r="B87" s="417"/>
      <c r="C87" s="293" t="s">
        <v>263</v>
      </c>
      <c r="D87" s="225" t="s">
        <v>43</v>
      </c>
      <c r="E87" s="213">
        <f>IF(D87=$N$6,1,IF(D87=$N$5,2,IF(D87=$N$4,3,IF(D87=$N$3,4,"n/a"))))</f>
        <v>2</v>
      </c>
      <c r="F87" s="411" t="s">
        <v>279</v>
      </c>
      <c r="G87" s="411"/>
      <c r="H87" s="411"/>
      <c r="I87" s="411"/>
      <c r="J87" s="411"/>
      <c r="K87" s="411"/>
      <c r="L87" s="385"/>
      <c r="Q87" s="155"/>
    </row>
    <row r="88" spans="1:17" s="152" customFormat="1" ht="33.75" customHeight="1" x14ac:dyDescent="0.25">
      <c r="A88" s="416" t="s">
        <v>156</v>
      </c>
      <c r="B88" s="417"/>
      <c r="C88" s="293" t="s">
        <v>263</v>
      </c>
      <c r="D88" s="225" t="s">
        <v>5</v>
      </c>
      <c r="E88" s="213">
        <f>IF(D88=$N$6,1,IF(D88=$N$5,2,IF(D88=$N$4,3,IF(D88=$N$3,4,"n/a"))))</f>
        <v>3</v>
      </c>
      <c r="F88" s="411" t="s">
        <v>280</v>
      </c>
      <c r="G88" s="411"/>
      <c r="H88" s="411"/>
      <c r="I88" s="411"/>
      <c r="J88" s="411"/>
      <c r="K88" s="411"/>
      <c r="L88" s="378" t="s">
        <v>97</v>
      </c>
      <c r="Q88" s="155"/>
    </row>
    <row r="89" spans="1:17" s="152" customFormat="1" ht="30.75" customHeight="1" x14ac:dyDescent="0.25">
      <c r="A89" s="416" t="s">
        <v>157</v>
      </c>
      <c r="B89" s="417"/>
      <c r="C89" s="293" t="s">
        <v>263</v>
      </c>
      <c r="D89" s="225" t="s">
        <v>5</v>
      </c>
      <c r="E89" s="213">
        <f>IF(D89=$N$6,1,IF(D89=$N$5,2,IF(D89=$N$4,3,IF(D89=$N$3,4,"n/a"))))</f>
        <v>3</v>
      </c>
      <c r="F89" s="411" t="s">
        <v>281</v>
      </c>
      <c r="G89" s="411"/>
      <c r="H89" s="411"/>
      <c r="I89" s="411"/>
      <c r="J89" s="411"/>
      <c r="K89" s="411"/>
      <c r="L89" s="385"/>
      <c r="Q89" s="155"/>
    </row>
    <row r="90" spans="1:17" s="152" customFormat="1" ht="45.75" customHeight="1" thickBot="1" x14ac:dyDescent="0.3">
      <c r="A90" s="416" t="s">
        <v>178</v>
      </c>
      <c r="B90" s="417"/>
      <c r="C90" s="293" t="s">
        <v>282</v>
      </c>
      <c r="D90" s="225" t="s">
        <v>43</v>
      </c>
      <c r="E90" s="213">
        <f>IF(D90=$N$6,1,IF(D90=$N$5,2,IF(D90=$N$4,3,IF(D90=$N$3,4,"n/a"))))</f>
        <v>2</v>
      </c>
      <c r="F90" s="411" t="s">
        <v>301</v>
      </c>
      <c r="G90" s="411"/>
      <c r="H90" s="411"/>
      <c r="I90" s="411"/>
      <c r="J90" s="522"/>
      <c r="K90" s="411"/>
      <c r="L90" s="385"/>
      <c r="Q90" s="155"/>
    </row>
    <row r="91" spans="1:17" s="152" customFormat="1" ht="26.25" customHeight="1" thickBot="1" x14ac:dyDescent="0.3">
      <c r="A91" s="525"/>
      <c r="B91" s="526"/>
      <c r="C91" s="294" t="s">
        <v>24</v>
      </c>
      <c r="D91" s="27" t="str">
        <f>IF(E91&lt;1.5,"Low",IF(E91&lt;2.5,"Moderate",IF(E91&lt;3.5,"Substantial",IF(E91&lt;4.5,"High","n/a"))))</f>
        <v>Substantial</v>
      </c>
      <c r="E91" s="145">
        <f>IF(COUNT(E87:E90)=0,"n/a",AVERAGE(E87:E90))</f>
        <v>2.5</v>
      </c>
      <c r="F91" s="28">
        <f>E91</f>
        <v>2.5</v>
      </c>
      <c r="G91" s="217"/>
      <c r="H91" s="51" t="s">
        <v>23</v>
      </c>
      <c r="I91" s="26" t="str">
        <f>D91</f>
        <v>Substantial</v>
      </c>
      <c r="J91" s="30">
        <f>IF(I91=$N$7,"n/a",IF(AND(I91=$N$5,D91=$N$6),1.5,IF(AND(I91=$N$4,D91=$N$5),2.5,IF(AND(I91=$N$3,D91=$N$4),3.5,IF(AND(I91=$N$6,D91=$N$5),1.49,IF(AND(I91=$N$5,D91=$N$4),2.49,IF(AND(I91=$N$4,D91=$N$3),3.49,E91)))))))</f>
        <v>2.5</v>
      </c>
      <c r="K91" s="89" t="s">
        <v>92</v>
      </c>
      <c r="L91" s="385"/>
      <c r="Q91" s="155"/>
    </row>
    <row r="92" spans="1:17" s="152" customFormat="1" ht="21" customHeight="1" x14ac:dyDescent="0.25">
      <c r="A92" s="394" t="s">
        <v>168</v>
      </c>
      <c r="B92" s="291"/>
      <c r="C92" s="291"/>
      <c r="D92" s="291"/>
      <c r="E92" s="291"/>
      <c r="F92" s="291"/>
      <c r="G92" s="291"/>
      <c r="H92" s="291"/>
      <c r="I92" s="291"/>
      <c r="J92" s="291"/>
      <c r="K92" s="292"/>
      <c r="L92" s="385"/>
      <c r="Q92" s="155"/>
    </row>
    <row r="93" spans="1:17" s="152" customFormat="1" ht="47.25" customHeight="1" x14ac:dyDescent="0.25">
      <c r="A93" s="416" t="s">
        <v>169</v>
      </c>
      <c r="B93" s="417"/>
      <c r="C93" s="293" t="s">
        <v>263</v>
      </c>
      <c r="D93" s="168" t="s">
        <v>5</v>
      </c>
      <c r="E93" s="213">
        <f>IF(D93=$N$6,1,IF(D93=$N$5,2,IF(D93=$N$4,3,IF(D93=$N$3,4,"n/a"))))</f>
        <v>3</v>
      </c>
      <c r="F93" s="411" t="s">
        <v>283</v>
      </c>
      <c r="G93" s="411"/>
      <c r="H93" s="411"/>
      <c r="I93" s="411"/>
      <c r="J93" s="411"/>
      <c r="K93" s="411"/>
      <c r="L93" s="385"/>
      <c r="Q93" s="155"/>
    </row>
    <row r="94" spans="1:17" s="152" customFormat="1" ht="31.5" customHeight="1" thickBot="1" x14ac:dyDescent="0.3">
      <c r="A94" s="412" t="s">
        <v>180</v>
      </c>
      <c r="B94" s="413"/>
      <c r="C94" s="295" t="s">
        <v>263</v>
      </c>
      <c r="D94" s="167" t="s">
        <v>5</v>
      </c>
      <c r="E94" s="175">
        <f>IF(D94=$N$6,1,IF(D94=$N$5,2,IF(D94=$N$4,3,IF(D94=$N$3,4,"n/a"))))</f>
        <v>3</v>
      </c>
      <c r="F94" s="439" t="s">
        <v>284</v>
      </c>
      <c r="G94" s="440"/>
      <c r="H94" s="440"/>
      <c r="I94" s="440"/>
      <c r="J94" s="440"/>
      <c r="K94" s="438"/>
      <c r="L94" s="378" t="s">
        <v>97</v>
      </c>
      <c r="Q94" s="155"/>
    </row>
    <row r="95" spans="1:17" s="152" customFormat="1" ht="26.25" customHeight="1" thickBot="1" x14ac:dyDescent="0.3">
      <c r="A95" s="414"/>
      <c r="B95" s="415"/>
      <c r="C95" s="294" t="s">
        <v>24</v>
      </c>
      <c r="D95" s="27" t="str">
        <f>IF(E95&lt;1.5,"Low",IF(E95&lt;2.5,"Moderate",IF(E95&lt;3.5,"Substantial",IF(E95&lt;4.5,"High","n/a"))))</f>
        <v>Substantial</v>
      </c>
      <c r="E95" s="145">
        <f>IF(COUNT(E93:E94)=0,"n/a",AVERAGE(E93:E94))</f>
        <v>3</v>
      </c>
      <c r="F95" s="28">
        <f>E95</f>
        <v>3</v>
      </c>
      <c r="G95" s="216"/>
      <c r="H95" s="29" t="s">
        <v>23</v>
      </c>
      <c r="I95" s="26" t="str">
        <f>D95</f>
        <v>Substantial</v>
      </c>
      <c r="J95" s="30">
        <f>IF(I95=$N$7,"n/a",IF(AND(I95=$N$5,D95=$N$6),1.5,IF(AND(I95=$N$4,D95=$N$5),2.5,IF(AND(I95=$N$3,D95=$N$4),3.5,IF(AND(I95=$N$6,D95=$N$5),1.49,IF(AND(I95=$N$5,D95=$N$4),2.49,IF(AND(I95=$N$4,D95=$N$3),3.49,E95)))))))</f>
        <v>3</v>
      </c>
      <c r="K95" s="89" t="s">
        <v>92</v>
      </c>
      <c r="L95" s="385"/>
      <c r="Q95" s="155"/>
    </row>
    <row r="96" spans="1:17" s="152" customFormat="1" ht="21" customHeight="1" x14ac:dyDescent="0.25">
      <c r="A96" s="394" t="s">
        <v>159</v>
      </c>
      <c r="B96" s="291"/>
      <c r="C96" s="291"/>
      <c r="D96" s="291"/>
      <c r="E96" s="291"/>
      <c r="F96" s="291"/>
      <c r="G96" s="291"/>
      <c r="H96" s="291"/>
      <c r="I96" s="291"/>
      <c r="J96" s="291"/>
      <c r="K96" s="292"/>
      <c r="L96" s="385"/>
      <c r="Q96" s="155"/>
    </row>
    <row r="97" spans="1:17" s="152" customFormat="1" ht="33.75" customHeight="1" x14ac:dyDescent="0.25">
      <c r="A97" s="416" t="s">
        <v>160</v>
      </c>
      <c r="B97" s="417"/>
      <c r="C97" s="296" t="s">
        <v>263</v>
      </c>
      <c r="D97" s="168" t="s">
        <v>5</v>
      </c>
      <c r="E97" s="118">
        <f>IF(D97=$N$6,1,IF(D97=$N$5,2,IF(D97=$N$4,3,IF(D97=$N$3,4,"n/a"))))</f>
        <v>3</v>
      </c>
      <c r="F97" s="411" t="s">
        <v>302</v>
      </c>
      <c r="G97" s="411"/>
      <c r="H97" s="411"/>
      <c r="I97" s="411"/>
      <c r="J97" s="411"/>
      <c r="K97" s="411"/>
      <c r="L97" s="378" t="s">
        <v>97</v>
      </c>
      <c r="Q97" s="155"/>
    </row>
    <row r="98" spans="1:17" s="152" customFormat="1" ht="33" customHeight="1" x14ac:dyDescent="0.25">
      <c r="A98" s="412" t="s">
        <v>161</v>
      </c>
      <c r="B98" s="418"/>
      <c r="C98" s="296" t="s">
        <v>263</v>
      </c>
      <c r="D98" s="48" t="s">
        <v>43</v>
      </c>
      <c r="E98" s="118">
        <f>IF(D98=$N$6,1,IF(D98=$N$5,2,IF(D98=$N$4,3,IF(D98=$N$3,4,"n/a"))))</f>
        <v>2</v>
      </c>
      <c r="F98" s="434" t="s">
        <v>286</v>
      </c>
      <c r="G98" s="428"/>
      <c r="H98" s="428"/>
      <c r="I98" s="428"/>
      <c r="J98" s="428"/>
      <c r="K98" s="435"/>
      <c r="L98" s="378" t="s">
        <v>97</v>
      </c>
      <c r="P98" s="311"/>
      <c r="Q98" s="155"/>
    </row>
    <row r="99" spans="1:17" s="152" customFormat="1" ht="31.5" customHeight="1" thickBot="1" x14ac:dyDescent="0.3">
      <c r="A99" s="419" t="s">
        <v>162</v>
      </c>
      <c r="B99" s="420"/>
      <c r="C99" s="297" t="s">
        <v>267</v>
      </c>
      <c r="D99" s="287" t="s">
        <v>5</v>
      </c>
      <c r="E99" s="288">
        <f>IF(D99=$N$6,1,IF(D99=$N$5,2,IF(D99=$N$4,3,IF(D99=$N$3,4,"n/a"))))</f>
        <v>3</v>
      </c>
      <c r="F99" s="436" t="s">
        <v>287</v>
      </c>
      <c r="G99" s="437"/>
      <c r="H99" s="437"/>
      <c r="I99" s="437"/>
      <c r="J99" s="437"/>
      <c r="K99" s="438"/>
      <c r="L99" s="385"/>
      <c r="P99" s="311"/>
      <c r="Q99" s="155"/>
    </row>
    <row r="100" spans="1:17" s="152" customFormat="1" ht="26.25" customHeight="1" thickBot="1" x14ac:dyDescent="0.3">
      <c r="A100" s="465"/>
      <c r="B100" s="466"/>
      <c r="C100" s="294" t="s">
        <v>24</v>
      </c>
      <c r="D100" s="27" t="str">
        <f>IF(E100&lt;1.5,"Low",IF(E100&lt;2.5,"Moderate",IF(E100&lt;3.5,"Substantial",IF(E100&lt;4.5,"High","n/a"))))</f>
        <v>Substantial</v>
      </c>
      <c r="E100" s="145">
        <f>IF(COUNT(E97:E99)=0,"n/a",AVERAGE(E97:E99))</f>
        <v>2.6666666666666665</v>
      </c>
      <c r="F100" s="28">
        <f>E100</f>
        <v>2.6666666666666665</v>
      </c>
      <c r="G100" s="216"/>
      <c r="H100" s="29" t="s">
        <v>23</v>
      </c>
      <c r="I100" s="26" t="str">
        <f>D100</f>
        <v>Substantial</v>
      </c>
      <c r="J100" s="30">
        <f>IF(I100=$N$7,"n/a",IF(AND(I100=$N$5,D100=$N$6),1.5,IF(AND(I100=$N$4,D100=$N$5),2.5,IF(AND(I100=$N$3,D100=$N$4),3.5,IF(AND(I100=$N$6,D100=$N$5),1.49,IF(AND(I100=$N$5,D100=$N$4),2.49,IF(AND(I100=$N$4,D100=$N$3),3.49,E100)))))))</f>
        <v>2.6666666666666665</v>
      </c>
      <c r="K100" s="89" t="s">
        <v>92</v>
      </c>
      <c r="L100" s="385"/>
      <c r="P100" s="311"/>
      <c r="Q100" s="155"/>
    </row>
    <row r="101" spans="1:17" s="152" customFormat="1" ht="23.25" customHeight="1" thickBot="1" x14ac:dyDescent="0.3">
      <c r="A101" s="156" t="s">
        <v>222</v>
      </c>
      <c r="B101" s="157"/>
      <c r="C101" s="157"/>
      <c r="D101" s="157"/>
      <c r="E101" s="157"/>
      <c r="F101" s="157"/>
      <c r="G101" s="157"/>
      <c r="H101" s="157"/>
      <c r="I101" s="157"/>
      <c r="J101" s="157"/>
      <c r="K101" s="157"/>
      <c r="L101" s="385"/>
      <c r="M101" s="155"/>
    </row>
    <row r="102" spans="1:17" s="152" customFormat="1" ht="20.25" customHeight="1" x14ac:dyDescent="0.25">
      <c r="A102" s="395" t="s">
        <v>164</v>
      </c>
      <c r="B102" s="214"/>
      <c r="C102" s="214"/>
      <c r="D102" s="214"/>
      <c r="E102" s="214"/>
      <c r="F102" s="214"/>
      <c r="G102" s="214"/>
      <c r="H102" s="214"/>
      <c r="I102" s="214"/>
      <c r="J102" s="214"/>
      <c r="K102" s="215"/>
      <c r="L102" s="385"/>
    </row>
    <row r="103" spans="1:17" s="152" customFormat="1" ht="30.75" customHeight="1" x14ac:dyDescent="0.25">
      <c r="A103" s="443" t="s">
        <v>183</v>
      </c>
      <c r="B103" s="444"/>
      <c r="C103" s="231" t="s">
        <v>288</v>
      </c>
      <c r="D103" s="225" t="s">
        <v>4</v>
      </c>
      <c r="E103" s="213">
        <f>IF(D103=$N$6,1,IF(D103=$N$5,2,IF(D103=$N$4,3,IF(D103=$N$3,4,"n/a"))))</f>
        <v>4</v>
      </c>
      <c r="F103" s="411" t="s">
        <v>289</v>
      </c>
      <c r="G103" s="411"/>
      <c r="H103" s="411"/>
      <c r="I103" s="411"/>
      <c r="J103" s="411"/>
      <c r="K103" s="411"/>
      <c r="L103" s="378" t="s">
        <v>97</v>
      </c>
      <c r="Q103" s="155"/>
    </row>
    <row r="104" spans="1:17" s="152" customFormat="1" ht="32.25" customHeight="1" x14ac:dyDescent="0.25">
      <c r="A104" s="441" t="s">
        <v>184</v>
      </c>
      <c r="B104" s="442"/>
      <c r="C104" s="232" t="s">
        <v>288</v>
      </c>
      <c r="D104" s="195" t="s">
        <v>4</v>
      </c>
      <c r="E104" s="118">
        <f>IF(D104=$N$6,1,IF(D104=$N$5,2,IF(D104=$N$4,3,IF(D104=$N$3,4,"n/a"))))</f>
        <v>4</v>
      </c>
      <c r="F104" s="428" t="s">
        <v>290</v>
      </c>
      <c r="G104" s="428"/>
      <c r="H104" s="428"/>
      <c r="I104" s="428"/>
      <c r="J104" s="428"/>
      <c r="K104" s="428"/>
      <c r="L104" s="378" t="s">
        <v>97</v>
      </c>
      <c r="Q104" s="158"/>
    </row>
    <row r="105" spans="1:17" ht="31.5" customHeight="1" thickBot="1" x14ac:dyDescent="0.3">
      <c r="A105" s="453" t="s">
        <v>185</v>
      </c>
      <c r="B105" s="454"/>
      <c r="C105" s="233" t="s">
        <v>288</v>
      </c>
      <c r="D105" s="165" t="s">
        <v>4</v>
      </c>
      <c r="E105" s="175">
        <f>IF(D105=$N$6,1,IF(D105=$N$5,2,IF(D105=$N$4,3,IF(D105=$N$3,4,"n/a"))))</f>
        <v>4</v>
      </c>
      <c r="F105" s="428" t="s">
        <v>291</v>
      </c>
      <c r="G105" s="437"/>
      <c r="H105" s="428"/>
      <c r="I105" s="428"/>
      <c r="J105" s="437"/>
      <c r="K105" s="428"/>
      <c r="L105" s="378" t="s">
        <v>97</v>
      </c>
    </row>
    <row r="106" spans="1:17" ht="32.25" customHeight="1" thickBot="1" x14ac:dyDescent="0.3">
      <c r="A106" s="523"/>
      <c r="B106" s="524"/>
      <c r="C106" s="39" t="s">
        <v>24</v>
      </c>
      <c r="D106" s="27" t="str">
        <f>IF(E106&lt;1.5,"Low",IF(E106&lt;2.5,"Moderate",IF(E106&lt;3.5,"Substantial",IF(E106&lt;4.5,"High","n/a"))))</f>
        <v>High</v>
      </c>
      <c r="E106" s="145">
        <f>IF(COUNT(E103:E105)=0,"n/a",AVERAGE(E103:E105))</f>
        <v>4</v>
      </c>
      <c r="F106" s="28">
        <f>E106</f>
        <v>4</v>
      </c>
      <c r="G106" s="217"/>
      <c r="H106" s="51" t="s">
        <v>23</v>
      </c>
      <c r="I106" s="26" t="str">
        <f>D106</f>
        <v>High</v>
      </c>
      <c r="J106" s="30">
        <f>IF(I106=$N$7,"n/a",IF(AND(I106=$N$5,D106=$N$6),1.5,IF(AND(I106=$N$4,D106=$N$5),2.5,IF(AND(I106=$N$3,D106=$N$4),3.5,IF(AND(I106=$N$6,D106=$N$5),1.49,IF(AND(I106=$N$5,D106=$N$4),2.49,IF(AND(I106=$N$4,D106=$N$3),3.49,E106)))))))</f>
        <v>4</v>
      </c>
      <c r="K106" s="89" t="s">
        <v>92</v>
      </c>
      <c r="L106" s="380"/>
    </row>
    <row r="107" spans="1:17" ht="19.5" customHeight="1" x14ac:dyDescent="0.25">
      <c r="A107" s="396" t="s">
        <v>165</v>
      </c>
      <c r="B107" s="214"/>
      <c r="C107" s="214"/>
      <c r="D107" s="214"/>
      <c r="E107" s="214"/>
      <c r="F107" s="214"/>
      <c r="G107" s="214"/>
      <c r="H107" s="214"/>
      <c r="I107" s="214"/>
      <c r="J107" s="214"/>
      <c r="K107" s="215"/>
      <c r="L107" s="380"/>
    </row>
    <row r="108" spans="1:17" ht="31.5" customHeight="1" x14ac:dyDescent="0.25">
      <c r="A108" s="443" t="s">
        <v>186</v>
      </c>
      <c r="B108" s="444"/>
      <c r="C108" s="231" t="s">
        <v>293</v>
      </c>
      <c r="D108" s="168" t="s">
        <v>5</v>
      </c>
      <c r="E108" s="213">
        <f>IF(D108=$N$6,1,IF(D108=$N$5,2,IF(D108=$N$4,3,IF(D108=$N$3,4,"n/a"))))</f>
        <v>3</v>
      </c>
      <c r="F108" s="411" t="s">
        <v>292</v>
      </c>
      <c r="G108" s="411"/>
      <c r="H108" s="411"/>
      <c r="I108" s="411"/>
      <c r="J108" s="411"/>
      <c r="K108" s="411"/>
      <c r="L108" s="380"/>
    </row>
    <row r="109" spans="1:17" ht="31.5" customHeight="1" thickBot="1" x14ac:dyDescent="0.3">
      <c r="A109" s="455" t="s">
        <v>187</v>
      </c>
      <c r="B109" s="456"/>
      <c r="C109" s="234" t="s">
        <v>293</v>
      </c>
      <c r="D109" s="167" t="s">
        <v>43</v>
      </c>
      <c r="E109" s="175">
        <f>IF(D109=$N$6,1,IF(D109=$N$5,2,IF(D109=$N$4,3,IF(D109=$N$3,4,"n/a"))))</f>
        <v>2</v>
      </c>
      <c r="F109" s="439" t="s">
        <v>294</v>
      </c>
      <c r="G109" s="440"/>
      <c r="H109" s="440"/>
      <c r="I109" s="440"/>
      <c r="J109" s="440"/>
      <c r="K109" s="438"/>
      <c r="L109" s="380"/>
    </row>
    <row r="110" spans="1:17" ht="27" customHeight="1" thickBot="1" x14ac:dyDescent="0.3">
      <c r="A110" s="451"/>
      <c r="B110" s="452"/>
      <c r="C110" s="39" t="s">
        <v>24</v>
      </c>
      <c r="D110" s="27" t="str">
        <f>IF(E110&lt;1.5,"Low",IF(E110&lt;2.5,"Moderate",IF(E110&lt;3.5,"Substantial",IF(E110&lt;4.5,"High","n/a"))))</f>
        <v>Substantial</v>
      </c>
      <c r="E110" s="145">
        <f>IF(COUNT(E108:E109)=0,"n/a",AVERAGE(E108:E109))</f>
        <v>2.5</v>
      </c>
      <c r="F110" s="28">
        <f>E110</f>
        <v>2.5</v>
      </c>
      <c r="G110" s="216"/>
      <c r="H110" s="29" t="s">
        <v>23</v>
      </c>
      <c r="I110" s="26" t="str">
        <f>D110</f>
        <v>Substantial</v>
      </c>
      <c r="J110" s="30">
        <f>IF(I110=$N$7,"n/a",IF(AND(I110=$N$5,D110=$N$6),1.5,IF(AND(I110=$N$4,D110=$N$5),2.5,IF(AND(I110=$N$3,D110=$N$4),3.5,IF(AND(I110=$N$6,D110=$N$5),1.49,IF(AND(I110=$N$5,D110=$N$4),2.49,IF(AND(I110=$N$4,D110=$N$3),3.49,E110)))))))</f>
        <v>2.5</v>
      </c>
      <c r="K110" s="89" t="s">
        <v>92</v>
      </c>
      <c r="L110" s="380"/>
    </row>
    <row r="111" spans="1:17" ht="21" customHeight="1" x14ac:dyDescent="0.25">
      <c r="A111" s="396" t="s">
        <v>166</v>
      </c>
      <c r="B111" s="214"/>
      <c r="C111" s="214"/>
      <c r="D111" s="214"/>
      <c r="E111" s="214"/>
      <c r="F111" s="214"/>
      <c r="G111" s="214"/>
      <c r="H111" s="214"/>
      <c r="I111" s="214"/>
      <c r="J111" s="214"/>
      <c r="K111" s="215"/>
      <c r="L111" s="380"/>
      <c r="Q111" s="159"/>
    </row>
    <row r="112" spans="1:17" ht="29.25" customHeight="1" x14ac:dyDescent="0.25">
      <c r="A112" s="443" t="s">
        <v>188</v>
      </c>
      <c r="B112" s="444"/>
      <c r="C112" s="231" t="s">
        <v>295</v>
      </c>
      <c r="D112" s="225" t="s">
        <v>5</v>
      </c>
      <c r="E112" s="213">
        <f>IF(D112=$N$6,1,IF(D112=$N$5,2,IF(D112=$N$4,3,IF(D112=$N$3,4,"n/a"))))</f>
        <v>3</v>
      </c>
      <c r="F112" s="411" t="s">
        <v>296</v>
      </c>
      <c r="G112" s="411"/>
      <c r="H112" s="411"/>
      <c r="I112" s="411"/>
      <c r="J112" s="411"/>
      <c r="K112" s="411"/>
      <c r="L112" s="380"/>
    </row>
    <row r="113" spans="1:12" ht="30.75" customHeight="1" x14ac:dyDescent="0.25">
      <c r="A113" s="441" t="s">
        <v>189</v>
      </c>
      <c r="B113" s="442"/>
      <c r="C113" s="232" t="s">
        <v>288</v>
      </c>
      <c r="D113" s="195" t="s">
        <v>4</v>
      </c>
      <c r="E113" s="118">
        <f>IF(D113=$N$6,1,IF(D113=$N$5,2,IF(D113=$N$4,3,IF(D113=$N$3,4,"n/a"))))</f>
        <v>4</v>
      </c>
      <c r="F113" s="434" t="s">
        <v>297</v>
      </c>
      <c r="G113" s="428"/>
      <c r="H113" s="428"/>
      <c r="I113" s="428"/>
      <c r="J113" s="428"/>
      <c r="K113" s="435"/>
      <c r="L113" s="380"/>
    </row>
    <row r="114" spans="1:12" ht="42.75" customHeight="1" thickBot="1" x14ac:dyDescent="0.3">
      <c r="A114" s="453" t="s">
        <v>167</v>
      </c>
      <c r="B114" s="454"/>
      <c r="C114" s="233" t="s">
        <v>298</v>
      </c>
      <c r="D114" s="165" t="s">
        <v>4</v>
      </c>
      <c r="E114" s="175">
        <f>IF(D114=$N$6,1,IF(D114=$N$5,2,IF(D114=$N$4,3,IF(D114=$N$3,4,"n/a"))))</f>
        <v>4</v>
      </c>
      <c r="F114" s="436" t="s">
        <v>299</v>
      </c>
      <c r="G114" s="437"/>
      <c r="H114" s="437"/>
      <c r="I114" s="437"/>
      <c r="J114" s="437"/>
      <c r="K114" s="438"/>
      <c r="L114" s="378" t="s">
        <v>97</v>
      </c>
    </row>
    <row r="115" spans="1:12" ht="26.25" customHeight="1" thickBot="1" x14ac:dyDescent="0.3">
      <c r="A115" s="518"/>
      <c r="B115" s="519"/>
      <c r="C115" s="39" t="s">
        <v>24</v>
      </c>
      <c r="D115" s="27" t="str">
        <f>IF(E115&lt;1.5,"Low",IF(E115&lt;2.5,"Moderate",IF(E115&lt;3.5,"Substantial",IF(E115&lt;4.5,"High","n/a"))))</f>
        <v>High</v>
      </c>
      <c r="E115" s="145">
        <f>IF(COUNT(E112:E114)=0,"n/a",AVERAGE(E112:E114))</f>
        <v>3.6666666666666665</v>
      </c>
      <c r="F115" s="28">
        <f>E115</f>
        <v>3.6666666666666665</v>
      </c>
      <c r="G115" s="216"/>
      <c r="H115" s="29" t="s">
        <v>23</v>
      </c>
      <c r="I115" s="26" t="str">
        <f>D115</f>
        <v>High</v>
      </c>
      <c r="J115" s="30">
        <f>IF(I115=$N$7,"n/a",IF(AND(I115=$N$5,D115=$N$6),1.5,IF(AND(I115=$N$4,D115=$N$5),2.5,IF(AND(I115=$N$3,D115=$N$4),3.5,IF(AND(I115=$N$6,D115=$N$5),1.49,IF(AND(I115=$N$5,D115=$N$4),2.49,IF(AND(I115=$N$4,D115=$N$3),3.49,E115)))))))</f>
        <v>3.6666666666666665</v>
      </c>
      <c r="K115" s="89" t="s">
        <v>92</v>
      </c>
      <c r="L115" s="380"/>
    </row>
    <row r="116" spans="1:12" ht="23.25" customHeight="1" x14ac:dyDescent="0.25">
      <c r="A116" s="396" t="s">
        <v>170</v>
      </c>
      <c r="B116" s="214"/>
      <c r="C116" s="214"/>
      <c r="D116" s="214"/>
      <c r="E116" s="214"/>
      <c r="F116" s="214"/>
      <c r="G116" s="214"/>
      <c r="H116" s="214"/>
      <c r="I116" s="214"/>
      <c r="J116" s="214"/>
      <c r="K116" s="215"/>
      <c r="L116" s="380"/>
    </row>
    <row r="117" spans="1:12" ht="33" customHeight="1" x14ac:dyDescent="0.25">
      <c r="A117" s="432" t="s">
        <v>171</v>
      </c>
      <c r="B117" s="433"/>
      <c r="C117" s="235"/>
      <c r="D117" s="168" t="s">
        <v>19</v>
      </c>
      <c r="E117" s="118" t="str">
        <f>IF(D117=$N$6,1,IF(D117=$N$5,2,IF(D117=$N$4,3,IF(D117=$N$3,4,"n/a"))))</f>
        <v>n/a</v>
      </c>
      <c r="F117" s="411" t="s">
        <v>16</v>
      </c>
      <c r="G117" s="411"/>
      <c r="H117" s="411"/>
      <c r="I117" s="411"/>
      <c r="J117" s="411"/>
      <c r="K117" s="411"/>
      <c r="L117" s="378"/>
    </row>
    <row r="118" spans="1:12" ht="33" customHeight="1" x14ac:dyDescent="0.25">
      <c r="A118" s="432" t="s">
        <v>172</v>
      </c>
      <c r="B118" s="433"/>
      <c r="C118" s="232"/>
      <c r="D118" s="195" t="s">
        <v>19</v>
      </c>
      <c r="E118" s="118" t="str">
        <f>IF(D118=$N$6,1,IF(D118=$N$5,2,IF(D118=$N$4,3,IF(D118=$N$3,4,"n/a"))))</f>
        <v>n/a</v>
      </c>
      <c r="F118" s="434" t="s">
        <v>16</v>
      </c>
      <c r="G118" s="428"/>
      <c r="H118" s="428"/>
      <c r="I118" s="428"/>
      <c r="J118" s="428"/>
      <c r="K118" s="435"/>
      <c r="L118" s="378"/>
    </row>
    <row r="119" spans="1:12" ht="34.5" customHeight="1" thickBot="1" x14ac:dyDescent="0.3">
      <c r="A119" s="520" t="s">
        <v>195</v>
      </c>
      <c r="B119" s="521"/>
      <c r="C119" s="235"/>
      <c r="D119" s="167" t="s">
        <v>19</v>
      </c>
      <c r="E119" s="175" t="str">
        <f>IF(D119=$N$6,1,IF(D119=$N$5,2,IF(D119=$N$4,3,IF(D119=$N$3,4,"n/a"))))</f>
        <v>n/a</v>
      </c>
      <c r="F119" s="436" t="s">
        <v>16</v>
      </c>
      <c r="G119" s="437"/>
      <c r="H119" s="437"/>
      <c r="I119" s="437"/>
      <c r="J119" s="437"/>
      <c r="K119" s="438"/>
      <c r="L119" s="378"/>
    </row>
    <row r="120" spans="1:12" ht="27" customHeight="1" thickBot="1" x14ac:dyDescent="0.3">
      <c r="A120" s="451"/>
      <c r="B120" s="452"/>
      <c r="C120" s="39" t="s">
        <v>24</v>
      </c>
      <c r="D120" s="27" t="str">
        <f>IF(E120&lt;1.5,"Low",IF(E120&lt;2.5,"Moderate",IF(E120&lt;3.5,"Substantial",IF(E120&lt;4.5,"High","n/a"))))</f>
        <v>n/a</v>
      </c>
      <c r="E120" s="145" t="str">
        <f>IF(COUNT(E117:E119)=0,"n/a",AVERAGE(E117:E119))</f>
        <v>n/a</v>
      </c>
      <c r="F120" s="28" t="str">
        <f>E120</f>
        <v>n/a</v>
      </c>
      <c r="G120" s="216"/>
      <c r="H120" s="29" t="s">
        <v>23</v>
      </c>
      <c r="I120" s="26" t="str">
        <f>D120</f>
        <v>n/a</v>
      </c>
      <c r="J120" s="30" t="str">
        <f>IF(I120=$N$7,"n/a",IF(AND(I120=$N$5,D120=$N$6),1.5,IF(AND(I120=$N$4,D120=$N$5),2.5,IF(AND(I120=$N$3,D120=$N$4),3.5,IF(AND(I120=$N$6,D120=$N$5),1.49,IF(AND(I120=$N$5,D120=$N$4),2.49,IF(AND(I120=$N$4,D120=$N$3),3.49,E120)))))))</f>
        <v>n/a</v>
      </c>
      <c r="K120" s="89" t="s">
        <v>92</v>
      </c>
      <c r="L120" s="380"/>
    </row>
  </sheetData>
  <sheetProtection password="CC15" sheet="1" objects="1" scenarios="1" formatRows="0"/>
  <mergeCells count="155">
    <mergeCell ref="F64:K64"/>
    <mergeCell ref="F65:K65"/>
    <mergeCell ref="A73:B73"/>
    <mergeCell ref="A30:B30"/>
    <mergeCell ref="A64:B64"/>
    <mergeCell ref="A66:B66"/>
    <mergeCell ref="A59:B59"/>
    <mergeCell ref="A65:B65"/>
    <mergeCell ref="A70:B70"/>
    <mergeCell ref="F42:K42"/>
    <mergeCell ref="A71:B71"/>
    <mergeCell ref="A61:B61"/>
    <mergeCell ref="A62:B62"/>
    <mergeCell ref="F70:K70"/>
    <mergeCell ref="A120:B120"/>
    <mergeCell ref="A108:B108"/>
    <mergeCell ref="F108:K108"/>
    <mergeCell ref="A80:B80"/>
    <mergeCell ref="F79:K79"/>
    <mergeCell ref="A115:B115"/>
    <mergeCell ref="A79:B79"/>
    <mergeCell ref="A119:B119"/>
    <mergeCell ref="F104:K104"/>
    <mergeCell ref="F105:K105"/>
    <mergeCell ref="A117:B117"/>
    <mergeCell ref="F117:K117"/>
    <mergeCell ref="A114:B114"/>
    <mergeCell ref="F87:K87"/>
    <mergeCell ref="A88:B88"/>
    <mergeCell ref="F88:K88"/>
    <mergeCell ref="A89:B89"/>
    <mergeCell ref="F89:K89"/>
    <mergeCell ref="A90:B90"/>
    <mergeCell ref="F90:K90"/>
    <mergeCell ref="A106:B106"/>
    <mergeCell ref="A91:B91"/>
    <mergeCell ref="A93:B93"/>
    <mergeCell ref="A83:B83"/>
    <mergeCell ref="F9:K9"/>
    <mergeCell ref="A13:B13"/>
    <mergeCell ref="A60:B60"/>
    <mergeCell ref="F52:K52"/>
    <mergeCell ref="A55:B55"/>
    <mergeCell ref="F55:K55"/>
    <mergeCell ref="A51:B51"/>
    <mergeCell ref="F51:K51"/>
    <mergeCell ref="A53:B53"/>
    <mergeCell ref="F53:K53"/>
    <mergeCell ref="F60:K60"/>
    <mergeCell ref="A26:B26"/>
    <mergeCell ref="A58:B58"/>
    <mergeCell ref="A16:B16"/>
    <mergeCell ref="A19:B19"/>
    <mergeCell ref="F19:K19"/>
    <mergeCell ref="F58:K58"/>
    <mergeCell ref="F45:K45"/>
    <mergeCell ref="A31:B31"/>
    <mergeCell ref="F54:K54"/>
    <mergeCell ref="F13:K13"/>
    <mergeCell ref="A56:B56"/>
    <mergeCell ref="A54:B54"/>
    <mergeCell ref="A52:B52"/>
    <mergeCell ref="F25:K25"/>
    <mergeCell ref="F20:K20"/>
    <mergeCell ref="A21:B21"/>
    <mergeCell ref="F31:K31"/>
    <mergeCell ref="F34:K34"/>
    <mergeCell ref="A41:B41"/>
    <mergeCell ref="A43:B43"/>
    <mergeCell ref="A42:B42"/>
    <mergeCell ref="F48:K48"/>
    <mergeCell ref="A48:B48"/>
    <mergeCell ref="A46:B46"/>
    <mergeCell ref="F46:K46"/>
    <mergeCell ref="F47:K47"/>
    <mergeCell ref="A28:B28"/>
    <mergeCell ref="F28:K28"/>
    <mergeCell ref="A29:B29"/>
    <mergeCell ref="F29:K29"/>
    <mergeCell ref="A37:B37"/>
    <mergeCell ref="F37:K37"/>
    <mergeCell ref="F41:K41"/>
    <mergeCell ref="A47:B47"/>
    <mergeCell ref="D1:E1"/>
    <mergeCell ref="A2:B2"/>
    <mergeCell ref="A24:B24"/>
    <mergeCell ref="F12:K12"/>
    <mergeCell ref="F2:K2"/>
    <mergeCell ref="A10:B10"/>
    <mergeCell ref="A14:B14"/>
    <mergeCell ref="F24:K24"/>
    <mergeCell ref="A36:B36"/>
    <mergeCell ref="F36:K36"/>
    <mergeCell ref="A35:B35"/>
    <mergeCell ref="F35:K35"/>
    <mergeCell ref="A5:B5"/>
    <mergeCell ref="F5:K5"/>
    <mergeCell ref="A12:B12"/>
    <mergeCell ref="A20:B20"/>
    <mergeCell ref="F16:K16"/>
    <mergeCell ref="F30:K30"/>
    <mergeCell ref="A25:B25"/>
    <mergeCell ref="A7:B7"/>
    <mergeCell ref="F7:K7"/>
    <mergeCell ref="A17:B17"/>
    <mergeCell ref="A6:B6"/>
    <mergeCell ref="F6:K6"/>
    <mergeCell ref="A8:B8"/>
    <mergeCell ref="F8:K8"/>
    <mergeCell ref="A9:B9"/>
    <mergeCell ref="F61:K61"/>
    <mergeCell ref="F112:K112"/>
    <mergeCell ref="A110:B110"/>
    <mergeCell ref="A103:B103"/>
    <mergeCell ref="F103:K103"/>
    <mergeCell ref="A104:B104"/>
    <mergeCell ref="A105:B105"/>
    <mergeCell ref="A109:B109"/>
    <mergeCell ref="F77:K77"/>
    <mergeCell ref="F83:K83"/>
    <mergeCell ref="F69:K69"/>
    <mergeCell ref="A69:B69"/>
    <mergeCell ref="F82:K82"/>
    <mergeCell ref="A82:B82"/>
    <mergeCell ref="A45:B45"/>
    <mergeCell ref="A49:B49"/>
    <mergeCell ref="F59:K59"/>
    <mergeCell ref="A87:B87"/>
    <mergeCell ref="A100:B100"/>
    <mergeCell ref="A34:B34"/>
    <mergeCell ref="F73:K73"/>
    <mergeCell ref="A118:B118"/>
    <mergeCell ref="F113:K113"/>
    <mergeCell ref="F118:K118"/>
    <mergeCell ref="F119:K119"/>
    <mergeCell ref="F114:K114"/>
    <mergeCell ref="F109:K109"/>
    <mergeCell ref="F99:K99"/>
    <mergeCell ref="F98:K98"/>
    <mergeCell ref="F94:K94"/>
    <mergeCell ref="A113:B113"/>
    <mergeCell ref="A112:B112"/>
    <mergeCell ref="F93:K93"/>
    <mergeCell ref="A94:B94"/>
    <mergeCell ref="A95:B95"/>
    <mergeCell ref="A97:B97"/>
    <mergeCell ref="F97:K97"/>
    <mergeCell ref="A98:B98"/>
    <mergeCell ref="A99:B99"/>
    <mergeCell ref="A74:B74"/>
    <mergeCell ref="F74:K74"/>
    <mergeCell ref="A78:B78"/>
    <mergeCell ref="F78:K78"/>
    <mergeCell ref="A77:B77"/>
    <mergeCell ref="A75:B75"/>
  </mergeCells>
  <phoneticPr fontId="1" type="noConversion"/>
  <conditionalFormatting sqref="A91">
    <cfRule type="cellIs" dxfId="55" priority="17" operator="equal">
      <formula>$N$6</formula>
    </cfRule>
    <cfRule type="cellIs" dxfId="54" priority="18" operator="equal">
      <formula>$N$5</formula>
    </cfRule>
    <cfRule type="cellIs" dxfId="53" priority="19" operator="equal">
      <formula>$N$4</formula>
    </cfRule>
    <cfRule type="cellIs" dxfId="52" priority="20" operator="equal">
      <formula>$N$3</formula>
    </cfRule>
  </conditionalFormatting>
  <conditionalFormatting sqref="A2:H2">
    <cfRule type="cellIs" dxfId="51" priority="911" operator="equal">
      <formula>"Low"</formula>
    </cfRule>
    <cfRule type="cellIs" dxfId="50" priority="910" operator="equal">
      <formula>"Moderate"</formula>
    </cfRule>
    <cfRule type="cellIs" dxfId="49" priority="909" operator="equal">
      <formula>"Substantial"</formula>
    </cfRule>
    <cfRule type="cellIs" dxfId="48" priority="908" operator="equal">
      <formula>"High"</formula>
    </cfRule>
  </conditionalFormatting>
  <conditionalFormatting sqref="A118:J119">
    <cfRule type="cellIs" dxfId="47" priority="9" operator="equal">
      <formula>$N$6</formula>
    </cfRule>
    <cfRule type="cellIs" dxfId="46" priority="10" operator="equal">
      <formula>$N$5</formula>
    </cfRule>
    <cfRule type="cellIs" dxfId="45" priority="11" operator="equal">
      <formula>$N$4</formula>
    </cfRule>
    <cfRule type="cellIs" dxfId="44" priority="12" operator="equal">
      <formula>$N$3</formula>
    </cfRule>
  </conditionalFormatting>
  <conditionalFormatting sqref="A3:K25 A26 C26:K26 A73:J74 A75:K90 A92:K93 A94:J94 A100:K105 A106 C106:K106 A107:K108 A109:J109 A110:K112 A113:J114 A115:K117 A120:K120">
    <cfRule type="cellIs" dxfId="43" priority="36" operator="equal">
      <formula>$N$3</formula>
    </cfRule>
    <cfRule type="cellIs" dxfId="42" priority="35" operator="equal">
      <formula>$N$4</formula>
    </cfRule>
    <cfRule type="cellIs" dxfId="41" priority="34" operator="equal">
      <formula>$N$5</formula>
    </cfRule>
    <cfRule type="cellIs" dxfId="40" priority="33" operator="equal">
      <formula>$N$6</formula>
    </cfRule>
  </conditionalFormatting>
  <conditionalFormatting sqref="A27:K72">
    <cfRule type="cellIs" dxfId="39" priority="21" operator="equal">
      <formula>$N$6</formula>
    </cfRule>
    <cfRule type="cellIs" dxfId="38" priority="22" operator="equal">
      <formula>$N$5</formula>
    </cfRule>
    <cfRule type="cellIs" dxfId="37" priority="23" operator="equal">
      <formula>$N$4</formula>
    </cfRule>
    <cfRule type="cellIs" dxfId="36" priority="24" operator="equal">
      <formula>$N$3</formula>
    </cfRule>
  </conditionalFormatting>
  <conditionalFormatting sqref="A95:K97 A98:J99">
    <cfRule type="cellIs" dxfId="35" priority="16" operator="equal">
      <formula>$N$3</formula>
    </cfRule>
    <cfRule type="cellIs" dxfId="34" priority="15" operator="equal">
      <formula>$N$4</formula>
    </cfRule>
    <cfRule type="cellIs" dxfId="33" priority="14" operator="equal">
      <formula>$N$5</formula>
    </cfRule>
    <cfRule type="cellIs" dxfId="32" priority="13" operator="equal">
      <formula>$N$6</formula>
    </cfRule>
  </conditionalFormatting>
  <conditionalFormatting sqref="C1">
    <cfRule type="cellIs" dxfId="31" priority="615" operator="equal">
      <formula>"High"</formula>
    </cfRule>
    <cfRule type="cellIs" dxfId="30" priority="616" operator="equal">
      <formula>"Substantial"</formula>
    </cfRule>
    <cfRule type="cellIs" dxfId="29" priority="617" operator="equal">
      <formula>"Moderate"</formula>
    </cfRule>
    <cfRule type="cellIs" dxfId="28" priority="618" operator="equal">
      <formula>"Low"</formula>
    </cfRule>
  </conditionalFormatting>
  <conditionalFormatting sqref="C91:K91">
    <cfRule type="cellIs" dxfId="27" priority="4" operator="equal">
      <formula>$N$3</formula>
    </cfRule>
    <cfRule type="cellIs" dxfId="26" priority="3" operator="equal">
      <formula>$N$4</formula>
    </cfRule>
    <cfRule type="cellIs" dxfId="25" priority="2" operator="equal">
      <formula>$N$5</formula>
    </cfRule>
    <cfRule type="cellIs" dxfId="24" priority="1" operator="equal">
      <formula>$N$6</formula>
    </cfRule>
  </conditionalFormatting>
  <conditionalFormatting sqref="F1">
    <cfRule type="cellIs" dxfId="23" priority="611" operator="equal">
      <formula>"High"</formula>
    </cfRule>
    <cfRule type="cellIs" dxfId="22" priority="612" operator="equal">
      <formula>"Substantial"</formula>
    </cfRule>
    <cfRule type="cellIs" dxfId="21" priority="613" operator="equal">
      <formula>"Moderate"</formula>
    </cfRule>
    <cfRule type="cellIs" dxfId="20" priority="614" operator="equal">
      <formula>"Low"</formula>
    </cfRule>
  </conditionalFormatting>
  <dataValidations count="1">
    <dataValidation type="list" allowBlank="1" showInputMessage="1" showErrorMessage="1" sqref="I17 I56 I49 I43 I21 I80 I14 I120 I66 D117:D119 I32 I115 I62 I38:I39 I106 I71 I75 I10 D97:D99 D5:D9 D16 D24:D25 D69:D70 D82:D83 D28:D31 D41:D42 I110 D58:D61 D51:D55 D12:D13 D103:D105 D108:D109 D112:D114 D34:D37 D73:D74 D19:D20 D77:D79 D45:D48 I84 D64:D65 I91 D87:D90 I100 I95 D93:D94 I26" xr:uid="{00000000-0002-0000-0200-000000000000}">
      <formula1>$N$3:$N$7</formula1>
    </dataValidation>
  </dataValidations>
  <pageMargins left="0.7" right="0.7" top="0.75" bottom="0.75" header="0.3" footer="0.3"/>
  <pageSetup paperSize="8" scale="95" fitToHeight="0" orientation="landscape" r:id="rId1"/>
  <headerFooter alignWithMargins="0"/>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F55"/>
  <sheetViews>
    <sheetView tabSelected="1" zoomScaleNormal="100" zoomScaleSheetLayoutView="115" workbookViewId="0">
      <selection activeCell="B10" sqref="B10"/>
    </sheetView>
  </sheetViews>
  <sheetFormatPr defaultColWidth="8.77734375" defaultRowHeight="13.2" x14ac:dyDescent="0.25"/>
  <cols>
    <col min="1" max="1" width="12.77734375" customWidth="1"/>
    <col min="2" max="2" width="126" customWidth="1"/>
    <col min="4" max="6" width="17.77734375" customWidth="1"/>
  </cols>
  <sheetData>
    <row r="1" spans="1:2" ht="24" customHeight="1" thickBot="1" x14ac:dyDescent="0.3">
      <c r="A1" s="607" t="s">
        <v>123</v>
      </c>
      <c r="B1" s="608"/>
    </row>
    <row r="2" spans="1:2" s="152" customFormat="1" ht="23.25" customHeight="1" x14ac:dyDescent="0.25">
      <c r="A2" s="609" t="s">
        <v>211</v>
      </c>
      <c r="B2" s="610"/>
    </row>
    <row r="3" spans="1:2" ht="40.5" customHeight="1" x14ac:dyDescent="0.25">
      <c r="A3" s="388" t="s">
        <v>200</v>
      </c>
      <c r="B3" s="393" t="s">
        <v>196</v>
      </c>
    </row>
    <row r="4" spans="1:2" ht="36" customHeight="1" x14ac:dyDescent="0.25">
      <c r="A4" s="410" t="s">
        <v>201</v>
      </c>
      <c r="B4" s="94" t="s">
        <v>198</v>
      </c>
    </row>
    <row r="5" spans="1:2" ht="36" customHeight="1" thickBot="1" x14ac:dyDescent="0.3">
      <c r="A5" s="388" t="s">
        <v>215</v>
      </c>
      <c r="B5" s="391" t="s">
        <v>216</v>
      </c>
    </row>
    <row r="6" spans="1:2" ht="23.25" customHeight="1" x14ac:dyDescent="0.25">
      <c r="A6" s="611" t="s">
        <v>197</v>
      </c>
      <c r="B6" s="612"/>
    </row>
    <row r="7" spans="1:2" ht="21.75" customHeight="1" x14ac:dyDescent="0.25">
      <c r="A7" s="387" t="s">
        <v>136</v>
      </c>
      <c r="B7" s="254"/>
    </row>
    <row r="8" spans="1:2" ht="37.5" customHeight="1" x14ac:dyDescent="0.25">
      <c r="A8" s="93">
        <v>1</v>
      </c>
      <c r="B8" s="393" t="s">
        <v>199</v>
      </c>
    </row>
    <row r="9" spans="1:2" ht="22.5" customHeight="1" x14ac:dyDescent="0.3">
      <c r="A9" s="387" t="s">
        <v>134</v>
      </c>
      <c r="B9" s="253"/>
    </row>
    <row r="10" spans="1:2" ht="130.5" customHeight="1" x14ac:dyDescent="0.25">
      <c r="A10" s="392">
        <f>+A8+1</f>
        <v>2</v>
      </c>
      <c r="B10" s="94" t="s">
        <v>212</v>
      </c>
    </row>
    <row r="11" spans="1:2" ht="27" customHeight="1" x14ac:dyDescent="0.25">
      <c r="A11" s="392">
        <f>+A10+1</f>
        <v>3</v>
      </c>
      <c r="B11" s="94" t="s">
        <v>202</v>
      </c>
    </row>
    <row r="12" spans="1:2" ht="23.25" customHeight="1" x14ac:dyDescent="0.25">
      <c r="A12" s="392">
        <f t="shared" ref="A12:A13" si="0">+A11+1</f>
        <v>4</v>
      </c>
      <c r="B12" s="94" t="s">
        <v>209</v>
      </c>
    </row>
    <row r="13" spans="1:2" ht="114" customHeight="1" x14ac:dyDescent="0.25">
      <c r="A13" s="392">
        <f t="shared" si="0"/>
        <v>5</v>
      </c>
      <c r="B13" s="94" t="s">
        <v>210</v>
      </c>
    </row>
    <row r="14" spans="1:2" ht="22.5" customHeight="1" x14ac:dyDescent="0.25">
      <c r="A14" s="387" t="s">
        <v>135</v>
      </c>
      <c r="B14" s="254"/>
    </row>
    <row r="15" spans="1:2" ht="54.75" customHeight="1" x14ac:dyDescent="0.25">
      <c r="A15" s="392">
        <f>+A13+1</f>
        <v>6</v>
      </c>
      <c r="B15" s="94" t="s">
        <v>203</v>
      </c>
    </row>
    <row r="16" spans="1:2" ht="23.25" customHeight="1" x14ac:dyDescent="0.25">
      <c r="A16" s="392">
        <f t="shared" ref="A16:A18" si="1">+A15+1</f>
        <v>7</v>
      </c>
      <c r="B16" s="94" t="s">
        <v>204</v>
      </c>
    </row>
    <row r="17" spans="1:2" ht="24.75" customHeight="1" x14ac:dyDescent="0.25">
      <c r="A17" s="392">
        <f t="shared" si="1"/>
        <v>8</v>
      </c>
      <c r="B17" s="94" t="s">
        <v>205</v>
      </c>
    </row>
    <row r="18" spans="1:2" ht="24.75" customHeight="1" x14ac:dyDescent="0.25">
      <c r="A18" s="392">
        <f t="shared" si="1"/>
        <v>9</v>
      </c>
      <c r="B18" s="94" t="s">
        <v>206</v>
      </c>
    </row>
    <row r="19" spans="1:2" ht="21.75" customHeight="1" x14ac:dyDescent="0.25">
      <c r="A19" s="387" t="s">
        <v>136</v>
      </c>
      <c r="B19" s="254"/>
    </row>
    <row r="20" spans="1:2" ht="40.5" customHeight="1" thickBot="1" x14ac:dyDescent="0.3">
      <c r="A20" s="93">
        <f>+A18+1</f>
        <v>10</v>
      </c>
      <c r="B20" s="391" t="s">
        <v>207</v>
      </c>
    </row>
    <row r="21" spans="1:2" ht="52.5" customHeight="1" thickBot="1" x14ac:dyDescent="0.3">
      <c r="A21" s="390" t="s">
        <v>125</v>
      </c>
      <c r="B21" s="255" t="s">
        <v>208</v>
      </c>
    </row>
    <row r="24" spans="1:2" ht="17.25" customHeight="1" x14ac:dyDescent="0.25">
      <c r="A24" s="389" t="s">
        <v>94</v>
      </c>
      <c r="B24" s="389" t="s">
        <v>93</v>
      </c>
    </row>
    <row r="25" spans="1:2" x14ac:dyDescent="0.25">
      <c r="A25" s="95" t="s">
        <v>95</v>
      </c>
      <c r="B25" s="95" t="s">
        <v>73</v>
      </c>
    </row>
    <row r="26" spans="1:2" x14ac:dyDescent="0.25">
      <c r="A26" s="95" t="s">
        <v>96</v>
      </c>
      <c r="B26" s="95" t="s">
        <v>73</v>
      </c>
    </row>
    <row r="27" spans="1:2" x14ac:dyDescent="0.25">
      <c r="A27" s="95" t="s">
        <v>98</v>
      </c>
      <c r="B27" s="96" t="s">
        <v>99</v>
      </c>
    </row>
    <row r="28" spans="1:2" ht="34.799999999999997" x14ac:dyDescent="0.25">
      <c r="A28" s="97">
        <v>2.1</v>
      </c>
      <c r="B28" s="98" t="s">
        <v>64</v>
      </c>
    </row>
    <row r="29" spans="1:2" x14ac:dyDescent="0.25">
      <c r="A29" s="99" t="s">
        <v>100</v>
      </c>
      <c r="B29" s="99" t="s">
        <v>65</v>
      </c>
    </row>
    <row r="30" spans="1:2" x14ac:dyDescent="0.25">
      <c r="A30" s="99" t="s">
        <v>101</v>
      </c>
      <c r="B30" s="99" t="s">
        <v>48</v>
      </c>
    </row>
    <row r="31" spans="1:2" ht="23.4" x14ac:dyDescent="0.25">
      <c r="A31" s="100" t="s">
        <v>102</v>
      </c>
      <c r="B31" s="99" t="s">
        <v>67</v>
      </c>
    </row>
    <row r="32" spans="1:2" x14ac:dyDescent="0.25">
      <c r="A32" s="101" t="s">
        <v>103</v>
      </c>
      <c r="B32" s="101" t="s">
        <v>33</v>
      </c>
    </row>
    <row r="33" spans="1:2" ht="22.8" x14ac:dyDescent="0.25">
      <c r="A33" s="102">
        <v>4</v>
      </c>
      <c r="B33" s="102" t="s">
        <v>104</v>
      </c>
    </row>
    <row r="34" spans="1:2" x14ac:dyDescent="0.25">
      <c r="A34" s="88" t="s">
        <v>105</v>
      </c>
      <c r="B34" s="88" t="s">
        <v>194</v>
      </c>
    </row>
    <row r="35" spans="1:2" x14ac:dyDescent="0.25">
      <c r="A35" s="88" t="s">
        <v>106</v>
      </c>
      <c r="B35" s="88" t="s">
        <v>117</v>
      </c>
    </row>
    <row r="36" spans="1:2" x14ac:dyDescent="0.25">
      <c r="A36" s="88" t="s">
        <v>107</v>
      </c>
      <c r="B36" s="88" t="s">
        <v>116</v>
      </c>
    </row>
    <row r="37" spans="1:2" ht="34.200000000000003" x14ac:dyDescent="0.25">
      <c r="A37" s="88" t="s">
        <v>108</v>
      </c>
      <c r="B37" s="88" t="s">
        <v>109</v>
      </c>
    </row>
    <row r="38" spans="1:2" ht="22.8" x14ac:dyDescent="0.25">
      <c r="A38" s="88" t="s">
        <v>110</v>
      </c>
      <c r="B38" s="88" t="s">
        <v>77</v>
      </c>
    </row>
    <row r="39" spans="1:2" x14ac:dyDescent="0.25">
      <c r="A39" s="88" t="s">
        <v>111</v>
      </c>
      <c r="B39" s="88" t="s">
        <v>118</v>
      </c>
    </row>
    <row r="40" spans="1:2" x14ac:dyDescent="0.25">
      <c r="A40" s="309" t="s">
        <v>112</v>
      </c>
      <c r="B40" s="309" t="s">
        <v>158</v>
      </c>
    </row>
    <row r="41" spans="1:2" x14ac:dyDescent="0.25">
      <c r="A41" s="310" t="s">
        <v>179</v>
      </c>
      <c r="B41" s="310" t="s">
        <v>182</v>
      </c>
    </row>
    <row r="42" spans="1:2" x14ac:dyDescent="0.25">
      <c r="A42" s="310" t="s">
        <v>163</v>
      </c>
      <c r="B42" s="310" t="s">
        <v>121</v>
      </c>
    </row>
    <row r="43" spans="1:2" x14ac:dyDescent="0.25">
      <c r="A43" s="310" t="s">
        <v>115</v>
      </c>
      <c r="B43" s="310" t="s">
        <v>122</v>
      </c>
    </row>
    <row r="44" spans="1:2" x14ac:dyDescent="0.25">
      <c r="A44" s="103" t="s">
        <v>173</v>
      </c>
      <c r="B44" s="103" t="s">
        <v>113</v>
      </c>
    </row>
    <row r="45" spans="1:2" x14ac:dyDescent="0.25">
      <c r="A45" s="103" t="s">
        <v>174</v>
      </c>
      <c r="B45" s="104" t="s">
        <v>114</v>
      </c>
    </row>
    <row r="46" spans="1:2" x14ac:dyDescent="0.25">
      <c r="A46" s="104" t="s">
        <v>175</v>
      </c>
      <c r="B46" s="104" t="s">
        <v>119</v>
      </c>
    </row>
    <row r="47" spans="1:2" x14ac:dyDescent="0.25">
      <c r="A47" s="104" t="s">
        <v>176</v>
      </c>
      <c r="B47" s="104" t="s">
        <v>120</v>
      </c>
    </row>
    <row r="48" spans="1:2" ht="13.8" thickBot="1" x14ac:dyDescent="0.3">
      <c r="A48" s="312"/>
      <c r="B48" s="312"/>
    </row>
    <row r="49" spans="1:6" ht="27.75" customHeight="1" thickBot="1" x14ac:dyDescent="0.3">
      <c r="A49" s="251"/>
      <c r="B49" s="252"/>
      <c r="D49" s="256"/>
      <c r="E49" s="262" t="s">
        <v>127</v>
      </c>
      <c r="F49" s="257" t="s">
        <v>129</v>
      </c>
    </row>
    <row r="50" spans="1:6" ht="45" customHeight="1" thickBot="1" x14ac:dyDescent="0.3">
      <c r="A50" s="251"/>
      <c r="B50" s="252" t="s">
        <v>137</v>
      </c>
      <c r="C50" s="14"/>
      <c r="D50" s="267" t="s">
        <v>128</v>
      </c>
      <c r="E50" s="263" t="s">
        <v>130</v>
      </c>
      <c r="F50" s="261" t="s">
        <v>131</v>
      </c>
    </row>
    <row r="51" spans="1:6" ht="21.75" customHeight="1" x14ac:dyDescent="0.25">
      <c r="A51" s="251"/>
      <c r="B51" s="252"/>
      <c r="C51" s="14"/>
      <c r="D51" s="268" t="s">
        <v>4</v>
      </c>
      <c r="E51" s="264">
        <v>4</v>
      </c>
      <c r="F51" s="260" t="s">
        <v>138</v>
      </c>
    </row>
    <row r="52" spans="1:6" ht="21.75" customHeight="1" x14ac:dyDescent="0.25">
      <c r="A52" s="251"/>
      <c r="B52" s="252"/>
      <c r="C52" s="14"/>
      <c r="D52" s="269" t="s">
        <v>5</v>
      </c>
      <c r="E52" s="265">
        <v>3</v>
      </c>
      <c r="F52" s="258" t="s">
        <v>139</v>
      </c>
    </row>
    <row r="53" spans="1:6" ht="21.75" customHeight="1" x14ac:dyDescent="0.25">
      <c r="A53" s="251"/>
      <c r="B53" s="252"/>
      <c r="C53" s="14"/>
      <c r="D53" s="270" t="s">
        <v>43</v>
      </c>
      <c r="E53" s="265">
        <v>2</v>
      </c>
      <c r="F53" s="258" t="s">
        <v>140</v>
      </c>
    </row>
    <row r="54" spans="1:6" ht="21.75" customHeight="1" x14ac:dyDescent="0.25">
      <c r="A54" s="251"/>
      <c r="B54" s="252"/>
      <c r="C54" s="14"/>
      <c r="D54" s="271" t="s">
        <v>80</v>
      </c>
      <c r="E54" s="265">
        <v>1</v>
      </c>
      <c r="F54" s="258" t="s">
        <v>133</v>
      </c>
    </row>
    <row r="55" spans="1:6" ht="21.75" customHeight="1" thickBot="1" x14ac:dyDescent="0.3">
      <c r="A55" s="251"/>
      <c r="B55" s="252"/>
      <c r="C55" s="14"/>
      <c r="D55" s="272" t="s">
        <v>19</v>
      </c>
      <c r="E55" s="266" t="s">
        <v>132</v>
      </c>
      <c r="F55" s="259" t="s">
        <v>132</v>
      </c>
    </row>
  </sheetData>
  <sheetProtection password="CC15" sheet="1" objects="1" scenarios="1" formatRows="0"/>
  <mergeCells count="3">
    <mergeCell ref="A1:B1"/>
    <mergeCell ref="A2:B2"/>
    <mergeCell ref="A6:B6"/>
  </mergeCells>
  <phoneticPr fontId="1" type="noConversion"/>
  <conditionalFormatting sqref="A27:A28">
    <cfRule type="cellIs" dxfId="19" priority="61" operator="equal">
      <formula>$N$6</formula>
    </cfRule>
    <cfRule type="cellIs" dxfId="18" priority="62" operator="equal">
      <formula>#REF!</formula>
    </cfRule>
    <cfRule type="cellIs" dxfId="17" priority="63" operator="equal">
      <formula>$N$4</formula>
    </cfRule>
    <cfRule type="cellIs" dxfId="16" priority="64" operator="equal">
      <formula>$N$3</formula>
    </cfRule>
  </conditionalFormatting>
  <conditionalFormatting sqref="A45">
    <cfRule type="cellIs" dxfId="15" priority="13" operator="equal">
      <formula>$N$6</formula>
    </cfRule>
    <cfRule type="cellIs" dxfId="14" priority="14" operator="equal">
      <formula>#REF!</formula>
    </cfRule>
    <cfRule type="cellIs" dxfId="13" priority="15" operator="equal">
      <formula>$N$4</formula>
    </cfRule>
    <cfRule type="cellIs" dxfId="12" priority="16" operator="equal">
      <formula>$N$3</formula>
    </cfRule>
  </conditionalFormatting>
  <conditionalFormatting sqref="A25:B26">
    <cfRule type="cellIs" dxfId="11" priority="69" operator="equal">
      <formula>$N$6</formula>
    </cfRule>
    <cfRule type="cellIs" dxfId="10" priority="70" operator="equal">
      <formula>#REF!</formula>
    </cfRule>
    <cfRule type="cellIs" dxfId="9" priority="71" operator="equal">
      <formula>$N$4</formula>
    </cfRule>
    <cfRule type="cellIs" dxfId="8" priority="72" operator="equal">
      <formula>$N$3</formula>
    </cfRule>
  </conditionalFormatting>
  <conditionalFormatting sqref="A32:B40">
    <cfRule type="cellIs" dxfId="7" priority="1" operator="equal">
      <formula>$N$6</formula>
    </cfRule>
    <cfRule type="cellIs" dxfId="6" priority="2" operator="equal">
      <formula>#REF!</formula>
    </cfRule>
    <cfRule type="cellIs" dxfId="5" priority="3" operator="equal">
      <formula>$N$4</formula>
    </cfRule>
    <cfRule type="cellIs" dxfId="4" priority="4" operator="equal">
      <formula>$N$3</formula>
    </cfRule>
  </conditionalFormatting>
  <conditionalFormatting sqref="A44:B44">
    <cfRule type="cellIs" dxfId="3" priority="17" operator="equal">
      <formula>$N$6</formula>
    </cfRule>
    <cfRule type="cellIs" dxfId="2" priority="18" operator="equal">
      <formula>#REF!</formula>
    </cfRule>
    <cfRule type="cellIs" dxfId="1" priority="19" operator="equal">
      <formula>$N$4</formula>
    </cfRule>
    <cfRule type="cellIs" dxfId="0" priority="20" operator="equal">
      <formula>$N$3</formula>
    </cfRule>
  </conditionalFormatting>
  <pageMargins left="0.75" right="0.75" top="1" bottom="1" header="0.5" footer="0.5"/>
  <pageSetup paperSize="9" scale="95" orientation="landscape" r:id="rId1"/>
  <headerFooter alignWithMargins="0"/>
  <rowBreaks count="1" manualBreakCount="1">
    <brk id="24" max="16383" man="1"/>
  </rowBreaks>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PublishingExpirationDate xmlns="http://schemas.microsoft.com/sharepoint/v3" xsi:nil="true"/>
    <PublishingStartDate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CA2A9247B253747B25D6529A116ACA7" ma:contentTypeVersion="1" ma:contentTypeDescription="Create a new document." ma:contentTypeScope="" ma:versionID="ce64260c4de65b389c95145d8ac6abee">
  <xsd:schema xmlns:xsd="http://www.w3.org/2001/XMLSchema" xmlns:xs="http://www.w3.org/2001/XMLSchema" xmlns:p="http://schemas.microsoft.com/office/2006/metadata/properties" xmlns:ns1="http://schemas.microsoft.com/sharepoint/v3" targetNamespace="http://schemas.microsoft.com/office/2006/metadata/properties" ma:root="true" ma:fieldsID="a447206dab0015f8b9f8924535193e8c"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 ma:hidden="true" ma:internalName="PublishingStartDate">
      <xsd:simpleType>
        <xsd:restriction base="dms:Unknown"/>
      </xsd:simpleType>
    </xsd:element>
    <xsd:element name="PublishingExpirationDate" ma:index="9" nillable="true" ma:displayName="Scheduling End Date" ma:description="" ma:hidden="tru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D789124-D42E-41EA-9C34-CFE157928930}">
  <ds:schemaRef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microsoft.com/sharepoint/v3"/>
    <ds:schemaRef ds:uri="http://purl.org/dc/terms/"/>
    <ds:schemaRef ds:uri="http://www.w3.org/XML/1998/namespace"/>
    <ds:schemaRef ds:uri="http://purl.org/dc/dcmitype/"/>
  </ds:schemaRefs>
</ds:datastoreItem>
</file>

<file path=customXml/itemProps2.xml><?xml version="1.0" encoding="utf-8"?>
<ds:datastoreItem xmlns:ds="http://schemas.openxmlformats.org/officeDocument/2006/customXml" ds:itemID="{F05C8FF2-37EA-4042-A6CB-7136DC3E3313}">
  <ds:schemaRefs>
    <ds:schemaRef ds:uri="http://schemas.microsoft.com/sharepoint/v3/contenttype/forms"/>
  </ds:schemaRefs>
</ds:datastoreItem>
</file>

<file path=customXml/itemProps3.xml><?xml version="1.0" encoding="utf-8"?>
<ds:datastoreItem xmlns:ds="http://schemas.openxmlformats.org/officeDocument/2006/customXml" ds:itemID="{3990A9CF-0A02-4A06-8094-BA9C836988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Profile</vt:lpstr>
      <vt:lpstr>Register</vt:lpstr>
      <vt:lpstr>Questionnaire</vt:lpstr>
      <vt:lpstr>Guidance</vt:lpstr>
      <vt:lpstr>Profile!Print_Area</vt:lpstr>
      <vt:lpstr>Questionnaire!Print_Area</vt:lpstr>
      <vt:lpstr>Register!Print_Area</vt:lpstr>
      <vt:lpstr>Questionnaire!Print_Titles</vt:lpstr>
      <vt:lpstr>Register!Print_Titles</vt:lpstr>
    </vt:vector>
  </TitlesOfParts>
  <Company>European Commission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PF</dc:creator>
  <cp:lastModifiedBy>Laura Felisatti</cp:lastModifiedBy>
  <cp:lastPrinted>2015-09-16T12:49:58Z</cp:lastPrinted>
  <dcterms:created xsi:type="dcterms:W3CDTF">2012-01-04T16:00:22Z</dcterms:created>
  <dcterms:modified xsi:type="dcterms:W3CDTF">2026-07-23T15:17:28Z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0x0101005CA2A9247B253747B25D6529A116ACA7</vt:lpwstr>
  </property>
</Properties>
</file>