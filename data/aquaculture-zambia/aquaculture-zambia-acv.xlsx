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es Donnees\11 VCA4D\1. Dossiers thématiques\Base de connaisance\ACV\"/>
    </mc:Choice>
  </mc:AlternateContent>
  <xr:revisionPtr revIDLastSave="0" documentId="13_ncr:1_{E92C48EB-1697-47FD-80D9-69A4CB487DA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tudy id" sheetId="1" r:id="rId1"/>
    <sheet name="Value chains description" sheetId="2" r:id="rId2"/>
    <sheet name="Actor types" sheetId="3" r:id="rId3"/>
    <sheet name="Actors and Chains matrix" sheetId="4" r:id="rId4"/>
    <sheet name="Impacts" sheetId="5" r:id="rId5"/>
    <sheet name="sub-chain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" i="5" l="1"/>
  <c r="K8" i="5"/>
  <c r="L8" i="5"/>
  <c r="J9" i="5"/>
  <c r="K9" i="5"/>
  <c r="L9" i="5"/>
  <c r="J10" i="5"/>
  <c r="K10" i="5"/>
  <c r="I10" i="5" s="1"/>
  <c r="L10" i="5"/>
  <c r="F8" i="5"/>
  <c r="G8" i="5"/>
  <c r="E8" i="5" s="1"/>
  <c r="H8" i="5"/>
  <c r="F9" i="5"/>
  <c r="G9" i="5"/>
  <c r="H9" i="5"/>
  <c r="F10" i="5"/>
  <c r="E10" i="5" s="1"/>
  <c r="G10" i="5"/>
  <c r="H10" i="5"/>
  <c r="L7" i="5"/>
  <c r="K7" i="5"/>
  <c r="J7" i="5"/>
  <c r="H7" i="5"/>
  <c r="G7" i="5"/>
  <c r="F7" i="5"/>
  <c r="J5" i="5"/>
  <c r="K5" i="5"/>
  <c r="L5" i="5"/>
  <c r="J6" i="5"/>
  <c r="K6" i="5"/>
  <c r="L6" i="5"/>
  <c r="F5" i="5"/>
  <c r="E5" i="5" s="1"/>
  <c r="G5" i="5"/>
  <c r="H5" i="5"/>
  <c r="F6" i="5"/>
  <c r="E6" i="5" s="1"/>
  <c r="G6" i="5"/>
  <c r="H6" i="5"/>
  <c r="L4" i="5"/>
  <c r="K4" i="5"/>
  <c r="J4" i="5"/>
  <c r="H4" i="5"/>
  <c r="G4" i="5"/>
  <c r="F4" i="5"/>
  <c r="L14" i="5"/>
  <c r="K14" i="5"/>
  <c r="J14" i="5"/>
  <c r="J12" i="5"/>
  <c r="I12" i="5" s="1"/>
  <c r="K12" i="5"/>
  <c r="L12" i="5"/>
  <c r="J13" i="5"/>
  <c r="K13" i="5"/>
  <c r="I13" i="5" s="1"/>
  <c r="L13" i="5"/>
  <c r="L11" i="5"/>
  <c r="K11" i="5"/>
  <c r="J11" i="5"/>
  <c r="H14" i="5"/>
  <c r="G14" i="5"/>
  <c r="F14" i="5"/>
  <c r="E9" i="5"/>
  <c r="E11" i="5"/>
  <c r="E13" i="5"/>
  <c r="F12" i="5"/>
  <c r="E12" i="5" s="1"/>
  <c r="G12" i="5"/>
  <c r="H12" i="5"/>
  <c r="F13" i="5"/>
  <c r="G13" i="5"/>
  <c r="H13" i="5"/>
  <c r="H11" i="5"/>
  <c r="F11" i="5"/>
  <c r="G11" i="5"/>
  <c r="I9" i="5"/>
  <c r="I8" i="5"/>
  <c r="I6" i="5"/>
  <c r="I5" i="5"/>
  <c r="K70" i="7"/>
  <c r="P67" i="7"/>
  <c r="P66" i="7"/>
  <c r="B3" i="2"/>
  <c r="B2" i="2"/>
  <c r="B5" i="2"/>
  <c r="I7" i="5" l="1"/>
  <c r="E7" i="5"/>
  <c r="I4" i="5"/>
  <c r="E4" i="5"/>
  <c r="I14" i="5"/>
  <c r="I11" i="5"/>
  <c r="E14" i="5"/>
  <c r="E3" i="2"/>
  <c r="E2" i="2" l="1"/>
  <c r="E5" i="2" l="1"/>
</calcChain>
</file>

<file path=xl/sharedStrings.xml><?xml version="1.0" encoding="utf-8"?>
<sst xmlns="http://schemas.openxmlformats.org/spreadsheetml/2006/main" count="438" uniqueCount="155">
  <si>
    <t>Property</t>
  </si>
  <si>
    <t>Value</t>
  </si>
  <si>
    <t>Unit</t>
  </si>
  <si>
    <t>Help</t>
  </si>
  <si>
    <t>Description</t>
  </si>
  <si>
    <t>Country</t>
  </si>
  <si>
    <t>-</t>
  </si>
  <si>
    <t>Commodity</t>
  </si>
  <si>
    <t>Reference Year</t>
  </si>
  <si>
    <t>Product Type</t>
  </si>
  <si>
    <t>Should be one of ‘Animal products’, ‘Orchards’ or ‘Field crops’</t>
  </si>
  <si>
    <t>Value chain name</t>
  </si>
  <si>
    <t>Leave empty if data concern the whole country’s value chain, give an explicit name otherwise </t>
  </si>
  <si>
    <t>annual volume</t>
  </si>
  <si>
    <t>year of volume</t>
  </si>
  <si>
    <t>unit</t>
  </si>
  <si>
    <t>Contribution volume</t>
  </si>
  <si>
    <t>ha</t>
  </si>
  <si>
    <t>Contribution area</t>
  </si>
  <si>
    <t>yield (t/ha)</t>
  </si>
  <si>
    <t>t</t>
  </si>
  <si>
    <t>Total production</t>
  </si>
  <si>
    <t>Stage</t>
  </si>
  <si>
    <t>Actor type name</t>
  </si>
  <si>
    <t>Actor description</t>
  </si>
  <si>
    <t>Producers</t>
  </si>
  <si>
    <t>Wholesalers</t>
  </si>
  <si>
    <t>Sub-chain</t>
  </si>
  <si>
    <t>LCIA method</t>
  </si>
  <si>
    <t>Functional Unit</t>
  </si>
  <si>
    <t>Impact category</t>
  </si>
  <si>
    <t>Sub-chain →</t>
  </si>
  <si>
    <t>↓</t>
  </si>
  <si>
    <t>Actor →</t>
  </si>
  <si>
    <t>Sub-chain total</t>
  </si>
  <si>
    <t>Unit ↓</t>
  </si>
  <si>
    <t xml:space="preserve">Calculation: </t>
  </si>
  <si>
    <t xml:space="preserve">Results: </t>
  </si>
  <si>
    <t>Étude d'impact</t>
  </si>
  <si>
    <t xml:space="preserve">Méthode: </t>
  </si>
  <si>
    <t>ReCiPe 2016 Endpoint (H) V1.08 / World (2010) H/A</t>
  </si>
  <si>
    <t xml:space="preserve">Indicateur: </t>
  </si>
  <si>
    <t>Étude de dommages</t>
  </si>
  <si>
    <t xml:space="preserve">Skip categories: </t>
  </si>
  <si>
    <t>Jamais</t>
  </si>
  <si>
    <t xml:space="preserve">Exclure les processus d'infrastructure: </t>
  </si>
  <si>
    <t>Non</t>
  </si>
  <si>
    <t xml:space="preserve">Exclure les émissions à long terme: </t>
  </si>
  <si>
    <t xml:space="preserve">Per impact category: </t>
  </si>
  <si>
    <t xml:space="preserve">Sorted on item: </t>
  </si>
  <si>
    <t>Catégorie de dommages</t>
  </si>
  <si>
    <t xml:space="preserve">Sort order: </t>
  </si>
  <si>
    <t>Croissant</t>
  </si>
  <si>
    <t>Unité</t>
  </si>
  <si>
    <t>Total</t>
  </si>
  <si>
    <t>Human health</t>
  </si>
  <si>
    <t>DALY</t>
  </si>
  <si>
    <t>Ecosystems</t>
  </si>
  <si>
    <t>species.yr</t>
  </si>
  <si>
    <t>Resources</t>
  </si>
  <si>
    <t>USD2013</t>
  </si>
  <si>
    <t>Score unique</t>
  </si>
  <si>
    <t xml:space="preserve">Default units: </t>
  </si>
  <si>
    <t>Oui</t>
  </si>
  <si>
    <t>Pt</t>
  </si>
  <si>
    <t>Catégorie d'impact</t>
  </si>
  <si>
    <t>Global warming. Human health</t>
  </si>
  <si>
    <t>Global warming. Terrestrial ecosystems</t>
  </si>
  <si>
    <t>Global warming. Freshwater ecosystems</t>
  </si>
  <si>
    <t>Stratospheric ozone depletion</t>
  </si>
  <si>
    <t>Ionizing radiation</t>
  </si>
  <si>
    <t>Ozone formation. Human health</t>
  </si>
  <si>
    <t>Fine particulate matter formation</t>
  </si>
  <si>
    <t>Ozone formation. Terrestrial ecosystems</t>
  </si>
  <si>
    <t>Terrestrial acidification</t>
  </si>
  <si>
    <t>Freshwater eutrophication</t>
  </si>
  <si>
    <t>Marine eutrophication</t>
  </si>
  <si>
    <t>Terrestrial ecotoxicity</t>
  </si>
  <si>
    <t>Freshwater ecotoxicity</t>
  </si>
  <si>
    <t>Marine ecotoxicity</t>
  </si>
  <si>
    <t>Human carcinogenic toxicity</t>
  </si>
  <si>
    <t>Human non-carcinogenic toxicity</t>
  </si>
  <si>
    <t>Land use</t>
  </si>
  <si>
    <t>Mineral resource scarcity</t>
  </si>
  <si>
    <t>Fossil resource scarcity</t>
  </si>
  <si>
    <t>Water consumption. Human health</t>
  </si>
  <si>
    <t>Water consumption. Terrestrial ecosystem</t>
  </si>
  <si>
    <t>Water consumption. Aquatic ecosystems</t>
  </si>
  <si>
    <t>ReCiPe 2016 Midpoint (H) V1.08 / World (2010) H</t>
  </si>
  <si>
    <t>Caractérisation</t>
  </si>
  <si>
    <t>Global warming</t>
  </si>
  <si>
    <t>kg CO2 eq</t>
  </si>
  <si>
    <t>kg CFC11 eq</t>
  </si>
  <si>
    <t>kBq Co-60 eq</t>
  </si>
  <si>
    <t>kg NOx eq</t>
  </si>
  <si>
    <t>kg PM2.5 eq</t>
  </si>
  <si>
    <t>kg SO2 eq</t>
  </si>
  <si>
    <t>kg P eq</t>
  </si>
  <si>
    <t>kg N eq</t>
  </si>
  <si>
    <t>kg 1.4-DCB</t>
  </si>
  <si>
    <t>m2a crop eq</t>
  </si>
  <si>
    <t>kg Cu eq</t>
  </si>
  <si>
    <t>kg oil eq</t>
  </si>
  <si>
    <t>Water consumption</t>
  </si>
  <si>
    <t>m3</t>
  </si>
  <si>
    <t>Animal products</t>
  </si>
  <si>
    <t>Detailers</t>
  </si>
  <si>
    <t>Processors</t>
  </si>
  <si>
    <t>X</t>
  </si>
  <si>
    <t>Comparer</t>
  </si>
  <si>
    <t xml:space="preserve">Product 1: </t>
  </si>
  <si>
    <t xml:space="preserve">Product 2: </t>
  </si>
  <si>
    <t xml:space="preserve">Product 3: </t>
  </si>
  <si>
    <t xml:space="preserve">Product 4: </t>
  </si>
  <si>
    <t xml:space="preserve">Product 5: </t>
  </si>
  <si>
    <t xml:space="preserve">Product 6: </t>
  </si>
  <si>
    <t xml:space="preserve">Product 7: </t>
  </si>
  <si>
    <t>Zambia</t>
  </si>
  <si>
    <t>Medium-large scale systems</t>
  </si>
  <si>
    <t>Small-scale systems</t>
  </si>
  <si>
    <t>Small-scale semi-subsistence ponds</t>
  </si>
  <si>
    <t>Small-scale commercial ponds</t>
  </si>
  <si>
    <t>Extensive ponds/stocked water bodies</t>
  </si>
  <si>
    <t>Medium-scale ponds</t>
  </si>
  <si>
    <t>Large-scale ponds</t>
  </si>
  <si>
    <t>Large-scale cages</t>
  </si>
  <si>
    <t>Retailers</t>
  </si>
  <si>
    <t>City ladies</t>
  </si>
  <si>
    <t>Multi-species, 40-400 kg/y smallholder</t>
  </si>
  <si>
    <t>Multi-species, 1000-5000 kg/y smallholder</t>
  </si>
  <si>
    <t>&lt;900 kg/y extensive unsupervised systems</t>
  </si>
  <si>
    <t>Multi-species, 20-200 t/y smallholder</t>
  </si>
  <si>
    <t>Niloticus, 1500-4000 t/y commercial, intensive cages</t>
  </si>
  <si>
    <t>Niloticus, 1500 t/y commercial, intensive ponds</t>
  </si>
  <si>
    <t>Handle 1/3 of fish supply, including imports</t>
  </si>
  <si>
    <t>Handle 2/3 of fish supply</t>
  </si>
  <si>
    <t>Handle some 4000 t/y, door-to-door</t>
  </si>
  <si>
    <t>1 t Tilapia. average tilapia (du projet ACV4D_Tilapia_Zambie)</t>
  </si>
  <si>
    <t>1 t Tilapia. 200-600g. conventional. large cages. at farm gate/ZM U (du projet ACV4D_Tilapia_Zambie)</t>
  </si>
  <si>
    <t>1 t Tilapia. 200-600g. conventional. large ponds. at farm gate/ZM U (du projet ACV4D_Tilapia_Zambie)</t>
  </si>
  <si>
    <t>1 t Tilapia. 200-600g. conventional. extensive ponds. at farm gate/ZM U (du projet ACV4D_Tilapia_Zambie)</t>
  </si>
  <si>
    <t>1 t Tilapia. 200-600g. conventional. medium ponds. at farm gate/ZM U (du projet ACV4D_Tilapia_Zambie)</t>
  </si>
  <si>
    <t>1 t Tilapia. 200-600g. conventional. small commercial ponds. at farm gate/ZM U (du projet ACV4D_Tilapia_Zambie)</t>
  </si>
  <si>
    <t>1 t Tilapia. 200-600g. conventional. small subsistance ponds. at farm gate/ZM U (du projet ACV4D_Tilapia_Zambie)</t>
  </si>
  <si>
    <t>Tilapia. average tilapia</t>
  </si>
  <si>
    <t>Tilapia. 200-600g. conventional. large cages. at farm gate/ZM U</t>
  </si>
  <si>
    <t>Tilapia. 200-600g. conventional. large ponds. at farm gate/ZM U</t>
  </si>
  <si>
    <t>Tilapia. 200-600g. conventional. extensive ponds. at farm gate/ZM U</t>
  </si>
  <si>
    <t>Tilapia. 200-600g. conventional. medium ponds. at farm gate/ZM U</t>
  </si>
  <si>
    <t>Tilapia. 200-600g. conventional. small commercial ponds. at farm gate/ZM U</t>
  </si>
  <si>
    <t>Tilapia. 200-600g. conventional. small subsistance ponds. at farm gate/ZM U</t>
  </si>
  <si>
    <t>small</t>
  </si>
  <si>
    <t>medium-large</t>
  </si>
  <si>
    <t>1 t</t>
  </si>
  <si>
    <t>Aquaculture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</si>
</sst>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\-??_-;_-@_-"/>
    <numFmt numFmtId="165" formatCode="_-* #,##0_-;\-* #,##0_-;_-* \-??_-;_-@_-"/>
    <numFmt numFmtId="166" formatCode="0\ %"/>
    <numFmt numFmtId="167" formatCode="0.0%"/>
    <numFmt numFmtId="168" formatCode="_-* #,##0.000_-;\-* #,##0.000_-;_-* \-??_-;_-@_-"/>
    <numFmt numFmtId="169" formatCode="&quot;VRAI&quot;;&quot;VRAI&quot;;&quot;FAUX&quot;"/>
    <numFmt numFmtId="170" formatCode="_-* #,##0_-;\-* #,##0_-;_-* &quot;-&quot;??_-;_-@_-"/>
  </numFmts>
  <fonts count="1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80808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charset val="1"/>
    </font>
    <font>
      <sz val="11"/>
      <color theme="8"/>
      <name val="Calibri"/>
      <family val="2"/>
      <scheme val="minor"/>
    </font>
    <font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D9D9D9"/>
        <bgColor rgb="FFC0C0C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164" fontId="8" fillId="0" borderId="0" applyBorder="0" applyProtection="0"/>
    <xf numFmtId="166" fontId="8" fillId="0" borderId="0" applyBorder="0" applyProtection="0"/>
  </cellStyleXfs>
  <cellXfs count="6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2" fillId="3" borderId="0" xfId="0" applyFont="1" applyFill="1" applyAlignment="1">
      <alignment vertical="top"/>
    </xf>
    <xf numFmtId="165" fontId="0" fillId="0" borderId="0" xfId="0" applyNumberFormat="1"/>
    <xf numFmtId="165" fontId="3" fillId="0" borderId="0" xfId="1" applyNumberFormat="1" applyFont="1" applyBorder="1" applyProtection="1"/>
    <xf numFmtId="168" fontId="3" fillId="0" borderId="0" xfId="1" applyNumberFormat="1" applyFont="1" applyBorder="1" applyProtection="1"/>
    <xf numFmtId="0" fontId="4" fillId="0" borderId="0" xfId="0" applyFont="1"/>
    <xf numFmtId="0" fontId="4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7" xfId="0" applyFont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0" fillId="0" borderId="8" xfId="0" applyBorder="1" applyAlignment="1">
      <alignment vertical="top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11" fontId="0" fillId="0" borderId="8" xfId="0" applyNumberForma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11" fontId="0" fillId="0" borderId="0" xfId="0" applyNumberFormat="1" applyAlignment="1">
      <alignment horizontal="right" vertical="top" wrapText="1"/>
    </xf>
    <xf numFmtId="165" fontId="0" fillId="0" borderId="0" xfId="1" applyNumberFormat="1" applyFont="1" applyBorder="1" applyProtection="1"/>
    <xf numFmtId="167" fontId="0" fillId="0" borderId="0" xfId="2" applyNumberFormat="1" applyFont="1" applyBorder="1" applyProtection="1"/>
    <xf numFmtId="168" fontId="0" fillId="0" borderId="0" xfId="1" applyNumberFormat="1" applyFont="1" applyBorder="1" applyProtection="1"/>
    <xf numFmtId="166" fontId="0" fillId="0" borderId="0" xfId="2" applyFont="1" applyBorder="1" applyProtection="1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top" wrapText="1"/>
    </xf>
    <xf numFmtId="0" fontId="0" fillId="0" borderId="8" xfId="0" applyBorder="1" applyAlignment="1">
      <alignment horizontal="left" vertical="top"/>
    </xf>
    <xf numFmtId="0" fontId="9" fillId="0" borderId="0" xfId="0" applyFont="1" applyAlignment="1">
      <alignment vertical="top" wrapText="1"/>
    </xf>
    <xf numFmtId="11" fontId="0" fillId="0" borderId="8" xfId="0" applyNumberFormat="1" applyBorder="1" applyAlignment="1">
      <alignment horizontal="center" vertical="top" wrapText="1"/>
    </xf>
    <xf numFmtId="11" fontId="0" fillId="0" borderId="0" xfId="0" applyNumberFormat="1" applyAlignment="1">
      <alignment horizontal="center" vertical="top" wrapText="1"/>
    </xf>
    <xf numFmtId="11" fontId="0" fillId="0" borderId="6" xfId="0" applyNumberFormat="1" applyBorder="1" applyAlignment="1">
      <alignment horizontal="center" vertical="top" wrapText="1"/>
    </xf>
    <xf numFmtId="11" fontId="0" fillId="0" borderId="9" xfId="0" applyNumberFormat="1" applyBorder="1" applyAlignment="1">
      <alignment horizontal="center" vertical="top" wrapText="1"/>
    </xf>
    <xf numFmtId="165" fontId="11" fillId="0" borderId="0" xfId="1" applyNumberFormat="1" applyFont="1" applyBorder="1" applyProtection="1"/>
    <xf numFmtId="0" fontId="11" fillId="0" borderId="0" xfId="0" applyFont="1"/>
    <xf numFmtId="170" fontId="0" fillId="0" borderId="0" xfId="1" applyNumberFormat="1" applyFont="1"/>
    <xf numFmtId="166" fontId="0" fillId="0" borderId="0" xfId="0" applyNumberFormat="1"/>
    <xf numFmtId="0" fontId="1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169" fontId="0" fillId="0" borderId="0" xfId="0" applyNumberFormat="1" applyAlignment="1">
      <alignment vertical="top"/>
    </xf>
    <xf numFmtId="0" fontId="2" fillId="0" borderId="0" xfId="0" applyFont="1" applyAlignment="1">
      <alignment vertical="top" wrapText="1"/>
    </xf>
    <xf numFmtId="11" fontId="0" fillId="0" borderId="0" xfId="0" applyNumberFormat="1"/>
    <xf numFmtId="0" fontId="10" fillId="0" borderId="0" xfId="0" applyFont="1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9" fillId="0" borderId="0" xfId="0" applyFont="1" applyAlignment="1">
      <alignment horizontal="center" vertical="top" wrapText="1"/>
    </xf>
    <xf numFmtId="11" fontId="0" fillId="0" borderId="10" xfId="0" applyNumberFormat="1" applyBorder="1" applyAlignment="1">
      <alignment horizontal="center" vertical="top" wrapText="1"/>
    </xf>
    <xf numFmtId="11" fontId="0" fillId="0" borderId="11" xfId="0" applyNumberFormat="1" applyBorder="1" applyAlignment="1">
      <alignment horizontal="center" vertical="top" wrapText="1"/>
    </xf>
    <xf numFmtId="11" fontId="0" fillId="0" borderId="12" xfId="0" applyNumberFormat="1" applyBorder="1" applyAlignment="1">
      <alignment horizontal="right" vertical="top" wrapText="1"/>
    </xf>
    <xf numFmtId="11" fontId="0" fillId="0" borderId="10" xfId="0" applyNumberFormat="1" applyBorder="1" applyAlignment="1">
      <alignment horizontal="right" vertical="top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B3" sqref="B3"/>
    </sheetView>
  </sheetViews>
  <sheetFormatPr baseColWidth="10" defaultColWidth="10.5546875" defaultRowHeight="14.4" x14ac:dyDescent="0.3"/>
  <cols>
    <col min="1" max="1" width="15.44140625" style="1" customWidth="1"/>
    <col min="2" max="2" width="13.77734375" style="1" customWidth="1"/>
    <col min="3" max="3" width="10.5546875" style="1"/>
    <col min="4" max="4" width="17.44140625" style="1" customWidth="1"/>
    <col min="5" max="5" width="13.21875" style="1" customWidth="1"/>
    <col min="1020" max="1024" width="9.21875" customWidth="1"/>
  </cols>
  <sheetData>
    <row r="1" spans="1:5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21" customHeight="1" x14ac:dyDescent="0.3">
      <c r="A2" s="5" t="s">
        <v>5</v>
      </c>
      <c r="B2" s="6" t="s">
        <v>117</v>
      </c>
      <c r="C2" s="1" t="s">
        <v>6</v>
      </c>
    </row>
    <row r="3" spans="1:5" x14ac:dyDescent="0.3">
      <c r="A3" s="5" t="s">
        <v>7</v>
      </c>
      <c r="B3" s="66" t="s">
        <v>154</v>
      </c>
      <c r="C3" s="1" t="s">
        <v>6</v>
      </c>
    </row>
    <row r="4" spans="1:5" x14ac:dyDescent="0.3">
      <c r="A4" s="5" t="s">
        <v>8</v>
      </c>
      <c r="B4" s="1">
        <v>2016</v>
      </c>
      <c r="C4" s="1" t="s">
        <v>6</v>
      </c>
    </row>
    <row r="5" spans="1:5" ht="57.6" x14ac:dyDescent="0.3">
      <c r="A5" s="5" t="s">
        <v>9</v>
      </c>
      <c r="B5" s="6" t="s">
        <v>105</v>
      </c>
      <c r="C5" s="1" t="s">
        <v>6</v>
      </c>
      <c r="D5" s="1" t="s">
        <v>10</v>
      </c>
    </row>
    <row r="6" spans="1:5" ht="86.4" x14ac:dyDescent="0.3">
      <c r="A6" s="7" t="s">
        <v>11</v>
      </c>
      <c r="B6" s="1" t="s">
        <v>154</v>
      </c>
      <c r="C6" s="1" t="s">
        <v>6</v>
      </c>
      <c r="D6" s="1" t="s">
        <v>12</v>
      </c>
    </row>
    <row r="7" spans="1:5" x14ac:dyDescent="0.3">
      <c r="A7" s="68"/>
      <c r="B7" s="68"/>
      <c r="C7" s="68"/>
      <c r="D7" s="68"/>
      <c r="E7" s="68"/>
    </row>
  </sheetData>
  <mergeCells count="1">
    <mergeCell ref="A7:E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zoomScaleNormal="100" workbookViewId="0">
      <selection activeCell="B16" sqref="B16"/>
    </sheetView>
  </sheetViews>
  <sheetFormatPr baseColWidth="10" defaultColWidth="10.5546875" defaultRowHeight="14.4" x14ac:dyDescent="0.3"/>
  <cols>
    <col min="1" max="1" width="44.77734375" bestFit="1" customWidth="1"/>
    <col min="2" max="2" width="11.44140625" customWidth="1"/>
    <col min="5" max="5" width="14.44140625" customWidth="1"/>
    <col min="7" max="7" width="15" customWidth="1"/>
  </cols>
  <sheetData>
    <row r="1" spans="1:10" s="8" customFormat="1" ht="28.8" x14ac:dyDescent="0.3">
      <c r="A1" s="2" t="s">
        <v>11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10" x14ac:dyDescent="0.3">
      <c r="A2" s="10" t="s">
        <v>118</v>
      </c>
      <c r="B2" s="50">
        <f>B5*0.78</f>
        <v>24402.3</v>
      </c>
      <c r="C2">
        <v>2016</v>
      </c>
      <c r="D2" t="s">
        <v>20</v>
      </c>
      <c r="E2" s="37">
        <f>B2/$B$5</f>
        <v>0.78</v>
      </c>
      <c r="F2" s="36"/>
      <c r="G2" s="37"/>
      <c r="H2" s="38"/>
      <c r="I2" s="9"/>
    </row>
    <row r="3" spans="1:10" x14ac:dyDescent="0.3">
      <c r="A3" s="10" t="s">
        <v>119</v>
      </c>
      <c r="B3" s="50">
        <f>B5*0.22</f>
        <v>6882.7</v>
      </c>
      <c r="C3">
        <v>2016</v>
      </c>
      <c r="D3" t="s">
        <v>20</v>
      </c>
      <c r="E3" s="37">
        <f>B3/$B$5</f>
        <v>0.22</v>
      </c>
      <c r="F3" s="36"/>
      <c r="G3" s="37"/>
      <c r="H3" s="38"/>
      <c r="I3" s="9"/>
    </row>
    <row r="4" spans="1:10" x14ac:dyDescent="0.3">
      <c r="J4" s="11"/>
    </row>
    <row r="5" spans="1:10" x14ac:dyDescent="0.3">
      <c r="A5" s="10" t="s">
        <v>21</v>
      </c>
      <c r="B5" s="36">
        <f>28580+2705</f>
        <v>31285</v>
      </c>
      <c r="C5">
        <v>2016</v>
      </c>
      <c r="D5" t="s">
        <v>20</v>
      </c>
      <c r="E5" s="51">
        <f>SUM(E2:E3)</f>
        <v>1</v>
      </c>
      <c r="F5" s="36"/>
      <c r="G5" s="39"/>
      <c r="H5" s="38"/>
    </row>
    <row r="6" spans="1:10" x14ac:dyDescent="0.3">
      <c r="B6" s="48"/>
      <c r="C6" s="49"/>
      <c r="F6" s="12"/>
      <c r="G6" s="12"/>
      <c r="H6" s="13"/>
      <c r="I6" s="9"/>
    </row>
    <row r="8" spans="1:10" x14ac:dyDescent="0.3">
      <c r="A8" s="14"/>
      <c r="B8" s="14"/>
    </row>
    <row r="9" spans="1:10" x14ac:dyDescent="0.3">
      <c r="A9" s="14"/>
      <c r="J9" s="11"/>
    </row>
    <row r="10" spans="1:10" x14ac:dyDescent="0.3">
      <c r="A10" s="14"/>
    </row>
    <row r="11" spans="1:10" x14ac:dyDescent="0.3">
      <c r="A11" s="1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workbookViewId="0">
      <selection activeCell="B2" sqref="B2:B10"/>
    </sheetView>
  </sheetViews>
  <sheetFormatPr baseColWidth="10" defaultColWidth="10.5546875" defaultRowHeight="14.4" x14ac:dyDescent="0.3"/>
  <cols>
    <col min="1" max="1" width="19.44140625" style="18" customWidth="1"/>
    <col min="2" max="2" width="33.5546875" style="18" bestFit="1" customWidth="1"/>
    <col min="3" max="3" width="42.44140625" style="18" customWidth="1"/>
    <col min="4" max="1023" width="10.5546875" style="18"/>
    <col min="1024" max="1024" width="9.21875" style="18" customWidth="1"/>
    <col min="1025" max="16384" width="10.5546875" style="18"/>
  </cols>
  <sheetData>
    <row r="1" spans="1:6" ht="15.6" x14ac:dyDescent="0.3">
      <c r="A1" s="52" t="s">
        <v>22</v>
      </c>
      <c r="B1" s="53" t="s">
        <v>23</v>
      </c>
      <c r="C1" s="54" t="s">
        <v>24</v>
      </c>
    </row>
    <row r="2" spans="1:6" x14ac:dyDescent="0.3">
      <c r="A2" s="16" t="s">
        <v>25</v>
      </c>
      <c r="B2" s="15" t="s">
        <v>120</v>
      </c>
      <c r="C2" s="16" t="s">
        <v>128</v>
      </c>
    </row>
    <row r="3" spans="1:6" x14ac:dyDescent="0.3">
      <c r="A3" s="16" t="s">
        <v>25</v>
      </c>
      <c r="B3" s="15" t="s">
        <v>121</v>
      </c>
      <c r="C3" s="16" t="s">
        <v>129</v>
      </c>
    </row>
    <row r="4" spans="1:6" x14ac:dyDescent="0.3">
      <c r="A4" s="16" t="s">
        <v>107</v>
      </c>
      <c r="B4" s="15" t="s">
        <v>122</v>
      </c>
      <c r="C4" s="16" t="s">
        <v>130</v>
      </c>
    </row>
    <row r="5" spans="1:6" x14ac:dyDescent="0.3">
      <c r="A5" s="16" t="s">
        <v>107</v>
      </c>
      <c r="B5" s="15" t="s">
        <v>123</v>
      </c>
      <c r="C5" s="16" t="s">
        <v>131</v>
      </c>
    </row>
    <row r="6" spans="1:6" x14ac:dyDescent="0.3">
      <c r="A6" s="16" t="s">
        <v>107</v>
      </c>
      <c r="B6" s="15" t="s">
        <v>124</v>
      </c>
      <c r="C6" s="16" t="s">
        <v>133</v>
      </c>
      <c r="E6" s="17"/>
      <c r="F6" s="55"/>
    </row>
    <row r="7" spans="1:6" ht="28.8" x14ac:dyDescent="0.3">
      <c r="A7" s="16" t="s">
        <v>107</v>
      </c>
      <c r="B7" s="15" t="s">
        <v>125</v>
      </c>
      <c r="C7" s="16" t="s">
        <v>132</v>
      </c>
    </row>
    <row r="8" spans="1:6" x14ac:dyDescent="0.3">
      <c r="A8" s="16" t="s">
        <v>106</v>
      </c>
      <c r="B8" s="15" t="s">
        <v>126</v>
      </c>
      <c r="C8" s="16" t="s">
        <v>135</v>
      </c>
    </row>
    <row r="9" spans="1:6" x14ac:dyDescent="0.3">
      <c r="A9" s="16" t="s">
        <v>106</v>
      </c>
      <c r="B9" s="15" t="s">
        <v>127</v>
      </c>
      <c r="C9" s="16" t="s">
        <v>136</v>
      </c>
    </row>
    <row r="10" spans="1:6" x14ac:dyDescent="0.3">
      <c r="A10" s="16" t="s">
        <v>26</v>
      </c>
      <c r="B10" s="15" t="s">
        <v>26</v>
      </c>
      <c r="C10" s="16" t="s">
        <v>134</v>
      </c>
    </row>
    <row r="11" spans="1:6" x14ac:dyDescent="0.3">
      <c r="A11" s="16"/>
      <c r="B11" s="15"/>
      <c r="C11" s="16"/>
    </row>
    <row r="12" spans="1:6" x14ac:dyDescent="0.3">
      <c r="A12" s="16"/>
      <c r="B12" s="15"/>
      <c r="C12" s="16"/>
    </row>
    <row r="14" spans="1:6" x14ac:dyDescent="0.3">
      <c r="A14" s="16"/>
      <c r="C14" s="16"/>
    </row>
    <row r="15" spans="1:6" x14ac:dyDescent="0.3">
      <c r="A15" s="16"/>
      <c r="C15" s="56"/>
    </row>
    <row r="16" spans="1:6" x14ac:dyDescent="0.3">
      <c r="A16" s="15"/>
    </row>
    <row r="17" spans="1:3" x14ac:dyDescent="0.3">
      <c r="A17" s="15"/>
    </row>
    <row r="20" spans="1:3" x14ac:dyDescent="0.3">
      <c r="A20" s="16"/>
    </row>
    <row r="21" spans="1:3" x14ac:dyDescent="0.3">
      <c r="A21" s="16"/>
    </row>
    <row r="23" spans="1:3" x14ac:dyDescent="0.3">
      <c r="A23" s="16"/>
      <c r="C23" s="16"/>
    </row>
    <row r="25" spans="1:3" x14ac:dyDescent="0.3">
      <c r="A25" s="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F3"/>
  <sheetViews>
    <sheetView zoomScale="120" zoomScaleNormal="120" workbookViewId="0">
      <selection activeCell="E1" sqref="E1:G1"/>
    </sheetView>
  </sheetViews>
  <sheetFormatPr baseColWidth="10" defaultColWidth="9.21875" defaultRowHeight="14.4" x14ac:dyDescent="0.3"/>
  <cols>
    <col min="1" max="1" width="20.21875" style="19" customWidth="1"/>
    <col min="2" max="10" width="12.77734375" style="19" customWidth="1"/>
    <col min="11" max="1020" width="9.21875" style="19"/>
  </cols>
  <sheetData>
    <row r="1" spans="1:10" s="1" customFormat="1" ht="57.6" x14ac:dyDescent="0.3">
      <c r="A1" s="1" t="s">
        <v>27</v>
      </c>
      <c r="B1" s="40" t="s">
        <v>120</v>
      </c>
      <c r="C1" s="40" t="s">
        <v>121</v>
      </c>
      <c r="D1" s="40" t="s">
        <v>122</v>
      </c>
      <c r="E1" s="40" t="s">
        <v>123</v>
      </c>
      <c r="F1" s="40" t="s">
        <v>124</v>
      </c>
      <c r="G1" s="40" t="s">
        <v>125</v>
      </c>
      <c r="H1" s="40" t="s">
        <v>126</v>
      </c>
      <c r="I1" s="40" t="s">
        <v>127</v>
      </c>
      <c r="J1" s="40" t="s">
        <v>26</v>
      </c>
    </row>
    <row r="2" spans="1:10" ht="28.8" x14ac:dyDescent="0.3">
      <c r="A2" s="40" t="s">
        <v>118</v>
      </c>
      <c r="E2" s="19" t="s">
        <v>108</v>
      </c>
      <c r="F2" s="19" t="s">
        <v>108</v>
      </c>
      <c r="G2" s="19" t="s">
        <v>108</v>
      </c>
      <c r="H2" s="19" t="s">
        <v>108</v>
      </c>
      <c r="I2" s="19" t="s">
        <v>108</v>
      </c>
      <c r="J2" s="19" t="s">
        <v>108</v>
      </c>
    </row>
    <row r="3" spans="1:10" x14ac:dyDescent="0.3">
      <c r="A3" s="40" t="s">
        <v>119</v>
      </c>
      <c r="B3" s="19" t="s">
        <v>108</v>
      </c>
      <c r="C3" s="19" t="s">
        <v>108</v>
      </c>
      <c r="D3" s="19" t="s">
        <v>108</v>
      </c>
      <c r="H3" s="19" t="s">
        <v>108</v>
      </c>
      <c r="I3" s="19" t="s">
        <v>108</v>
      </c>
      <c r="J3" s="19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F14"/>
  <sheetViews>
    <sheetView zoomScaleNormal="100" workbookViewId="0">
      <selection activeCell="E3" sqref="E3:L3"/>
    </sheetView>
  </sheetViews>
  <sheetFormatPr baseColWidth="10" defaultColWidth="9.21875" defaultRowHeight="14.4" x14ac:dyDescent="0.3"/>
  <cols>
    <col min="1" max="1" width="13.44140625" style="20" customWidth="1"/>
    <col min="2" max="2" width="10.77734375" style="20" customWidth="1"/>
    <col min="3" max="3" width="21.44140625" style="21" customWidth="1"/>
    <col min="4" max="4" width="12.44140625" style="20" customWidth="1"/>
    <col min="5" max="5" width="11.77734375" style="22" customWidth="1"/>
    <col min="6" max="6" width="11.77734375" style="20" customWidth="1"/>
    <col min="7" max="8" width="12.5546875" style="20" customWidth="1"/>
    <col min="9" max="9" width="12.5546875" style="22" customWidth="1"/>
    <col min="10" max="12" width="12.21875" style="20" customWidth="1"/>
    <col min="13" max="994" width="9.21875" style="20"/>
  </cols>
  <sheetData>
    <row r="1" spans="1:12" s="26" customFormat="1" ht="43.2" x14ac:dyDescent="0.3">
      <c r="A1" s="23" t="s">
        <v>28</v>
      </c>
      <c r="B1" s="23" t="s">
        <v>29</v>
      </c>
      <c r="C1" s="23" t="s">
        <v>30</v>
      </c>
      <c r="D1" s="24" t="s">
        <v>31</v>
      </c>
      <c r="E1" s="25" t="s">
        <v>119</v>
      </c>
      <c r="F1" s="41" t="s">
        <v>119</v>
      </c>
      <c r="G1" s="41" t="s">
        <v>119</v>
      </c>
      <c r="H1" s="41" t="s">
        <v>119</v>
      </c>
      <c r="I1" s="25" t="s">
        <v>118</v>
      </c>
      <c r="J1" s="41" t="s">
        <v>118</v>
      </c>
      <c r="K1" s="41" t="s">
        <v>118</v>
      </c>
      <c r="L1" s="41" t="s">
        <v>118</v>
      </c>
    </row>
    <row r="2" spans="1:12" s="26" customFormat="1" ht="57.6" x14ac:dyDescent="0.3">
      <c r="A2" s="27" t="s">
        <v>32</v>
      </c>
      <c r="B2" s="27" t="s">
        <v>32</v>
      </c>
      <c r="C2" s="27" t="s">
        <v>32</v>
      </c>
      <c r="D2" s="26" t="s">
        <v>33</v>
      </c>
      <c r="E2" s="28" t="s">
        <v>34</v>
      </c>
      <c r="F2" s="43" t="s">
        <v>120</v>
      </c>
      <c r="G2" s="43" t="s">
        <v>121</v>
      </c>
      <c r="H2" s="43" t="s">
        <v>122</v>
      </c>
      <c r="I2" s="28" t="s">
        <v>34</v>
      </c>
      <c r="J2" s="61" t="s">
        <v>123</v>
      </c>
      <c r="K2" s="61" t="s">
        <v>124</v>
      </c>
      <c r="L2" s="61" t="s">
        <v>125</v>
      </c>
    </row>
    <row r="3" spans="1:12" s="29" customFormat="1" ht="57.6" x14ac:dyDescent="0.3">
      <c r="A3" s="23"/>
      <c r="B3" s="23"/>
      <c r="C3" s="23"/>
      <c r="D3" s="26" t="s">
        <v>35</v>
      </c>
      <c r="E3" s="28" t="s">
        <v>34</v>
      </c>
      <c r="F3" s="43" t="s">
        <v>120</v>
      </c>
      <c r="G3" s="43" t="s">
        <v>121</v>
      </c>
      <c r="H3" s="43" t="s">
        <v>122</v>
      </c>
      <c r="I3" s="28" t="s">
        <v>34</v>
      </c>
      <c r="J3" s="61" t="s">
        <v>123</v>
      </c>
      <c r="K3" s="61" t="s">
        <v>124</v>
      </c>
      <c r="L3" s="61" t="s">
        <v>125</v>
      </c>
    </row>
    <row r="4" spans="1:12" s="31" customFormat="1" ht="15" customHeight="1" x14ac:dyDescent="0.3">
      <c r="A4" s="30" t="s">
        <v>40</v>
      </c>
      <c r="B4" s="31" t="s">
        <v>153</v>
      </c>
      <c r="C4" s="32" t="s">
        <v>55</v>
      </c>
      <c r="D4" s="31" t="s">
        <v>56</v>
      </c>
      <c r="E4" s="47">
        <f t="shared" ref="E4" si="0">SUM(F4:H4)</f>
        <v>3.3551933260000002E-3</v>
      </c>
      <c r="F4" s="44">
        <f>'sub-chains'!I21*'sub-chains'!$I$70</f>
        <v>1.3096838300000002E-3</v>
      </c>
      <c r="G4" s="45">
        <f>'sub-chains'!H21*'sub-chains'!$H$70</f>
        <v>3.2697621599999999E-4</v>
      </c>
      <c r="H4" s="33">
        <f>'sub-chains'!F21*'sub-chains'!$F$70</f>
        <v>1.7185332800000001E-3</v>
      </c>
      <c r="I4" s="47">
        <f t="shared" ref="I4" si="1">SUM(J4:L4)</f>
        <v>6.0092092779999995E-3</v>
      </c>
      <c r="J4" s="44">
        <f>'sub-chains'!G21*'sub-chains'!$G$70</f>
        <v>1.9043627099999999E-4</v>
      </c>
      <c r="K4" s="44">
        <f>'sub-chains'!E21*'sub-chains'!$E$70</f>
        <v>7.5301791199999996E-4</v>
      </c>
      <c r="L4" s="44">
        <f>'sub-chains'!D21*'sub-chains'!$D$70</f>
        <v>5.065755095E-3</v>
      </c>
    </row>
    <row r="5" spans="1:12" x14ac:dyDescent="0.3">
      <c r="A5" s="18" t="s">
        <v>40</v>
      </c>
      <c r="B5" s="67" t="s">
        <v>153</v>
      </c>
      <c r="C5" s="34" t="s">
        <v>57</v>
      </c>
      <c r="D5" s="20" t="s">
        <v>58</v>
      </c>
      <c r="E5" s="46">
        <f t="shared" ref="E5:E6" si="2">SUM(F5:H5)</f>
        <v>3.405195649E-5</v>
      </c>
      <c r="F5" s="45">
        <f>'sub-chains'!I22*'sub-chains'!$I$70</f>
        <v>1.1598199200000001E-5</v>
      </c>
      <c r="G5" s="45">
        <f>'sub-chains'!H22*'sub-chains'!$H$70</f>
        <v>4.8191084900000003E-6</v>
      </c>
      <c r="H5" s="35">
        <f>'sub-chains'!F22*'sub-chains'!$F$70</f>
        <v>1.76346488E-5</v>
      </c>
      <c r="I5" s="46">
        <f t="shared" ref="I5:I14" si="3">SUM(J5:L5)</f>
        <v>4.5734766119999993E-5</v>
      </c>
      <c r="J5" s="45">
        <f>'sub-chains'!G22*'sub-chains'!$G$70</f>
        <v>2.0610203999999997E-6</v>
      </c>
      <c r="K5" s="45">
        <f>'sub-chains'!E22*'sub-chains'!$E$70</f>
        <v>7.1111462400000004E-6</v>
      </c>
      <c r="L5" s="45">
        <f>'sub-chains'!D22*'sub-chains'!$D$70</f>
        <v>3.6562599479999997E-5</v>
      </c>
    </row>
    <row r="6" spans="1:12" x14ac:dyDescent="0.3">
      <c r="A6" s="18" t="s">
        <v>40</v>
      </c>
      <c r="B6" s="67" t="s">
        <v>153</v>
      </c>
      <c r="C6" s="34" t="s">
        <v>59</v>
      </c>
      <c r="D6" s="20" t="s">
        <v>60</v>
      </c>
      <c r="E6" s="63">
        <f t="shared" si="2"/>
        <v>115.91068080000001</v>
      </c>
      <c r="F6" s="62">
        <f>'sub-chains'!I23*'sub-chains'!$I$70</f>
        <v>43.707460300000001</v>
      </c>
      <c r="G6" s="62">
        <f>'sub-chains'!H23*'sub-chains'!$H$70</f>
        <v>11.159962100000001</v>
      </c>
      <c r="H6" s="65">
        <f>'sub-chains'!F23*'sub-chains'!$F$70</f>
        <v>61.043258400000006</v>
      </c>
      <c r="I6" s="63">
        <f t="shared" si="3"/>
        <v>166.78591019999999</v>
      </c>
      <c r="J6" s="62">
        <f>'sub-chains'!G23*'sub-chains'!$G$70</f>
        <v>5.0800241999999995</v>
      </c>
      <c r="K6" s="62">
        <f>'sub-chains'!E23*'sub-chains'!$E$70</f>
        <v>20.610130399999999</v>
      </c>
      <c r="L6" s="62">
        <f>'sub-chains'!D23*'sub-chains'!$D$70</f>
        <v>141.09575559999999</v>
      </c>
    </row>
    <row r="7" spans="1:12" s="31" customFormat="1" ht="15" customHeight="1" x14ac:dyDescent="0.3">
      <c r="A7" s="30" t="s">
        <v>40</v>
      </c>
      <c r="B7" s="31" t="s">
        <v>153</v>
      </c>
      <c r="C7" s="32" t="s">
        <v>54</v>
      </c>
      <c r="D7" s="31" t="s">
        <v>64</v>
      </c>
      <c r="E7" s="46">
        <f t="shared" ref="E7" si="4">SUM(F7:H7)</f>
        <v>65.99987625</v>
      </c>
      <c r="F7" s="45">
        <f>'sub-chains'!I46*'sub-chains'!$I$70</f>
        <v>25.293750300000003</v>
      </c>
      <c r="G7" s="45">
        <f>'sub-chains'!H46*'sub-chains'!$H$70</f>
        <v>6.8367323500000001</v>
      </c>
      <c r="H7" s="35">
        <f>'sub-chains'!F46*'sub-chains'!$F$70</f>
        <v>33.869393600000002</v>
      </c>
      <c r="I7" s="46">
        <f t="shared" ref="I7" si="5">SUM(J7:L7)</f>
        <v>113.7911447</v>
      </c>
      <c r="J7" s="45">
        <f>'sub-chains'!G46*'sub-chains'!$G$70</f>
        <v>3.7700483999999999</v>
      </c>
      <c r="K7" s="45">
        <f>'sub-chains'!E46*'sub-chains'!$E$70</f>
        <v>14.6303488</v>
      </c>
      <c r="L7" s="45">
        <f>'sub-chains'!D46*'sub-chains'!$D$70</f>
        <v>95.390747500000003</v>
      </c>
    </row>
    <row r="8" spans="1:12" x14ac:dyDescent="0.3">
      <c r="A8" s="18" t="s">
        <v>40</v>
      </c>
      <c r="B8" s="67" t="s">
        <v>153</v>
      </c>
      <c r="C8" s="34" t="s">
        <v>55</v>
      </c>
      <c r="D8" s="20" t="s">
        <v>64</v>
      </c>
      <c r="E8" s="46">
        <f t="shared" ref="E8:E13" si="6">SUM(F8:H8)</f>
        <v>55.964624270000002</v>
      </c>
      <c r="F8" s="45">
        <f>'sub-chains'!I47*'sub-chains'!$I$70</f>
        <v>21.845525800000001</v>
      </c>
      <c r="G8" s="45">
        <f>'sub-chains'!H47*'sub-chains'!$H$70</f>
        <v>5.45396327</v>
      </c>
      <c r="H8" s="35">
        <f>'sub-chains'!F47*'sub-chains'!$F$70</f>
        <v>28.665135200000002</v>
      </c>
      <c r="I8" s="46">
        <f t="shared" si="3"/>
        <v>100.23361170000001</v>
      </c>
      <c r="J8" s="45">
        <f>'sub-chains'!G47*'sub-chains'!$G$70</f>
        <v>3.1764771000000001</v>
      </c>
      <c r="K8" s="45">
        <f>'sub-chains'!E47*'sub-chains'!$E$70</f>
        <v>12.560339200000001</v>
      </c>
      <c r="L8" s="45">
        <f>'sub-chains'!D47*'sub-chains'!$D$70</f>
        <v>84.496795400000011</v>
      </c>
    </row>
    <row r="9" spans="1:12" x14ac:dyDescent="0.3">
      <c r="A9" s="18" t="s">
        <v>40</v>
      </c>
      <c r="B9" s="67" t="s">
        <v>153</v>
      </c>
      <c r="C9" s="34" t="s">
        <v>57</v>
      </c>
      <c r="D9" s="20" t="s">
        <v>64</v>
      </c>
      <c r="E9" s="46">
        <f t="shared" si="6"/>
        <v>9.2076490100000008</v>
      </c>
      <c r="F9" s="45">
        <f>'sub-chains'!I48*'sub-chains'!$I$70</f>
        <v>3.1361530900000005</v>
      </c>
      <c r="G9" s="45">
        <f>'sub-chains'!H48*'sub-chains'!$H$70</f>
        <v>1.3030869600000001</v>
      </c>
      <c r="H9" s="35">
        <f>'sub-chains'!F48*'sub-chains'!$F$70</f>
        <v>4.7684089600000004</v>
      </c>
      <c r="I9" s="46">
        <f t="shared" si="3"/>
        <v>12.366680540000001</v>
      </c>
      <c r="J9" s="45">
        <f>'sub-chains'!G48*'sub-chains'!$G$70</f>
        <v>0.55729992000000006</v>
      </c>
      <c r="K9" s="45">
        <f>'sub-chains'!E48*'sub-chains'!$E$70</f>
        <v>1.9228539200000001</v>
      </c>
      <c r="L9" s="45">
        <f>'sub-chains'!D48*'sub-chains'!$D$70</f>
        <v>9.886526700000001</v>
      </c>
    </row>
    <row r="10" spans="1:12" x14ac:dyDescent="0.3">
      <c r="A10" s="18" t="s">
        <v>40</v>
      </c>
      <c r="B10" s="67" t="s">
        <v>153</v>
      </c>
      <c r="C10" s="34" t="s">
        <v>59</v>
      </c>
      <c r="D10" s="20" t="s">
        <v>64</v>
      </c>
      <c r="E10" s="46">
        <f t="shared" si="6"/>
        <v>0.82760225400000009</v>
      </c>
      <c r="F10" s="45">
        <f>'sub-chains'!I49*'sub-chains'!$I$70</f>
        <v>0.31207126300000004</v>
      </c>
      <c r="G10" s="62">
        <f>'sub-chains'!H49*'sub-chains'!$H$70</f>
        <v>7.9682127000000005E-2</v>
      </c>
      <c r="H10" s="35">
        <f>'sub-chains'!F49*'sub-chains'!$F$70</f>
        <v>0.435848864</v>
      </c>
      <c r="I10" s="46">
        <f t="shared" si="3"/>
        <v>1.1908514349999999</v>
      </c>
      <c r="J10" s="45">
        <f>'sub-chains'!G49*'sub-chains'!$G$70</f>
        <v>3.6271373999999995E-2</v>
      </c>
      <c r="K10" s="45">
        <f>'sub-chains'!E49*'sub-chains'!$E$70</f>
        <v>0.147156336</v>
      </c>
      <c r="L10" s="45">
        <f>'sub-chains'!D49*'sub-chains'!$D$70</f>
        <v>1.007423725</v>
      </c>
    </row>
    <row r="11" spans="1:12" s="31" customFormat="1" ht="30" customHeight="1" x14ac:dyDescent="0.3">
      <c r="A11" s="30" t="s">
        <v>40</v>
      </c>
      <c r="B11" s="31" t="s">
        <v>153</v>
      </c>
      <c r="C11" s="32" t="s">
        <v>66</v>
      </c>
      <c r="D11" s="31" t="s">
        <v>64</v>
      </c>
      <c r="E11" s="47">
        <f t="shared" si="6"/>
        <v>25.33570933</v>
      </c>
      <c r="F11" s="44">
        <f>'sub-chains'!I73*'sub-chains'!$I$70</f>
        <v>10.030898500000001</v>
      </c>
      <c r="G11" s="45">
        <f>'sub-chains'!H73*'sub-chains'!$H$70</f>
        <v>2.8052660300000003</v>
      </c>
      <c r="H11" s="33">
        <f>'sub-chains'!F73*'sub-chains'!$F$70</f>
        <v>12.499544800000001</v>
      </c>
      <c r="I11" s="47">
        <f t="shared" si="3"/>
        <v>47.892331550000002</v>
      </c>
      <c r="J11" s="44">
        <f>'sub-chains'!G73*'sub-chains'!$G$70</f>
        <v>1.60679946</v>
      </c>
      <c r="K11" s="44">
        <f>'sub-chains'!E73*'sub-chains'!$E$70</f>
        <v>6.7965072800000002</v>
      </c>
      <c r="L11" s="44">
        <f>'sub-chains'!D73*'sub-chains'!$D$70</f>
        <v>39.489024810000004</v>
      </c>
    </row>
    <row r="12" spans="1:12" ht="28.8" x14ac:dyDescent="0.3">
      <c r="A12" s="18" t="s">
        <v>40</v>
      </c>
      <c r="B12" s="67" t="s">
        <v>153</v>
      </c>
      <c r="C12" s="34" t="s">
        <v>67</v>
      </c>
      <c r="D12" s="20" t="s">
        <v>64</v>
      </c>
      <c r="E12" s="46">
        <f t="shared" si="6"/>
        <v>1.2390057630000002</v>
      </c>
      <c r="F12" s="45">
        <f>'sub-chains'!I74*'sub-chains'!$I$70</f>
        <v>0.4905213670000001</v>
      </c>
      <c r="G12" s="45">
        <f>'sub-chains'!H74*'sub-chains'!$H$70</f>
        <v>0.137198292</v>
      </c>
      <c r="H12" s="35">
        <f>'sub-chains'!F74*'sub-chains'!$F$70</f>
        <v>0.61128610400000005</v>
      </c>
      <c r="I12" s="46">
        <f t="shared" si="3"/>
        <v>2.3423301030000001</v>
      </c>
      <c r="J12" s="45">
        <f>'sub-chains'!G74*'sub-chains'!$G$70</f>
        <v>7.8585011999999996E-2</v>
      </c>
      <c r="K12" s="45">
        <f>'sub-chains'!E74*'sub-chains'!$E$70</f>
        <v>0.33239820000000003</v>
      </c>
      <c r="L12" s="45">
        <f>'sub-chains'!D74*'sub-chains'!$D$70</f>
        <v>1.9313468910000002</v>
      </c>
    </row>
    <row r="13" spans="1:12" ht="28.8" x14ac:dyDescent="0.3">
      <c r="A13" s="18" t="s">
        <v>40</v>
      </c>
      <c r="B13" s="67" t="s">
        <v>153</v>
      </c>
      <c r="C13" s="34" t="s">
        <v>68</v>
      </c>
      <c r="D13" s="20" t="s">
        <v>64</v>
      </c>
      <c r="E13" s="63">
        <f t="shared" si="6"/>
        <v>3.384681809E-5</v>
      </c>
      <c r="F13" s="62">
        <f>'sub-chains'!I75*'sub-chains'!$I$70</f>
        <v>1.3398386400000002E-5</v>
      </c>
      <c r="G13" s="62">
        <f>'sub-chains'!H75*'sub-chains'!$H$70</f>
        <v>3.7479908900000001E-6</v>
      </c>
      <c r="H13" s="64">
        <f>'sub-chains'!F75*'sub-chains'!$F$70</f>
        <v>1.6700440799999999E-5</v>
      </c>
      <c r="I13" s="46">
        <f t="shared" si="3"/>
        <v>6.3991780730000009E-5</v>
      </c>
      <c r="J13" s="62">
        <f>'sub-chains'!G75*'sub-chains'!$G$70</f>
        <v>2.14693095E-6</v>
      </c>
      <c r="K13" s="62">
        <f>'sub-chains'!E75*'sub-chains'!$E$70</f>
        <v>9.0811343999999996E-6</v>
      </c>
      <c r="L13" s="62">
        <f>'sub-chains'!D75*'sub-chains'!$D$70</f>
        <v>5.2763715380000006E-5</v>
      </c>
    </row>
    <row r="14" spans="1:12" s="31" customFormat="1" x14ac:dyDescent="0.3">
      <c r="A14" s="42" t="s">
        <v>88</v>
      </c>
      <c r="B14" s="31" t="s">
        <v>153</v>
      </c>
      <c r="C14" s="32" t="s">
        <v>90</v>
      </c>
      <c r="D14" s="31" t="s">
        <v>91</v>
      </c>
      <c r="E14" s="46">
        <f t="shared" ref="E14" si="7">SUM(F14:H14)</f>
        <v>1636.4111539999999</v>
      </c>
      <c r="F14" s="45">
        <f>'sub-chains'!I115*'sub-chains'!$I$70</f>
        <v>647.83512500000006</v>
      </c>
      <c r="G14" s="45">
        <f>'sub-chains'!H115*'sub-chains'!$H$70</f>
        <v>181.20050900000001</v>
      </c>
      <c r="H14" s="35">
        <f>'sub-chains'!F115*'sub-chains'!$F$70</f>
        <v>807.37551999999994</v>
      </c>
      <c r="I14" s="47">
        <f t="shared" si="3"/>
        <v>3093.6595830000001</v>
      </c>
      <c r="J14" s="45">
        <f>'sub-chains'!G115*'sub-chains'!$G$70</f>
        <v>103.79235899999999</v>
      </c>
      <c r="K14" s="45">
        <f>'sub-chains'!E115*'sub-chains'!$E$70</f>
        <v>439.02178399999997</v>
      </c>
      <c r="L14" s="45">
        <f>'sub-chains'!D115*'sub-chains'!$D$70</f>
        <v>2550.8454400000001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132"/>
  <sheetViews>
    <sheetView topLeftCell="A22" zoomScaleNormal="100" workbookViewId="0">
      <selection activeCell="D46" sqref="D1:I1048576"/>
    </sheetView>
  </sheetViews>
  <sheetFormatPr baseColWidth="10" defaultColWidth="8.88671875" defaultRowHeight="14.4" x14ac:dyDescent="0.3"/>
  <sheetData>
    <row r="2" spans="1:2" x14ac:dyDescent="0.3">
      <c r="A2" t="s">
        <v>36</v>
      </c>
      <c r="B2" t="s">
        <v>109</v>
      </c>
    </row>
    <row r="3" spans="1:2" x14ac:dyDescent="0.3">
      <c r="A3" t="s">
        <v>37</v>
      </c>
      <c r="B3" t="s">
        <v>38</v>
      </c>
    </row>
    <row r="4" spans="1:2" x14ac:dyDescent="0.3">
      <c r="A4" t="s">
        <v>110</v>
      </c>
      <c r="B4" t="s">
        <v>137</v>
      </c>
    </row>
    <row r="5" spans="1:2" x14ac:dyDescent="0.3">
      <c r="A5" t="s">
        <v>111</v>
      </c>
      <c r="B5" t="s">
        <v>138</v>
      </c>
    </row>
    <row r="6" spans="1:2" x14ac:dyDescent="0.3">
      <c r="A6" t="s">
        <v>112</v>
      </c>
      <c r="B6" t="s">
        <v>139</v>
      </c>
    </row>
    <row r="7" spans="1:2" x14ac:dyDescent="0.3">
      <c r="A7" t="s">
        <v>113</v>
      </c>
      <c r="B7" t="s">
        <v>140</v>
      </c>
    </row>
    <row r="8" spans="1:2" x14ac:dyDescent="0.3">
      <c r="A8" t="s">
        <v>114</v>
      </c>
      <c r="B8" t="s">
        <v>141</v>
      </c>
    </row>
    <row r="9" spans="1:2" x14ac:dyDescent="0.3">
      <c r="A9" t="s">
        <v>115</v>
      </c>
      <c r="B9" t="s">
        <v>142</v>
      </c>
    </row>
    <row r="10" spans="1:2" x14ac:dyDescent="0.3">
      <c r="A10" t="s">
        <v>116</v>
      </c>
      <c r="B10" t="s">
        <v>143</v>
      </c>
    </row>
    <row r="11" spans="1:2" x14ac:dyDescent="0.3">
      <c r="A11" t="s">
        <v>39</v>
      </c>
      <c r="B11" t="s">
        <v>40</v>
      </c>
    </row>
    <row r="12" spans="1:2" x14ac:dyDescent="0.3">
      <c r="A12" t="s">
        <v>41</v>
      </c>
      <c r="B12" t="s">
        <v>42</v>
      </c>
    </row>
    <row r="13" spans="1:2" x14ac:dyDescent="0.3">
      <c r="A13" t="s">
        <v>43</v>
      </c>
      <c r="B13" t="s">
        <v>44</v>
      </c>
    </row>
    <row r="14" spans="1:2" x14ac:dyDescent="0.3">
      <c r="A14" t="s">
        <v>45</v>
      </c>
      <c r="B14" t="s">
        <v>46</v>
      </c>
    </row>
    <row r="15" spans="1:2" x14ac:dyDescent="0.3">
      <c r="A15" t="s">
        <v>47</v>
      </c>
      <c r="B15" t="s">
        <v>46</v>
      </c>
    </row>
    <row r="16" spans="1:2" x14ac:dyDescent="0.3">
      <c r="A16" t="s">
        <v>48</v>
      </c>
      <c r="B16" t="s">
        <v>46</v>
      </c>
    </row>
    <row r="17" spans="1:9" x14ac:dyDescent="0.3">
      <c r="A17" t="s">
        <v>49</v>
      </c>
      <c r="B17" t="s">
        <v>50</v>
      </c>
    </row>
    <row r="18" spans="1:9" x14ac:dyDescent="0.3">
      <c r="A18" t="s">
        <v>51</v>
      </c>
      <c r="B18" t="s">
        <v>52</v>
      </c>
    </row>
    <row r="20" spans="1:9" x14ac:dyDescent="0.3">
      <c r="A20" t="s">
        <v>50</v>
      </c>
      <c r="B20" t="s">
        <v>53</v>
      </c>
      <c r="C20" t="s">
        <v>144</v>
      </c>
      <c r="D20" t="s">
        <v>145</v>
      </c>
      <c r="E20" t="s">
        <v>146</v>
      </c>
      <c r="F20" t="s">
        <v>147</v>
      </c>
      <c r="G20" t="s">
        <v>148</v>
      </c>
      <c r="H20" t="s">
        <v>149</v>
      </c>
      <c r="I20" t="s">
        <v>150</v>
      </c>
    </row>
    <row r="21" spans="1:9" x14ac:dyDescent="0.3">
      <c r="A21" t="s">
        <v>55</v>
      </c>
      <c r="B21" t="s">
        <v>56</v>
      </c>
      <c r="C21">
        <v>8.4020542E-3</v>
      </c>
      <c r="D21">
        <v>7.5608285000000001E-3</v>
      </c>
      <c r="E21">
        <v>9.4127238999999994E-3</v>
      </c>
      <c r="F21">
        <v>2.1481666E-2</v>
      </c>
      <c r="G21">
        <v>6.3478757E-3</v>
      </c>
      <c r="H21">
        <v>4.6710887999999997E-3</v>
      </c>
      <c r="I21">
        <v>1.8709769000000001E-2</v>
      </c>
    </row>
    <row r="22" spans="1:9" x14ac:dyDescent="0.3">
      <c r="A22" t="s">
        <v>57</v>
      </c>
      <c r="B22" t="s">
        <v>58</v>
      </c>
      <c r="C22" s="57">
        <v>6.8298981999999995E-5</v>
      </c>
      <c r="D22" s="57">
        <v>5.4571043999999997E-5</v>
      </c>
      <c r="E22" s="57">
        <v>8.8889327999999999E-5</v>
      </c>
      <c r="F22">
        <v>2.2043310999999999E-4</v>
      </c>
      <c r="G22" s="57">
        <v>6.8700679999999996E-5</v>
      </c>
      <c r="H22" s="57">
        <v>6.8844406999999993E-5</v>
      </c>
      <c r="I22">
        <v>1.6568856E-4</v>
      </c>
    </row>
    <row r="23" spans="1:9" x14ac:dyDescent="0.3">
      <c r="A23" t="s">
        <v>59</v>
      </c>
      <c r="B23" t="s">
        <v>60</v>
      </c>
      <c r="C23">
        <v>243.57508999999999</v>
      </c>
      <c r="D23">
        <v>210.59067999999999</v>
      </c>
      <c r="E23">
        <v>257.62662999999998</v>
      </c>
      <c r="F23">
        <v>763.04073000000005</v>
      </c>
      <c r="G23">
        <v>169.33413999999999</v>
      </c>
      <c r="H23">
        <v>159.42803000000001</v>
      </c>
      <c r="I23">
        <v>624.39229</v>
      </c>
    </row>
    <row r="26" spans="1:9" x14ac:dyDescent="0.3">
      <c r="A26" t="s">
        <v>36</v>
      </c>
      <c r="B26" t="s">
        <v>109</v>
      </c>
    </row>
    <row r="27" spans="1:9" x14ac:dyDescent="0.3">
      <c r="A27" t="s">
        <v>37</v>
      </c>
      <c r="B27" t="s">
        <v>38</v>
      </c>
    </row>
    <row r="28" spans="1:9" x14ac:dyDescent="0.3">
      <c r="A28" t="s">
        <v>110</v>
      </c>
      <c r="B28" t="s">
        <v>137</v>
      </c>
    </row>
    <row r="29" spans="1:9" x14ac:dyDescent="0.3">
      <c r="A29" t="s">
        <v>111</v>
      </c>
      <c r="B29" t="s">
        <v>138</v>
      </c>
    </row>
    <row r="30" spans="1:9" x14ac:dyDescent="0.3">
      <c r="A30" t="s">
        <v>112</v>
      </c>
      <c r="B30" t="s">
        <v>139</v>
      </c>
    </row>
    <row r="31" spans="1:9" x14ac:dyDescent="0.3">
      <c r="A31" t="s">
        <v>113</v>
      </c>
      <c r="B31" t="s">
        <v>140</v>
      </c>
    </row>
    <row r="32" spans="1:9" x14ac:dyDescent="0.3">
      <c r="A32" t="s">
        <v>114</v>
      </c>
      <c r="B32" t="s">
        <v>141</v>
      </c>
    </row>
    <row r="33" spans="1:9" x14ac:dyDescent="0.3">
      <c r="A33" t="s">
        <v>115</v>
      </c>
      <c r="B33" t="s">
        <v>142</v>
      </c>
    </row>
    <row r="34" spans="1:9" x14ac:dyDescent="0.3">
      <c r="A34" t="s">
        <v>116</v>
      </c>
      <c r="B34" t="s">
        <v>143</v>
      </c>
    </row>
    <row r="35" spans="1:9" x14ac:dyDescent="0.3">
      <c r="A35" t="s">
        <v>39</v>
      </c>
      <c r="B35" t="s">
        <v>40</v>
      </c>
    </row>
    <row r="36" spans="1:9" x14ac:dyDescent="0.3">
      <c r="A36" t="s">
        <v>41</v>
      </c>
      <c r="B36" t="s">
        <v>61</v>
      </c>
    </row>
    <row r="37" spans="1:9" x14ac:dyDescent="0.3">
      <c r="A37" t="s">
        <v>43</v>
      </c>
      <c r="B37" t="s">
        <v>44</v>
      </c>
    </row>
    <row r="38" spans="1:9" x14ac:dyDescent="0.3">
      <c r="A38" t="s">
        <v>62</v>
      </c>
      <c r="B38" t="s">
        <v>63</v>
      </c>
    </row>
    <row r="39" spans="1:9" x14ac:dyDescent="0.3">
      <c r="A39" t="s">
        <v>45</v>
      </c>
      <c r="B39" t="s">
        <v>46</v>
      </c>
    </row>
    <row r="40" spans="1:9" x14ac:dyDescent="0.3">
      <c r="A40" t="s">
        <v>47</v>
      </c>
      <c r="B40" t="s">
        <v>46</v>
      </c>
    </row>
    <row r="41" spans="1:9" x14ac:dyDescent="0.3">
      <c r="A41" t="s">
        <v>48</v>
      </c>
      <c r="B41" t="s">
        <v>46</v>
      </c>
    </row>
    <row r="42" spans="1:9" x14ac:dyDescent="0.3">
      <c r="A42" t="s">
        <v>49</v>
      </c>
      <c r="B42" t="s">
        <v>50</v>
      </c>
    </row>
    <row r="43" spans="1:9" x14ac:dyDescent="0.3">
      <c r="A43" t="s">
        <v>51</v>
      </c>
      <c r="B43" t="s">
        <v>52</v>
      </c>
    </row>
    <row r="45" spans="1:9" x14ac:dyDescent="0.3">
      <c r="A45" t="s">
        <v>50</v>
      </c>
      <c r="B45" t="s">
        <v>53</v>
      </c>
      <c r="C45" t="s">
        <v>144</v>
      </c>
      <c r="D45" t="s">
        <v>145</v>
      </c>
      <c r="E45" t="s">
        <v>146</v>
      </c>
      <c r="F45" t="s">
        <v>147</v>
      </c>
      <c r="G45" t="s">
        <v>148</v>
      </c>
      <c r="H45" t="s">
        <v>149</v>
      </c>
      <c r="I45" t="s">
        <v>150</v>
      </c>
    </row>
    <row r="46" spans="1:9" x14ac:dyDescent="0.3">
      <c r="A46" t="s">
        <v>54</v>
      </c>
      <c r="B46" t="s">
        <v>64</v>
      </c>
      <c r="C46">
        <v>160.35343</v>
      </c>
      <c r="D46">
        <v>142.37424999999999</v>
      </c>
      <c r="E46">
        <v>182.87935999999999</v>
      </c>
      <c r="F46">
        <v>423.36741999999998</v>
      </c>
      <c r="G46">
        <v>125.66828</v>
      </c>
      <c r="H46">
        <v>97.667604999999995</v>
      </c>
      <c r="I46">
        <v>361.33929000000001</v>
      </c>
    </row>
    <row r="47" spans="1:9" x14ac:dyDescent="0.3">
      <c r="A47" t="s">
        <v>55</v>
      </c>
      <c r="B47" t="s">
        <v>64</v>
      </c>
      <c r="C47">
        <v>140.14626000000001</v>
      </c>
      <c r="D47">
        <v>126.11462</v>
      </c>
      <c r="E47">
        <v>157.00424000000001</v>
      </c>
      <c r="F47">
        <v>358.31419</v>
      </c>
      <c r="G47">
        <v>105.88257</v>
      </c>
      <c r="H47">
        <v>77.913760999999994</v>
      </c>
      <c r="I47">
        <v>312.07893999999999</v>
      </c>
    </row>
    <row r="48" spans="1:9" x14ac:dyDescent="0.3">
      <c r="A48" t="s">
        <v>57</v>
      </c>
      <c r="B48" t="s">
        <v>64</v>
      </c>
      <c r="C48">
        <v>18.468045</v>
      </c>
      <c r="D48">
        <v>14.75601</v>
      </c>
      <c r="E48">
        <v>24.035674</v>
      </c>
      <c r="F48">
        <v>59.605111999999998</v>
      </c>
      <c r="G48">
        <v>18.576664000000001</v>
      </c>
      <c r="H48">
        <v>18.615528000000001</v>
      </c>
      <c r="I48">
        <v>44.802187000000004</v>
      </c>
    </row>
    <row r="49" spans="1:9" x14ac:dyDescent="0.3">
      <c r="A49" t="s">
        <v>59</v>
      </c>
      <c r="B49" t="s">
        <v>64</v>
      </c>
      <c r="C49">
        <v>1.7391262000000001</v>
      </c>
      <c r="D49">
        <v>1.5036175000000001</v>
      </c>
      <c r="E49">
        <v>1.8394542</v>
      </c>
      <c r="F49">
        <v>5.4481108000000003</v>
      </c>
      <c r="G49">
        <v>1.2090457999999999</v>
      </c>
      <c r="H49">
        <v>1.1383160999999999</v>
      </c>
      <c r="I49">
        <v>4.4581609000000002</v>
      </c>
    </row>
    <row r="52" spans="1:9" x14ac:dyDescent="0.3">
      <c r="A52" t="s">
        <v>36</v>
      </c>
      <c r="B52" t="s">
        <v>109</v>
      </c>
    </row>
    <row r="53" spans="1:9" x14ac:dyDescent="0.3">
      <c r="A53" t="s">
        <v>37</v>
      </c>
      <c r="B53" t="s">
        <v>38</v>
      </c>
    </row>
    <row r="54" spans="1:9" x14ac:dyDescent="0.3">
      <c r="A54" t="s">
        <v>110</v>
      </c>
      <c r="B54" t="s">
        <v>137</v>
      </c>
    </row>
    <row r="55" spans="1:9" x14ac:dyDescent="0.3">
      <c r="A55" t="s">
        <v>111</v>
      </c>
      <c r="B55" t="s">
        <v>138</v>
      </c>
    </row>
    <row r="56" spans="1:9" x14ac:dyDescent="0.3">
      <c r="A56" t="s">
        <v>112</v>
      </c>
      <c r="B56" t="s">
        <v>139</v>
      </c>
    </row>
    <row r="57" spans="1:9" x14ac:dyDescent="0.3">
      <c r="A57" t="s">
        <v>113</v>
      </c>
      <c r="B57" t="s">
        <v>140</v>
      </c>
    </row>
    <row r="58" spans="1:9" x14ac:dyDescent="0.3">
      <c r="A58" t="s">
        <v>114</v>
      </c>
      <c r="B58" t="s">
        <v>141</v>
      </c>
    </row>
    <row r="59" spans="1:9" x14ac:dyDescent="0.3">
      <c r="A59" t="s">
        <v>115</v>
      </c>
      <c r="B59" t="s">
        <v>142</v>
      </c>
    </row>
    <row r="60" spans="1:9" x14ac:dyDescent="0.3">
      <c r="A60" t="s">
        <v>116</v>
      </c>
      <c r="B60" t="s">
        <v>143</v>
      </c>
    </row>
    <row r="61" spans="1:9" x14ac:dyDescent="0.3">
      <c r="A61" t="s">
        <v>39</v>
      </c>
      <c r="B61" t="s">
        <v>40</v>
      </c>
    </row>
    <row r="62" spans="1:9" x14ac:dyDescent="0.3">
      <c r="A62" t="s">
        <v>41</v>
      </c>
      <c r="B62" t="s">
        <v>61</v>
      </c>
    </row>
    <row r="63" spans="1:9" x14ac:dyDescent="0.3">
      <c r="A63" t="s">
        <v>43</v>
      </c>
      <c r="B63" t="s">
        <v>44</v>
      </c>
    </row>
    <row r="64" spans="1:9" x14ac:dyDescent="0.3">
      <c r="A64" t="s">
        <v>62</v>
      </c>
      <c r="B64" t="s">
        <v>46</v>
      </c>
    </row>
    <row r="65" spans="1:16" x14ac:dyDescent="0.3">
      <c r="A65" t="s">
        <v>45</v>
      </c>
      <c r="B65" t="s">
        <v>46</v>
      </c>
    </row>
    <row r="66" spans="1:16" x14ac:dyDescent="0.3">
      <c r="A66" t="s">
        <v>47</v>
      </c>
      <c r="B66" t="s">
        <v>46</v>
      </c>
      <c r="N66" s="14" t="s">
        <v>151</v>
      </c>
      <c r="O66" s="14"/>
      <c r="P66" s="14">
        <f>F70+H70+I70</f>
        <v>0.22000000000000003</v>
      </c>
    </row>
    <row r="67" spans="1:16" x14ac:dyDescent="0.3">
      <c r="A67" t="s">
        <v>48</v>
      </c>
      <c r="B67" t="s">
        <v>63</v>
      </c>
      <c r="N67" s="14" t="s">
        <v>152</v>
      </c>
      <c r="O67" s="14"/>
      <c r="P67" s="14">
        <f>D70+E70+G70</f>
        <v>0.78</v>
      </c>
    </row>
    <row r="68" spans="1:16" x14ac:dyDescent="0.3">
      <c r="A68" t="s">
        <v>49</v>
      </c>
      <c r="B68" t="s">
        <v>65</v>
      </c>
    </row>
    <row r="69" spans="1:16" x14ac:dyDescent="0.3">
      <c r="A69" t="s">
        <v>51</v>
      </c>
      <c r="B69" t="s">
        <v>52</v>
      </c>
    </row>
    <row r="70" spans="1:16" x14ac:dyDescent="0.3">
      <c r="D70" s="58">
        <v>0.67</v>
      </c>
      <c r="E70" s="58">
        <v>0.08</v>
      </c>
      <c r="F70" s="58">
        <v>0.08</v>
      </c>
      <c r="G70" s="58">
        <v>0.03</v>
      </c>
      <c r="H70" s="58">
        <v>7.0000000000000007E-2</v>
      </c>
      <c r="I70" s="58">
        <v>7.0000000000000007E-2</v>
      </c>
      <c r="J70" s="58"/>
      <c r="K70" s="58">
        <f>SUM(D70:J70)</f>
        <v>1</v>
      </c>
    </row>
    <row r="71" spans="1:16" s="8" customFormat="1" ht="158.4" x14ac:dyDescent="0.3">
      <c r="A71" s="8" t="s">
        <v>65</v>
      </c>
      <c r="B71" s="8" t="s">
        <v>53</v>
      </c>
      <c r="C71" s="8" t="s">
        <v>144</v>
      </c>
      <c r="D71" s="59" t="s">
        <v>145</v>
      </c>
      <c r="E71" s="59" t="s">
        <v>146</v>
      </c>
      <c r="F71" s="60" t="s">
        <v>147</v>
      </c>
      <c r="G71" s="59" t="s">
        <v>148</v>
      </c>
      <c r="H71" s="60" t="s">
        <v>149</v>
      </c>
      <c r="I71" s="60" t="s">
        <v>150</v>
      </c>
    </row>
    <row r="72" spans="1:16" x14ac:dyDescent="0.3">
      <c r="A72" t="s">
        <v>54</v>
      </c>
      <c r="B72" t="s">
        <v>64</v>
      </c>
      <c r="C72">
        <v>160.35343</v>
      </c>
      <c r="D72">
        <v>142.37424999999999</v>
      </c>
      <c r="E72">
        <v>182.87935999999999</v>
      </c>
      <c r="F72">
        <v>423.36741999999998</v>
      </c>
      <c r="G72">
        <v>125.66828</v>
      </c>
      <c r="H72">
        <v>97.667604999999995</v>
      </c>
      <c r="I72">
        <v>361.33929000000001</v>
      </c>
    </row>
    <row r="73" spans="1:16" x14ac:dyDescent="0.3">
      <c r="A73" t="s">
        <v>66</v>
      </c>
      <c r="B73" t="s">
        <v>64</v>
      </c>
      <c r="C73">
        <v>66.734611000000001</v>
      </c>
      <c r="D73">
        <v>58.938842999999999</v>
      </c>
      <c r="E73">
        <v>84.956340999999995</v>
      </c>
      <c r="F73">
        <v>156.24431000000001</v>
      </c>
      <c r="G73">
        <v>53.559981999999998</v>
      </c>
      <c r="H73">
        <v>40.075229</v>
      </c>
      <c r="I73">
        <v>143.29855000000001</v>
      </c>
    </row>
    <row r="74" spans="1:16" x14ac:dyDescent="0.3">
      <c r="A74" t="s">
        <v>67</v>
      </c>
      <c r="B74" t="s">
        <v>64</v>
      </c>
      <c r="C74">
        <v>3.2637909000000001</v>
      </c>
      <c r="D74">
        <v>2.8826073000000001</v>
      </c>
      <c r="E74">
        <v>4.1549775000000002</v>
      </c>
      <c r="F74">
        <v>7.6410762999999999</v>
      </c>
      <c r="G74">
        <v>2.6195004000000002</v>
      </c>
      <c r="H74">
        <v>1.9599755999999999</v>
      </c>
      <c r="I74">
        <v>7.0074481000000004</v>
      </c>
    </row>
    <row r="75" spans="1:16" x14ac:dyDescent="0.3">
      <c r="A75" t="s">
        <v>68</v>
      </c>
      <c r="B75" t="s">
        <v>64</v>
      </c>
      <c r="C75" s="57">
        <v>8.9162810999999996E-5</v>
      </c>
      <c r="D75" s="57">
        <v>7.8751814000000005E-5</v>
      </c>
      <c r="E75">
        <v>1.1351418E-4</v>
      </c>
      <c r="F75">
        <v>2.0875551E-4</v>
      </c>
      <c r="G75" s="57">
        <v>7.1564365E-5</v>
      </c>
      <c r="H75" s="57">
        <v>5.3542726999999999E-5</v>
      </c>
      <c r="I75">
        <v>1.9140552E-4</v>
      </c>
    </row>
    <row r="76" spans="1:16" x14ac:dyDescent="0.3">
      <c r="A76" t="s">
        <v>69</v>
      </c>
      <c r="B76" t="s">
        <v>64</v>
      </c>
      <c r="C76">
        <v>0.1184484</v>
      </c>
      <c r="D76">
        <v>8.9390569000000003E-2</v>
      </c>
      <c r="E76">
        <v>0.14811994000000001</v>
      </c>
      <c r="F76">
        <v>0.35082539000000001</v>
      </c>
      <c r="G76">
        <v>8.7171013000000006E-2</v>
      </c>
      <c r="H76">
        <v>9.0044439000000004E-2</v>
      </c>
      <c r="I76">
        <v>0.38755033</v>
      </c>
    </row>
    <row r="77" spans="1:16" x14ac:dyDescent="0.3">
      <c r="A77" t="s">
        <v>70</v>
      </c>
      <c r="B77" t="s">
        <v>64</v>
      </c>
      <c r="C77">
        <v>1.1549818999999999E-2</v>
      </c>
      <c r="D77">
        <v>1.0398187E-2</v>
      </c>
      <c r="E77">
        <v>1.3310215E-2</v>
      </c>
      <c r="F77">
        <v>4.7740940000000003E-2</v>
      </c>
      <c r="G77">
        <v>8.1037625000000002E-3</v>
      </c>
      <c r="H77">
        <v>6.2982738999999999E-3</v>
      </c>
      <c r="I77">
        <v>2.5639149E-2</v>
      </c>
    </row>
    <row r="78" spans="1:16" x14ac:dyDescent="0.3">
      <c r="A78" t="s">
        <v>71</v>
      </c>
      <c r="B78" t="s">
        <v>64</v>
      </c>
      <c r="C78">
        <v>0.17080843000000001</v>
      </c>
      <c r="D78">
        <v>0.15659424999999999</v>
      </c>
      <c r="E78">
        <v>0.17878392000000001</v>
      </c>
      <c r="F78">
        <v>0.64840260999999999</v>
      </c>
      <c r="G78">
        <v>0.12386521</v>
      </c>
      <c r="H78">
        <v>9.8474465999999997E-2</v>
      </c>
      <c r="I78">
        <v>0.36579477999999999</v>
      </c>
    </row>
    <row r="79" spans="1:16" x14ac:dyDescent="0.3">
      <c r="A79" t="s">
        <v>72</v>
      </c>
      <c r="B79" t="s">
        <v>64</v>
      </c>
      <c r="C79">
        <v>52.670920000000002</v>
      </c>
      <c r="D79">
        <v>45.399054</v>
      </c>
      <c r="E79">
        <v>60.507559000000001</v>
      </c>
      <c r="F79">
        <v>155.81415999999999</v>
      </c>
      <c r="G79">
        <v>42.161957000000001</v>
      </c>
      <c r="H79">
        <v>29.733484000000001</v>
      </c>
      <c r="I79">
        <v>133.23375999999999</v>
      </c>
    </row>
    <row r="80" spans="1:16" x14ac:dyDescent="0.3">
      <c r="A80" t="s">
        <v>73</v>
      </c>
      <c r="B80" t="s">
        <v>64</v>
      </c>
      <c r="C80">
        <v>0.40301997000000001</v>
      </c>
      <c r="D80">
        <v>0.36974835</v>
      </c>
      <c r="E80">
        <v>0.42390765000000002</v>
      </c>
      <c r="F80">
        <v>1.5077794</v>
      </c>
      <c r="G80">
        <v>0.29259268999999999</v>
      </c>
      <c r="H80">
        <v>0.23269481</v>
      </c>
      <c r="I80">
        <v>0.85768217999999996</v>
      </c>
    </row>
    <row r="81" spans="1:9" x14ac:dyDescent="0.3">
      <c r="A81" t="s">
        <v>74</v>
      </c>
      <c r="B81" t="s">
        <v>64</v>
      </c>
      <c r="C81">
        <v>0.80796279999999998</v>
      </c>
      <c r="D81">
        <v>0.62178984000000004</v>
      </c>
      <c r="E81">
        <v>0.93425912</v>
      </c>
      <c r="F81">
        <v>3.1373424000000001</v>
      </c>
      <c r="G81">
        <v>0.66346822999999999</v>
      </c>
      <c r="H81">
        <v>0.46692988000000002</v>
      </c>
      <c r="I81">
        <v>2.7331012000000001</v>
      </c>
    </row>
    <row r="82" spans="1:9" x14ac:dyDescent="0.3">
      <c r="A82" t="s">
        <v>75</v>
      </c>
      <c r="B82" t="s">
        <v>64</v>
      </c>
      <c r="C82">
        <v>1.5068538</v>
      </c>
      <c r="D82">
        <v>1.3152632</v>
      </c>
      <c r="E82">
        <v>1.9293619</v>
      </c>
      <c r="F82">
        <v>1.5539083</v>
      </c>
      <c r="G82">
        <v>1.89323</v>
      </c>
      <c r="H82">
        <v>1.8750665</v>
      </c>
      <c r="I82">
        <v>2.1087164999999999</v>
      </c>
    </row>
    <row r="83" spans="1:9" x14ac:dyDescent="0.3">
      <c r="A83" t="s">
        <v>76</v>
      </c>
      <c r="B83" t="s">
        <v>64</v>
      </c>
      <c r="C83">
        <v>9.6780436000000001E-3</v>
      </c>
      <c r="D83">
        <v>1.0584758E-2</v>
      </c>
      <c r="E83">
        <v>6.8031947999999997E-3</v>
      </c>
      <c r="F83">
        <v>1.3775264000000001E-2</v>
      </c>
      <c r="G83">
        <v>5.8749568999999996E-3</v>
      </c>
      <c r="H83">
        <v>5.4952387000000002E-3</v>
      </c>
      <c r="I83">
        <v>8.7151500999999992E-3</v>
      </c>
    </row>
    <row r="84" spans="1:9" x14ac:dyDescent="0.3">
      <c r="A84" t="s">
        <v>77</v>
      </c>
      <c r="B84" t="s">
        <v>64</v>
      </c>
      <c r="C84">
        <v>7.8460263000000002E-2</v>
      </c>
      <c r="D84">
        <v>7.6015242999999996E-2</v>
      </c>
      <c r="E84">
        <v>0.12592186</v>
      </c>
      <c r="F84">
        <v>3.4849156999999999E-2</v>
      </c>
      <c r="G84">
        <v>7.3412781999999996E-2</v>
      </c>
      <c r="H84">
        <v>4.4321218000000003E-2</v>
      </c>
      <c r="I84">
        <v>7.2714414000000005E-2</v>
      </c>
    </row>
    <row r="85" spans="1:9" x14ac:dyDescent="0.3">
      <c r="A85" t="s">
        <v>78</v>
      </c>
      <c r="B85" t="s">
        <v>64</v>
      </c>
      <c r="C85">
        <v>8.2873011999999996E-2</v>
      </c>
      <c r="D85">
        <v>7.5500683999999998E-2</v>
      </c>
      <c r="E85">
        <v>0.14695192000000001</v>
      </c>
      <c r="F85">
        <v>1.9111975999999999E-2</v>
      </c>
      <c r="G85">
        <v>8.3429893000000005E-2</v>
      </c>
      <c r="H85">
        <v>4.6888803999999999E-2</v>
      </c>
      <c r="I85">
        <v>0.10411023</v>
      </c>
    </row>
    <row r="86" spans="1:9" x14ac:dyDescent="0.3">
      <c r="A86" t="s">
        <v>79</v>
      </c>
      <c r="B86" t="s">
        <v>64</v>
      </c>
      <c r="C86">
        <v>1.0686480999999999E-2</v>
      </c>
      <c r="D86">
        <v>9.8424085999999997E-3</v>
      </c>
      <c r="E86">
        <v>1.8675431999999999E-2</v>
      </c>
      <c r="F86">
        <v>3.0874146999999999E-3</v>
      </c>
      <c r="G86">
        <v>1.0738871000000001E-2</v>
      </c>
      <c r="H86">
        <v>6.0992564000000001E-3</v>
      </c>
      <c r="I86">
        <v>1.2673355000000001E-2</v>
      </c>
    </row>
    <row r="87" spans="1:9" x14ac:dyDescent="0.3">
      <c r="A87" t="s">
        <v>80</v>
      </c>
      <c r="B87" t="s">
        <v>64</v>
      </c>
      <c r="C87">
        <v>4.5112395000000003</v>
      </c>
      <c r="D87">
        <v>4.2394005999999997</v>
      </c>
      <c r="E87">
        <v>4.4387676000000003</v>
      </c>
      <c r="F87">
        <v>10.435233</v>
      </c>
      <c r="G87">
        <v>3.6181682999999998</v>
      </c>
      <c r="H87">
        <v>2.6337611999999999</v>
      </c>
      <c r="I87">
        <v>8.8117117</v>
      </c>
    </row>
    <row r="88" spans="1:9" x14ac:dyDescent="0.3">
      <c r="A88" t="s">
        <v>81</v>
      </c>
      <c r="B88" t="s">
        <v>64</v>
      </c>
      <c r="C88">
        <v>6.4867599</v>
      </c>
      <c r="D88">
        <v>5.4871753999999999</v>
      </c>
      <c r="E88">
        <v>6.0073479000000001</v>
      </c>
      <c r="F88">
        <v>30.727719</v>
      </c>
      <c r="G88">
        <v>5.3706152999999999</v>
      </c>
      <c r="H88">
        <v>4.1511484000000003</v>
      </c>
      <c r="I88">
        <v>18.48939</v>
      </c>
    </row>
    <row r="89" spans="1:9" x14ac:dyDescent="0.3">
      <c r="A89" t="s">
        <v>82</v>
      </c>
      <c r="B89" t="s">
        <v>64</v>
      </c>
      <c r="C89">
        <v>8.4927358000000002</v>
      </c>
      <c r="D89">
        <v>7.9750766999999998</v>
      </c>
      <c r="E89">
        <v>13.188449</v>
      </c>
      <c r="F89">
        <v>12.212871</v>
      </c>
      <c r="G89">
        <v>7.4272451000000004</v>
      </c>
      <c r="H89">
        <v>4.4269704000000001</v>
      </c>
      <c r="I89">
        <v>11.390101</v>
      </c>
    </row>
    <row r="90" spans="1:9" x14ac:dyDescent="0.3">
      <c r="A90" t="s">
        <v>83</v>
      </c>
      <c r="B90" t="s">
        <v>64</v>
      </c>
      <c r="C90">
        <v>9.1152904E-3</v>
      </c>
      <c r="D90">
        <v>8.6250053000000004E-3</v>
      </c>
      <c r="E90">
        <v>9.2223601000000002E-3</v>
      </c>
      <c r="F90">
        <v>1.9845339E-2</v>
      </c>
      <c r="G90">
        <v>6.5018675000000003E-3</v>
      </c>
      <c r="H90">
        <v>4.8434938999999998E-3</v>
      </c>
      <c r="I90">
        <v>1.7775303999999999E-2</v>
      </c>
    </row>
    <row r="91" spans="1:9" x14ac:dyDescent="0.3">
      <c r="A91" t="s">
        <v>84</v>
      </c>
      <c r="B91" t="s">
        <v>64</v>
      </c>
      <c r="C91">
        <v>1.7300108999999999</v>
      </c>
      <c r="D91">
        <v>1.4949924999999999</v>
      </c>
      <c r="E91">
        <v>1.8302318</v>
      </c>
      <c r="F91">
        <v>5.4282655000000002</v>
      </c>
      <c r="G91">
        <v>1.2025439</v>
      </c>
      <c r="H91">
        <v>1.1334725999999999</v>
      </c>
      <c r="I91">
        <v>4.4403855999999999</v>
      </c>
    </row>
    <row r="92" spans="1:9" x14ac:dyDescent="0.3">
      <c r="A92" t="s">
        <v>85</v>
      </c>
      <c r="B92" t="s">
        <v>64</v>
      </c>
      <c r="C92">
        <v>9.4419269000000003</v>
      </c>
      <c r="D92">
        <v>11.793763999999999</v>
      </c>
      <c r="E92">
        <v>0.75400544999999997</v>
      </c>
      <c r="F92">
        <v>4.0458072999999999</v>
      </c>
      <c r="G92">
        <v>0.95270345000000001</v>
      </c>
      <c r="H92">
        <v>1.1253203000000001</v>
      </c>
      <c r="I92">
        <v>7.4665406000000001</v>
      </c>
    </row>
    <row r="93" spans="1:9" x14ac:dyDescent="0.3">
      <c r="A93" t="s">
        <v>86</v>
      </c>
      <c r="B93" t="s">
        <v>64</v>
      </c>
      <c r="C93">
        <v>3.8103110999999998</v>
      </c>
      <c r="D93">
        <v>1.4193387</v>
      </c>
      <c r="E93">
        <v>3.1046689999999999</v>
      </c>
      <c r="F93">
        <v>33.463343000000002</v>
      </c>
      <c r="G93">
        <v>5.5042045999999996</v>
      </c>
      <c r="H93">
        <v>9.5459523999999991</v>
      </c>
      <c r="I93">
        <v>20.495854999999999</v>
      </c>
    </row>
    <row r="94" spans="1:9" x14ac:dyDescent="0.3">
      <c r="A94" t="s">
        <v>87</v>
      </c>
      <c r="B94" t="s">
        <v>64</v>
      </c>
      <c r="C94">
        <v>1.5832814999999999E-3</v>
      </c>
      <c r="D94">
        <v>1.6432997999999999E-4</v>
      </c>
      <c r="E94">
        <v>1.5845446E-3</v>
      </c>
      <c r="F94">
        <v>1.7758612E-2</v>
      </c>
      <c r="G94">
        <v>2.8946759000000001E-3</v>
      </c>
      <c r="H94">
        <v>5.0800382999999999E-3</v>
      </c>
      <c r="I94">
        <v>1.0878264E-2</v>
      </c>
    </row>
    <row r="97" spans="1:2" x14ac:dyDescent="0.3">
      <c r="A97" t="s">
        <v>36</v>
      </c>
      <c r="B97" t="s">
        <v>109</v>
      </c>
    </row>
    <row r="98" spans="1:2" x14ac:dyDescent="0.3">
      <c r="A98" t="s">
        <v>37</v>
      </c>
      <c r="B98" t="s">
        <v>38</v>
      </c>
    </row>
    <row r="99" spans="1:2" x14ac:dyDescent="0.3">
      <c r="A99" t="s">
        <v>110</v>
      </c>
      <c r="B99" t="s">
        <v>137</v>
      </c>
    </row>
    <row r="100" spans="1:2" x14ac:dyDescent="0.3">
      <c r="A100" t="s">
        <v>111</v>
      </c>
      <c r="B100" t="s">
        <v>138</v>
      </c>
    </row>
    <row r="101" spans="1:2" x14ac:dyDescent="0.3">
      <c r="A101" t="s">
        <v>112</v>
      </c>
      <c r="B101" t="s">
        <v>139</v>
      </c>
    </row>
    <row r="102" spans="1:2" x14ac:dyDescent="0.3">
      <c r="A102" t="s">
        <v>113</v>
      </c>
      <c r="B102" t="s">
        <v>140</v>
      </c>
    </row>
    <row r="103" spans="1:2" x14ac:dyDescent="0.3">
      <c r="A103" t="s">
        <v>114</v>
      </c>
      <c r="B103" t="s">
        <v>141</v>
      </c>
    </row>
    <row r="104" spans="1:2" x14ac:dyDescent="0.3">
      <c r="A104" t="s">
        <v>115</v>
      </c>
      <c r="B104" t="s">
        <v>142</v>
      </c>
    </row>
    <row r="105" spans="1:2" x14ac:dyDescent="0.3">
      <c r="A105" t="s">
        <v>116</v>
      </c>
      <c r="B105" t="s">
        <v>143</v>
      </c>
    </row>
    <row r="106" spans="1:2" x14ac:dyDescent="0.3">
      <c r="A106" t="s">
        <v>39</v>
      </c>
      <c r="B106" t="s">
        <v>88</v>
      </c>
    </row>
    <row r="107" spans="1:2" x14ac:dyDescent="0.3">
      <c r="A107" t="s">
        <v>41</v>
      </c>
      <c r="B107" t="s">
        <v>89</v>
      </c>
    </row>
    <row r="108" spans="1:2" x14ac:dyDescent="0.3">
      <c r="A108" t="s">
        <v>43</v>
      </c>
      <c r="B108" t="s">
        <v>44</v>
      </c>
    </row>
    <row r="109" spans="1:2" x14ac:dyDescent="0.3">
      <c r="A109" t="s">
        <v>45</v>
      </c>
      <c r="B109" t="s">
        <v>46</v>
      </c>
    </row>
    <row r="110" spans="1:2" x14ac:dyDescent="0.3">
      <c r="A110" t="s">
        <v>47</v>
      </c>
      <c r="B110" t="s">
        <v>46</v>
      </c>
    </row>
    <row r="111" spans="1:2" x14ac:dyDescent="0.3">
      <c r="A111" t="s">
        <v>49</v>
      </c>
      <c r="B111" t="s">
        <v>65</v>
      </c>
    </row>
    <row r="112" spans="1:2" x14ac:dyDescent="0.3">
      <c r="A112" t="s">
        <v>51</v>
      </c>
      <c r="B112" t="s">
        <v>52</v>
      </c>
    </row>
    <row r="114" spans="1:9" x14ac:dyDescent="0.3">
      <c r="A114" t="s">
        <v>65</v>
      </c>
      <c r="B114" t="s">
        <v>53</v>
      </c>
      <c r="C114" t="s">
        <v>144</v>
      </c>
      <c r="D114" t="s">
        <v>145</v>
      </c>
      <c r="E114" t="s">
        <v>146</v>
      </c>
      <c r="F114" t="s">
        <v>147</v>
      </c>
      <c r="G114" t="s">
        <v>148</v>
      </c>
      <c r="H114" t="s">
        <v>149</v>
      </c>
      <c r="I114" t="s">
        <v>150</v>
      </c>
    </row>
    <row r="115" spans="1:9" x14ac:dyDescent="0.3">
      <c r="A115" t="s">
        <v>90</v>
      </c>
      <c r="B115" t="s">
        <v>91</v>
      </c>
      <c r="C115">
        <v>4310.6540999999997</v>
      </c>
      <c r="D115">
        <v>3807.232</v>
      </c>
      <c r="E115">
        <v>5487.7722999999996</v>
      </c>
      <c r="F115">
        <v>10092.194</v>
      </c>
      <c r="G115">
        <v>3459.7453</v>
      </c>
      <c r="H115">
        <v>2588.5787</v>
      </c>
      <c r="I115">
        <v>9254.7875000000004</v>
      </c>
    </row>
    <row r="116" spans="1:9" x14ac:dyDescent="0.3">
      <c r="A116" t="s">
        <v>69</v>
      </c>
      <c r="B116" t="s">
        <v>92</v>
      </c>
      <c r="C116">
        <v>1.3376035E-2</v>
      </c>
      <c r="D116">
        <v>1.0094738000000001E-2</v>
      </c>
      <c r="E116">
        <v>1.6726695E-2</v>
      </c>
      <c r="F116">
        <v>3.9617114000000002E-2</v>
      </c>
      <c r="G116">
        <v>9.8439685999999992E-3</v>
      </c>
      <c r="H116">
        <v>1.0168352E-2</v>
      </c>
      <c r="I116">
        <v>4.3763976000000003E-2</v>
      </c>
    </row>
    <row r="117" spans="1:9" x14ac:dyDescent="0.3">
      <c r="A117" t="s">
        <v>70</v>
      </c>
      <c r="B117" t="s">
        <v>93</v>
      </c>
      <c r="C117">
        <v>81.572998999999996</v>
      </c>
      <c r="D117">
        <v>73.447554999999994</v>
      </c>
      <c r="E117">
        <v>94.003288999999995</v>
      </c>
      <c r="F117">
        <v>336.86592999999999</v>
      </c>
      <c r="G117">
        <v>57.233741999999999</v>
      </c>
      <c r="H117">
        <v>44.479612000000003</v>
      </c>
      <c r="I117">
        <v>181.01026999999999</v>
      </c>
    </row>
    <row r="118" spans="1:9" x14ac:dyDescent="0.3">
      <c r="A118" t="s">
        <v>71</v>
      </c>
      <c r="B118" t="s">
        <v>94</v>
      </c>
      <c r="C118">
        <v>11.25276</v>
      </c>
      <c r="D118">
        <v>10.316348</v>
      </c>
      <c r="E118">
        <v>11.778185000000001</v>
      </c>
      <c r="F118">
        <v>42.716701</v>
      </c>
      <c r="G118">
        <v>8.1601821999999995</v>
      </c>
      <c r="H118">
        <v>6.4874007000000002</v>
      </c>
      <c r="I118">
        <v>24.098289999999999</v>
      </c>
    </row>
    <row r="119" spans="1:9" x14ac:dyDescent="0.3">
      <c r="A119" t="s">
        <v>72</v>
      </c>
      <c r="B119" t="s">
        <v>95</v>
      </c>
      <c r="C119">
        <v>5.0229850000000003</v>
      </c>
      <c r="D119">
        <v>4.3292731</v>
      </c>
      <c r="E119">
        <v>5.7702685999999996</v>
      </c>
      <c r="F119">
        <v>14.859387999999999</v>
      </c>
      <c r="G119">
        <v>4.0211867000000003</v>
      </c>
      <c r="H119">
        <v>2.8356512999999999</v>
      </c>
      <c r="I119">
        <v>12.707867</v>
      </c>
    </row>
    <row r="120" spans="1:9" x14ac:dyDescent="0.3">
      <c r="A120" t="s">
        <v>73</v>
      </c>
      <c r="B120" t="s">
        <v>94</v>
      </c>
      <c r="C120">
        <v>11.554031999999999</v>
      </c>
      <c r="D120">
        <v>10.600177</v>
      </c>
      <c r="E120">
        <v>12.152843000000001</v>
      </c>
      <c r="F120">
        <v>43.225833999999999</v>
      </c>
      <c r="G120">
        <v>8.3882265999999994</v>
      </c>
      <c r="H120">
        <v>6.6710589000000002</v>
      </c>
      <c r="I120">
        <v>24.588601000000001</v>
      </c>
    </row>
    <row r="121" spans="1:9" x14ac:dyDescent="0.3">
      <c r="A121" t="s">
        <v>74</v>
      </c>
      <c r="B121" t="s">
        <v>96</v>
      </c>
      <c r="C121">
        <v>14.089293</v>
      </c>
      <c r="D121">
        <v>10.843590000000001</v>
      </c>
      <c r="E121">
        <v>16.290768</v>
      </c>
      <c r="F121">
        <v>54.704602999999999</v>
      </c>
      <c r="G121">
        <v>11.569546000000001</v>
      </c>
      <c r="H121">
        <v>8.1423895000000002</v>
      </c>
      <c r="I121">
        <v>47.653373999999999</v>
      </c>
    </row>
    <row r="122" spans="1:9" x14ac:dyDescent="0.3">
      <c r="A122" t="s">
        <v>75</v>
      </c>
      <c r="B122" t="s">
        <v>97</v>
      </c>
      <c r="C122">
        <v>8.3055967000000006</v>
      </c>
      <c r="D122">
        <v>7.2495745999999999</v>
      </c>
      <c r="E122">
        <v>10.634384000000001</v>
      </c>
      <c r="F122">
        <v>8.5661413</v>
      </c>
      <c r="G122">
        <v>10.435183</v>
      </c>
      <c r="H122">
        <v>10.334762</v>
      </c>
      <c r="I122">
        <v>11.623407</v>
      </c>
    </row>
    <row r="123" spans="1:9" x14ac:dyDescent="0.3">
      <c r="A123" t="s">
        <v>76</v>
      </c>
      <c r="B123" t="s">
        <v>98</v>
      </c>
      <c r="C123">
        <v>21.052318</v>
      </c>
      <c r="D123">
        <v>23.023966999999999</v>
      </c>
      <c r="E123">
        <v>14.800727</v>
      </c>
      <c r="F123">
        <v>29.970262000000002</v>
      </c>
      <c r="G123">
        <v>12.780177</v>
      </c>
      <c r="H123">
        <v>11.953497</v>
      </c>
      <c r="I123">
        <v>18.962045</v>
      </c>
    </row>
    <row r="124" spans="1:9" x14ac:dyDescent="0.3">
      <c r="A124" t="s">
        <v>77</v>
      </c>
      <c r="B124" t="s">
        <v>99</v>
      </c>
      <c r="C124">
        <v>25456.298999999999</v>
      </c>
      <c r="D124">
        <v>24663.312000000002</v>
      </c>
      <c r="E124">
        <v>40858.269</v>
      </c>
      <c r="F124">
        <v>11298.353999999999</v>
      </c>
      <c r="G124">
        <v>23819.657999999999</v>
      </c>
      <c r="H124">
        <v>14379.894</v>
      </c>
      <c r="I124">
        <v>23585.278999999999</v>
      </c>
    </row>
    <row r="125" spans="1:9" x14ac:dyDescent="0.3">
      <c r="A125" t="s">
        <v>78</v>
      </c>
      <c r="B125" t="s">
        <v>99</v>
      </c>
      <c r="C125">
        <v>440.90152999999998</v>
      </c>
      <c r="D125">
        <v>401.67630000000003</v>
      </c>
      <c r="E125">
        <v>781.69021999999995</v>
      </c>
      <c r="F125">
        <v>101.94959</v>
      </c>
      <c r="G125">
        <v>443.82711999999998</v>
      </c>
      <c r="H125">
        <v>249.45805999999999</v>
      </c>
      <c r="I125">
        <v>554.07383000000004</v>
      </c>
    </row>
    <row r="126" spans="1:9" x14ac:dyDescent="0.3">
      <c r="A126" t="s">
        <v>79</v>
      </c>
      <c r="B126" t="s">
        <v>99</v>
      </c>
      <c r="C126">
        <v>375.8938</v>
      </c>
      <c r="D126">
        <v>346.19635</v>
      </c>
      <c r="E126">
        <v>656.86582999999996</v>
      </c>
      <c r="F126">
        <v>108.64216</v>
      </c>
      <c r="G126">
        <v>377.72104999999999</v>
      </c>
      <c r="H126">
        <v>214.53317999999999</v>
      </c>
      <c r="I126">
        <v>445.90836000000002</v>
      </c>
    </row>
    <row r="127" spans="1:9" x14ac:dyDescent="0.3">
      <c r="A127" t="s">
        <v>80</v>
      </c>
      <c r="B127" t="s">
        <v>99</v>
      </c>
      <c r="C127">
        <v>81.471281000000005</v>
      </c>
      <c r="D127">
        <v>76.562296000000003</v>
      </c>
      <c r="E127">
        <v>80.165194999999997</v>
      </c>
      <c r="F127">
        <v>188.44739000000001</v>
      </c>
      <c r="G127">
        <v>65.343911000000006</v>
      </c>
      <c r="H127">
        <v>47.564379000000002</v>
      </c>
      <c r="I127">
        <v>159.12982</v>
      </c>
    </row>
    <row r="128" spans="1:9" x14ac:dyDescent="0.3">
      <c r="A128" t="s">
        <v>81</v>
      </c>
      <c r="B128" t="s">
        <v>99</v>
      </c>
      <c r="C128">
        <v>1705.5948000000001</v>
      </c>
      <c r="D128">
        <v>1442.8358000000001</v>
      </c>
      <c r="E128">
        <v>1579.8302000000001</v>
      </c>
      <c r="F128">
        <v>8077.1625000000004</v>
      </c>
      <c r="G128">
        <v>1412.2303999999999</v>
      </c>
      <c r="H128">
        <v>1091.4055000000001</v>
      </c>
      <c r="I128">
        <v>4860.5653000000002</v>
      </c>
    </row>
    <row r="129" spans="1:9" x14ac:dyDescent="0.3">
      <c r="A129" t="s">
        <v>82</v>
      </c>
      <c r="B129" t="s">
        <v>100</v>
      </c>
      <c r="C129">
        <v>3538.2714000000001</v>
      </c>
      <c r="D129">
        <v>3322.7064</v>
      </c>
      <c r="E129">
        <v>5494.5515999999998</v>
      </c>
      <c r="F129">
        <v>5086.4531999999999</v>
      </c>
      <c r="G129">
        <v>3094.3366000000001</v>
      </c>
      <c r="H129">
        <v>1844.3495</v>
      </c>
      <c r="I129">
        <v>4744.5001000000002</v>
      </c>
    </row>
    <row r="130" spans="1:9" x14ac:dyDescent="0.3">
      <c r="A130" t="s">
        <v>83</v>
      </c>
      <c r="B130" t="s">
        <v>101</v>
      </c>
      <c r="C130">
        <v>5.5378441</v>
      </c>
      <c r="D130">
        <v>5.2410632000000001</v>
      </c>
      <c r="E130">
        <v>5.6101264999999998</v>
      </c>
      <c r="F130">
        <v>12.026363</v>
      </c>
      <c r="G130">
        <v>3.9519614000000001</v>
      </c>
      <c r="H130">
        <v>2.9418215999999999</v>
      </c>
      <c r="I130">
        <v>10.780417999999999</v>
      </c>
    </row>
    <row r="131" spans="1:9" x14ac:dyDescent="0.3">
      <c r="A131" t="s">
        <v>84</v>
      </c>
      <c r="B131" t="s">
        <v>102</v>
      </c>
      <c r="C131">
        <v>650.06303000000003</v>
      </c>
      <c r="D131">
        <v>544.43850999999995</v>
      </c>
      <c r="E131">
        <v>693.25503000000003</v>
      </c>
      <c r="F131">
        <v>2043.9172000000001</v>
      </c>
      <c r="G131">
        <v>483.75078000000002</v>
      </c>
      <c r="H131">
        <v>424.72717</v>
      </c>
      <c r="I131">
        <v>1815.4247</v>
      </c>
    </row>
    <row r="132" spans="1:9" x14ac:dyDescent="0.3">
      <c r="A132" t="s">
        <v>103</v>
      </c>
      <c r="B132" t="s">
        <v>104</v>
      </c>
      <c r="C132">
        <v>2119.5893000000001</v>
      </c>
      <c r="D132">
        <v>456.46478999999999</v>
      </c>
      <c r="E132">
        <v>1935.4004</v>
      </c>
      <c r="F132">
        <v>21932.137999999999</v>
      </c>
      <c r="G132">
        <v>3521.1709000000001</v>
      </c>
      <c r="H132">
        <v>6171.8140000000003</v>
      </c>
      <c r="I132">
        <v>13292.868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Study id</vt:lpstr>
      <vt:lpstr>Value chains description</vt:lpstr>
      <vt:lpstr>Actor types</vt:lpstr>
      <vt:lpstr>Actors and Chains matrix</vt:lpstr>
      <vt:lpstr>Impacts</vt:lpstr>
      <vt:lpstr>sub-chains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FLançon</dc:creator>
  <dc:description/>
  <cp:lastModifiedBy>Frédéric LANCON</cp:lastModifiedBy>
  <cp:revision>26</cp:revision>
  <dcterms:created xsi:type="dcterms:W3CDTF">2023-03-24T15:54:37Z</dcterms:created>
  <dcterms:modified xsi:type="dcterms:W3CDTF">2026-10-08T13:39:05Z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