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codeName="ThisWorkbook" autoCompressPictures="0" defaultThemeVersion="124226"/>
  <mc:AlternateContent xmlns:mc="http://schemas.openxmlformats.org/markup-compatibility/2006">
    <mc:Choice Requires="x15">
      <x15ac:absPath xmlns:x15ac="http://schemas.microsoft.com/office/spreadsheetml/2010/11/ac" url="C:\Users\User\My Tresors\3.2 The VCA Studies Phase II\21. Madagascar - Arachide\5. Final Report\"/>
    </mc:Choice>
  </mc:AlternateContent>
  <xr:revisionPtr revIDLastSave="0" documentId="13_ncr:1_{999714DC-F1E5-4138-BB4F-067CDF4574A7}" xr6:coauthVersionLast="47" xr6:coauthVersionMax="47" xr10:uidLastSave="{00000000-0000-0000-0000-000000000000}"/>
  <bookViews>
    <workbookView xWindow="-110" yWindow="-110" windowWidth="19420" windowHeight="10300" xr2:uid="{00000000-000D-0000-FFFF-FFFF00000000}"/>
  </bookViews>
  <sheets>
    <sheet name="Profile" sheetId="1" r:id="rId1"/>
    <sheet name="Register" sheetId="2" r:id="rId2"/>
    <sheet name="Questionnaire" sheetId="3" r:id="rId3"/>
    <sheet name="Guidance" sheetId="4" r:id="rId4"/>
  </sheets>
  <definedNames>
    <definedName name="_xlnm._FilterDatabase" localSheetId="2" hidden="1">Questionnaire!$A$1:$N$120</definedName>
    <definedName name="_xlnm.Print_Area" localSheetId="0">Profile!$A$1:$G$29</definedName>
    <definedName name="_xlnm.Print_Area" localSheetId="2">Questionnaire!$A$1:$L$121</definedName>
    <definedName name="_xlnm.Print_Area" localSheetId="1">Register!$A$1:$I$39</definedName>
    <definedName name="_xlnm.Print_Titles" localSheetId="2">Questionnaire!$2:$2</definedName>
    <definedName name="_xlnm.Print_Titles" localSheetId="1">Register!$1:$4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A11" i="4" l="1"/>
  <c r="A12" i="4" s="1"/>
  <c r="A13" i="4" s="1"/>
  <c r="A15" i="4" s="1"/>
  <c r="A16" i="4" s="1"/>
  <c r="A17" i="4" s="1"/>
  <c r="A18" i="4" s="1"/>
  <c r="A20" i="4" s="1"/>
  <c r="A10" i="4"/>
  <c r="E119" i="3" l="1"/>
  <c r="E118" i="3"/>
  <c r="E117" i="3"/>
  <c r="E114" i="3"/>
  <c r="E113" i="3"/>
  <c r="E112" i="3"/>
  <c r="E109" i="3"/>
  <c r="E108" i="3"/>
  <c r="E105" i="3"/>
  <c r="E104" i="3"/>
  <c r="E103" i="3"/>
  <c r="E99" i="3"/>
  <c r="E98" i="3"/>
  <c r="E97" i="3"/>
  <c r="E94" i="3"/>
  <c r="E93" i="3"/>
  <c r="E90" i="3"/>
  <c r="E89" i="3"/>
  <c r="E88" i="3"/>
  <c r="E87" i="3"/>
  <c r="E83" i="3"/>
  <c r="E82" i="3"/>
  <c r="E79" i="3"/>
  <c r="E78" i="3"/>
  <c r="E77" i="3"/>
  <c r="E74" i="3"/>
  <c r="E73" i="3"/>
  <c r="E70" i="3"/>
  <c r="E69" i="3"/>
  <c r="E65" i="3"/>
  <c r="E64" i="3"/>
  <c r="E61" i="3"/>
  <c r="E60" i="3"/>
  <c r="E59" i="3"/>
  <c r="E58" i="3"/>
  <c r="E55" i="3"/>
  <c r="E54" i="3"/>
  <c r="E53" i="3"/>
  <c r="E52" i="3"/>
  <c r="E51" i="3"/>
  <c r="E48" i="3"/>
  <c r="E47" i="3"/>
  <c r="E46" i="3"/>
  <c r="E45" i="3"/>
  <c r="E42" i="3"/>
  <c r="E41" i="3"/>
  <c r="E37" i="3"/>
  <c r="E36" i="3"/>
  <c r="E35" i="3"/>
  <c r="E34" i="3"/>
  <c r="E38" i="3" s="1"/>
  <c r="E31" i="3"/>
  <c r="E30" i="3"/>
  <c r="E29" i="3"/>
  <c r="E28" i="3"/>
  <c r="E25" i="3"/>
  <c r="E24" i="3"/>
  <c r="E20" i="3"/>
  <c r="E19" i="3"/>
  <c r="E21" i="3" s="1"/>
  <c r="E16" i="3"/>
  <c r="E17" i="3" s="1"/>
  <c r="E13" i="3"/>
  <c r="E12" i="3"/>
  <c r="E9" i="3"/>
  <c r="E8" i="3"/>
  <c r="E7" i="3"/>
  <c r="E6" i="3"/>
  <c r="E5" i="3"/>
  <c r="E120" i="3" l="1"/>
  <c r="E32" i="3"/>
  <c r="E110" i="3"/>
  <c r="E115" i="3"/>
  <c r="E106" i="3"/>
  <c r="E100" i="3"/>
  <c r="E95" i="3"/>
  <c r="E91" i="3"/>
  <c r="E84" i="3"/>
  <c r="E80" i="3"/>
  <c r="E75" i="3"/>
  <c r="E71" i="3"/>
  <c r="E66" i="3"/>
  <c r="E62" i="3"/>
  <c r="E56" i="3"/>
  <c r="E49" i="3"/>
  <c r="E43" i="3"/>
  <c r="E14" i="3"/>
  <c r="E10" i="3"/>
  <c r="E26" i="3"/>
  <c r="H33" i="2"/>
  <c r="A32" i="2"/>
  <c r="A31" i="2"/>
  <c r="A30" i="2"/>
  <c r="A29" i="2"/>
  <c r="A18" i="1" s="1"/>
  <c r="G18" i="1" l="1"/>
  <c r="F100" i="3"/>
  <c r="D100" i="3"/>
  <c r="I100" i="3" s="1"/>
  <c r="D95" i="3"/>
  <c r="I95" i="3" s="1"/>
  <c r="F91" i="3"/>
  <c r="D91" i="3"/>
  <c r="I91" i="3" s="1"/>
  <c r="F95" i="3"/>
  <c r="D1" i="2"/>
  <c r="G1" i="2"/>
  <c r="J1" i="3"/>
  <c r="D1" i="3"/>
  <c r="B1" i="3"/>
  <c r="A1" i="2"/>
  <c r="J91" i="3" l="1"/>
  <c r="B30" i="2" s="1"/>
  <c r="J100" i="3"/>
  <c r="B32" i="2" s="1"/>
  <c r="J95" i="3"/>
  <c r="B31" i="2" s="1"/>
  <c r="L7" i="2"/>
  <c r="L6" i="2"/>
  <c r="L5" i="2"/>
  <c r="L4" i="2"/>
  <c r="L3" i="2"/>
  <c r="A38" i="2"/>
  <c r="A37" i="2"/>
  <c r="A36" i="2"/>
  <c r="A35" i="2"/>
  <c r="A34" i="2"/>
  <c r="A19" i="1" s="1"/>
  <c r="A27" i="2"/>
  <c r="A26" i="2"/>
  <c r="A25" i="2"/>
  <c r="A24" i="2"/>
  <c r="A23" i="2"/>
  <c r="A17" i="1" s="1"/>
  <c r="A21" i="2"/>
  <c r="A20" i="2"/>
  <c r="A19" i="2"/>
  <c r="A18" i="2"/>
  <c r="A17" i="2"/>
  <c r="A16" i="2"/>
  <c r="A16" i="1" s="1"/>
  <c r="A14" i="2"/>
  <c r="A13" i="2"/>
  <c r="A12" i="2"/>
  <c r="A11" i="2"/>
  <c r="A15" i="1" s="1"/>
  <c r="A5" i="2"/>
  <c r="A14" i="1" s="1"/>
  <c r="A9" i="2"/>
  <c r="A8" i="2"/>
  <c r="A7" i="2"/>
  <c r="A6" i="2"/>
  <c r="D80" i="3"/>
  <c r="D75" i="3"/>
  <c r="D56" i="3"/>
  <c r="D31" i="2" l="1"/>
  <c r="C31" i="2"/>
  <c r="D32" i="2"/>
  <c r="C32" i="2"/>
  <c r="C30" i="2"/>
  <c r="D30" i="2"/>
  <c r="B33" i="2"/>
  <c r="C33" i="2" s="1"/>
  <c r="C18" i="1" s="1"/>
  <c r="I30" i="2"/>
  <c r="I9" i="2"/>
  <c r="I27" i="2"/>
  <c r="I26" i="2"/>
  <c r="I25" i="2"/>
  <c r="I6" i="2"/>
  <c r="I17" i="2"/>
  <c r="I24" i="2"/>
  <c r="I21" i="2"/>
  <c r="I19" i="2"/>
  <c r="I18" i="2"/>
  <c r="I20" i="2"/>
  <c r="I38" i="2"/>
  <c r="I37" i="2"/>
  <c r="I36" i="2"/>
  <c r="I35" i="2"/>
  <c r="I14" i="2"/>
  <c r="I32" i="2"/>
  <c r="I13" i="2"/>
  <c r="I12" i="2"/>
  <c r="I8" i="2"/>
  <c r="I7" i="2"/>
  <c r="I31" i="2"/>
  <c r="I33" i="2"/>
  <c r="F18" i="1" s="1"/>
  <c r="D62" i="3"/>
  <c r="D66" i="3"/>
  <c r="D106" i="3"/>
  <c r="D115" i="3"/>
  <c r="D110" i="3"/>
  <c r="D71" i="3"/>
  <c r="D43" i="3"/>
  <c r="D26" i="3"/>
  <c r="I26" i="3" s="1"/>
  <c r="J26" i="3" s="1"/>
  <c r="D32" i="3"/>
  <c r="D38" i="3"/>
  <c r="D84" i="3"/>
  <c r="D120" i="3"/>
  <c r="D17" i="3"/>
  <c r="D18" i="1" l="1"/>
  <c r="D33" i="2"/>
  <c r="E18" i="1" s="1"/>
  <c r="F49" i="3"/>
  <c r="D49" i="3"/>
  <c r="D14" i="3"/>
  <c r="I14" i="3" s="1"/>
  <c r="J14" i="3" s="1"/>
  <c r="D21" i="3"/>
  <c r="D10" i="3" l="1"/>
  <c r="I10" i="3" s="1"/>
  <c r="J10" i="3" l="1"/>
  <c r="B6" i="2" s="1"/>
  <c r="C6" i="2" s="1"/>
  <c r="F80" i="3"/>
  <c r="I80" i="3"/>
  <c r="F75" i="3"/>
  <c r="I75" i="3"/>
  <c r="F71" i="3"/>
  <c r="J75" i="3" l="1"/>
  <c r="B25" i="2" s="1"/>
  <c r="C25" i="2" s="1"/>
  <c r="J80" i="3"/>
  <c r="B26" i="2" s="1"/>
  <c r="C26" i="2" s="1"/>
  <c r="H39" i="2"/>
  <c r="G12" i="1"/>
  <c r="H28" i="2"/>
  <c r="H22" i="2"/>
  <c r="I22" i="2" s="1"/>
  <c r="H10" i="2"/>
  <c r="H15" i="2"/>
  <c r="I15" i="1"/>
  <c r="I19" i="1"/>
  <c r="I14" i="1"/>
  <c r="I20" i="1" s="1"/>
  <c r="I17" i="1"/>
  <c r="I16" i="1"/>
  <c r="I15" i="2" l="1"/>
  <c r="F15" i="1" s="1"/>
  <c r="I10" i="2"/>
  <c r="F14" i="1" s="1"/>
  <c r="I28" i="2"/>
  <c r="F17" i="1" s="1"/>
  <c r="I39" i="2"/>
  <c r="F19" i="1" s="1"/>
  <c r="G19" i="1"/>
  <c r="G17" i="1"/>
  <c r="G14" i="1"/>
  <c r="G15" i="1"/>
  <c r="G16" i="1"/>
  <c r="F16" i="1"/>
  <c r="I17" i="3"/>
  <c r="I71" i="3"/>
  <c r="F84" i="3"/>
  <c r="I43" i="3"/>
  <c r="J43" i="3" s="1"/>
  <c r="F62" i="3"/>
  <c r="I66" i="3"/>
  <c r="J66" i="3" s="1"/>
  <c r="F106" i="3"/>
  <c r="I120" i="3"/>
  <c r="I32" i="3"/>
  <c r="J32" i="3" s="1"/>
  <c r="I49" i="3"/>
  <c r="J49" i="3" s="1"/>
  <c r="F115" i="3"/>
  <c r="F66" i="3"/>
  <c r="F38" i="3"/>
  <c r="I38" i="3"/>
  <c r="I56" i="3"/>
  <c r="J56" i="3" s="1"/>
  <c r="F56" i="3"/>
  <c r="B12" i="2"/>
  <c r="C12" i="2" s="1"/>
  <c r="F26" i="3"/>
  <c r="F21" i="3"/>
  <c r="F17" i="3"/>
  <c r="J71" i="3" l="1"/>
  <c r="B24" i="2" s="1"/>
  <c r="J38" i="3"/>
  <c r="B14" i="2" s="1"/>
  <c r="C14" i="2" s="1"/>
  <c r="J120" i="3"/>
  <c r="B38" i="2" s="1"/>
  <c r="C38" i="2" s="1"/>
  <c r="J17" i="3"/>
  <c r="B8" i="2" s="1"/>
  <c r="C8" i="2" s="1"/>
  <c r="D12" i="2"/>
  <c r="I110" i="3"/>
  <c r="F110" i="3"/>
  <c r="B19" i="2"/>
  <c r="C19" i="2" s="1"/>
  <c r="B18" i="2"/>
  <c r="C18" i="2" s="1"/>
  <c r="B21" i="2"/>
  <c r="C21" i="2" s="1"/>
  <c r="B17" i="2"/>
  <c r="C17" i="2" s="1"/>
  <c r="I62" i="3"/>
  <c r="J62" i="3" s="1"/>
  <c r="B13" i="2"/>
  <c r="C13" i="2" s="1"/>
  <c r="I21" i="3"/>
  <c r="F32" i="3"/>
  <c r="F14" i="3"/>
  <c r="I106" i="3"/>
  <c r="J106" i="3" s="1"/>
  <c r="F43" i="3"/>
  <c r="I84" i="3"/>
  <c r="J84" i="3" s="1"/>
  <c r="F120" i="3"/>
  <c r="I115" i="3"/>
  <c r="J115" i="3" s="1"/>
  <c r="F10" i="3"/>
  <c r="C24" i="2" l="1"/>
  <c r="D24" i="2"/>
  <c r="J110" i="3"/>
  <c r="B36" i="2" s="1"/>
  <c r="C36" i="2" s="1"/>
  <c r="J21" i="3"/>
  <c r="B9" i="2" s="1"/>
  <c r="B15" i="2"/>
  <c r="C15" i="2" s="1"/>
  <c r="D21" i="2"/>
  <c r="D19" i="2"/>
  <c r="D18" i="2"/>
  <c r="B35" i="2"/>
  <c r="C35" i="2" s="1"/>
  <c r="B37" i="2"/>
  <c r="C37" i="2" s="1"/>
  <c r="B27" i="2"/>
  <c r="D14" i="2"/>
  <c r="D17" i="2"/>
  <c r="D25" i="2"/>
  <c r="B20" i="2"/>
  <c r="D13" i="2"/>
  <c r="B7" i="2"/>
  <c r="D8" i="2"/>
  <c r="C9" i="2" l="1"/>
  <c r="D9" i="2"/>
  <c r="B28" i="2"/>
  <c r="C28" i="2" s="1"/>
  <c r="C27" i="2"/>
  <c r="B22" i="2"/>
  <c r="C22" i="2" s="1"/>
  <c r="C20" i="2"/>
  <c r="D15" i="2"/>
  <c r="E15" i="1" s="1"/>
  <c r="B10" i="2"/>
  <c r="C10" i="2" s="1"/>
  <c r="C7" i="2"/>
  <c r="B39" i="2"/>
  <c r="C39" i="2" s="1"/>
  <c r="C15" i="1"/>
  <c r="D37" i="2"/>
  <c r="D27" i="2"/>
  <c r="D20" i="2"/>
  <c r="D15" i="1"/>
  <c r="D7" i="2"/>
  <c r="D38" i="2"/>
  <c r="D36" i="2"/>
  <c r="D35" i="2"/>
  <c r="D26" i="2"/>
  <c r="D6" i="2"/>
  <c r="D22" i="2" l="1"/>
  <c r="E16" i="1" s="1"/>
  <c r="D39" i="2"/>
  <c r="E19" i="1" s="1"/>
  <c r="D17" i="1"/>
  <c r="D28" i="2"/>
  <c r="E17" i="1" s="1"/>
  <c r="C17" i="1"/>
  <c r="C16" i="1"/>
  <c r="D16" i="1"/>
  <c r="D10" i="2"/>
  <c r="E14" i="1" s="1"/>
  <c r="C14" i="1"/>
  <c r="C19" i="1"/>
  <c r="D19" i="1"/>
  <c r="D14" i="1"/>
</calcChain>
</file>

<file path=xl/sharedStrings.xml><?xml version="1.0" encoding="utf-8"?>
<sst xmlns="http://schemas.openxmlformats.org/spreadsheetml/2006/main" count="562" uniqueCount="354">
  <si>
    <t>Question</t>
  </si>
  <si>
    <t>Score</t>
  </si>
  <si>
    <t>Source</t>
  </si>
  <si>
    <t>Low</t>
  </si>
  <si>
    <t>High</t>
  </si>
  <si>
    <t>Substantial</t>
  </si>
  <si>
    <t>Level</t>
  </si>
  <si>
    <t>Trend</t>
  </si>
  <si>
    <t>Overall Recommendation</t>
  </si>
  <si>
    <t>Dimension</t>
  </si>
  <si>
    <t>Major risks and possible negative consequences</t>
  </si>
  <si>
    <t>↑</t>
  </si>
  <si>
    <t>↓</t>
  </si>
  <si>
    <t>↔</t>
  </si>
  <si>
    <t>Average</t>
  </si>
  <si>
    <t>Tr_score</t>
  </si>
  <si>
    <t>Please add justification.</t>
  </si>
  <si>
    <t>Key Mitigating Measures</t>
  </si>
  <si>
    <t>Mitigating measures</t>
  </si>
  <si>
    <t>n/a</t>
  </si>
  <si>
    <t>Zero</t>
  </si>
  <si>
    <t>Medium</t>
  </si>
  <si>
    <t>Country:</t>
  </si>
  <si>
    <t>Final:</t>
  </si>
  <si>
    <t>Average:</t>
  </si>
  <si>
    <t>Date last modif.</t>
  </si>
  <si>
    <t xml:space="preserve">  Date Last Modification: </t>
  </si>
  <si>
    <t>Value chain:</t>
  </si>
  <si>
    <t>1.2 Child Labour</t>
  </si>
  <si>
    <t>1.1 Respect of labour rights</t>
  </si>
  <si>
    <t>1.1.2 Is freedom of association allowed and effective (collective bargaining)?</t>
  </si>
  <si>
    <t>1.3 Job safety</t>
  </si>
  <si>
    <t>Good reasons for restictions make the question non applicable</t>
  </si>
  <si>
    <t>3.1 Economic activities</t>
  </si>
  <si>
    <t>3.2 Access to resources and services</t>
  </si>
  <si>
    <t xml:space="preserve">3.4.2 Do women have leadership positions within the organisations they are part of? </t>
  </si>
  <si>
    <t xml:space="preserve">3.4.3 Do women have the power to influence services, territorial power and policy decision making? </t>
  </si>
  <si>
    <t>3.4.4 Do women speak in public?</t>
  </si>
  <si>
    <t>3.4.1 Are women members of groups, trade unions, farmers' organisations?</t>
  </si>
  <si>
    <t>3.2.2 Do women have equal land rights as men?</t>
  </si>
  <si>
    <t>1.1.4 To what extent are risks of forced labour in any segment of the value chain minimised?</t>
  </si>
  <si>
    <t>3.1.1 Are risks of women being excluded from certain segments of the value chain minimised?</t>
  </si>
  <si>
    <t>Moderate/Low</t>
  </si>
  <si>
    <t xml:space="preserve">4.2 Accessibility of food </t>
  </si>
  <si>
    <t xml:space="preserve">2.1 Adherence to VGGT </t>
  </si>
  <si>
    <t>2.1.1 Do the companies/institutions involved in the value chain declare adhering to the VGGT?</t>
  </si>
  <si>
    <t>2.2.2 Level of accessibility of intervention policies, laws, procedures and decisions to all stakeholders of the value chain?</t>
  </si>
  <si>
    <t>Respond 'High' if formal contract exists</t>
  </si>
  <si>
    <t>2.2 Transparency, participation and consultation</t>
  </si>
  <si>
    <t>2.3  Equity,compensation and justice</t>
  </si>
  <si>
    <t>2.3.1  Do the locally applied rules promote secure and equitable tenure rights or access to land and water?</t>
  </si>
  <si>
    <t>2.3.2 In case disruption of livelihoods is expected, have alternative strategies been considered?</t>
  </si>
  <si>
    <t xml:space="preserve">4.1.1 Does the local production of food increase?
</t>
  </si>
  <si>
    <t xml:space="preserve">4.1.2 Are food supplies increasing on local markets? 
</t>
  </si>
  <si>
    <t xml:space="preserve">4.3 Utilisation and nutritional adequacy </t>
  </si>
  <si>
    <r>
      <t xml:space="preserve">4.3.1 Is the nutritional quality of available food improving?  </t>
    </r>
    <r>
      <rPr>
        <i/>
        <sz val="11"/>
        <rFont val="Arial"/>
        <family val="2"/>
      </rPr>
      <t xml:space="preserve">
</t>
    </r>
  </si>
  <si>
    <t>4.3.2 Are nutritional practices being improved?</t>
  </si>
  <si>
    <t xml:space="preserve">4.2.2 Are (relative) consumers food prices decreasing? </t>
  </si>
  <si>
    <t xml:space="preserve">4.4 Stability </t>
  </si>
  <si>
    <t xml:space="preserve">1.1.5 To what extent are any risks of discrimination in employment for specific categories of the population minimised? </t>
  </si>
  <si>
    <t xml:space="preserve">2.2.3  Level of participation and consultation of all individuals and groups in the decision-making process? </t>
  </si>
  <si>
    <t xml:space="preserve">2.2.4 To what extent prior consent of those affected by the decisions was reached? </t>
  </si>
  <si>
    <t>2.1.2 If large scale investments for land aquisition are at stake, do the involved companies/institutions apply the 'Guide to due diligence of agribusiness projects that affect land and property rights'?</t>
  </si>
  <si>
    <t>Consider as entry point for the analysis the current state of play of the country specific land governance (policy, legislation, institutions/actors, enacting and application of legislation in particular as regards the consideration/impact on smallholders, land administration). This is important to know/judge if government legislation and/or customary rights matter</t>
  </si>
  <si>
    <t xml:space="preserve">How is adherence to VGGT done and is this publically acknowledged? </t>
  </si>
  <si>
    <t>2.2.1  Level of prior disclosure of project related information to local stakeholders?</t>
  </si>
  <si>
    <t>Practice of legal recognition and allocation of land rights in the sphere of value chain investment: formal, customary and informal land rights, rights of indigenous people, pastoralists, contracts… To which extent doeas the value chain investment impact on local/traditional land governance?</t>
  </si>
  <si>
    <t xml:space="preserve">2.3.3 Where expropriation is indispensable: is a system for ensuring fair and prompt compensation in place (in accordance with the national law and publically acknowledged as being fair)?  </t>
  </si>
  <si>
    <t>2.3.4 Are there provisions foreseen to address stakeholder complains and for arbitration of possible conflicts caused by value chain investments?</t>
  </si>
  <si>
    <t>1.4 Attractiveness</t>
  </si>
  <si>
    <t>1.4.2 Are conditions of activities attractive for youth?</t>
  </si>
  <si>
    <t>1.1.1 To what extent do companies involved in the value chain respect the standards elaborated in the 8 fundamental ILO international labour conventions and in the ICESCR  and ICCPR?</t>
  </si>
  <si>
    <t>Risk assessment</t>
  </si>
  <si>
    <t>1.4.1 To what extent are remunerations in accordance with local standards?</t>
  </si>
  <si>
    <t xml:space="preserve">4.2.1 Do people have more income to allocate to food?  </t>
  </si>
  <si>
    <t>4.3.3 Is dietary diversity increased?</t>
  </si>
  <si>
    <t>Minimum number of food groups consumed by an individual over a reference period. Ref.: FAO Manual Minimum Dietary Diversity in Women (in preparation). This is relevant only if the baseline score is low.</t>
  </si>
  <si>
    <t>4.4.1 Is risk of periodic food shortage for household reduced?</t>
  </si>
  <si>
    <t xml:space="preserve">4.4.2 Is excessive food price variation reduced? </t>
  </si>
  <si>
    <t>Not at all</t>
  </si>
  <si>
    <t>Previous Analysis</t>
  </si>
  <si>
    <t>../../20..</t>
  </si>
  <si>
    <t>date:</t>
  </si>
  <si>
    <t>Domain</t>
  </si>
  <si>
    <t>Present profile</t>
  </si>
  <si>
    <t>Previous profile</t>
  </si>
  <si>
    <t>Comments</t>
  </si>
  <si>
    <t>Score level</t>
  </si>
  <si>
    <t>Count</t>
  </si>
  <si>
    <t>Major Issues</t>
  </si>
  <si>
    <t>Risk/Cost of Non-Intervention vs. Benefits</t>
  </si>
  <si>
    <r>
      <rPr>
        <b/>
        <i/>
        <sz val="9"/>
        <rFont val="Arial"/>
        <family val="2"/>
      </rPr>
      <t>Justification if adjustment of the score level =</t>
    </r>
    <r>
      <rPr>
        <i/>
        <sz val="9"/>
        <rFont val="Arial"/>
        <family val="2"/>
      </rPr>
      <t xml:space="preserve"> …</t>
    </r>
  </si>
  <si>
    <t>Explanations on questions</t>
  </si>
  <si>
    <t>Question n°</t>
  </si>
  <si>
    <t>1.2.1</t>
  </si>
  <si>
    <t>1.2.2</t>
  </si>
  <si>
    <t>Cf: Guidance</t>
  </si>
  <si>
    <t>1.4.1</t>
  </si>
  <si>
    <t>Remuneration: provision of income allowing workers to support themselves and their families.</t>
  </si>
  <si>
    <t>2.1.1</t>
  </si>
  <si>
    <t>2.2.4</t>
  </si>
  <si>
    <t>2.3.1</t>
  </si>
  <si>
    <t>3.1.1</t>
  </si>
  <si>
    <t xml:space="preserve">The complexity of the food and nutrition security sector implies that, for the purpose of this social profile, it should be analysed from the point of view of changes and evolution of the systems </t>
  </si>
  <si>
    <t>4.1.1</t>
  </si>
  <si>
    <t>4.1.2</t>
  </si>
  <si>
    <t>4.2.2</t>
  </si>
  <si>
    <t>4.3.2</t>
  </si>
  <si>
    <t xml:space="preserve">As nutritional practices please consider: nutrition policies and strategies, nutrition-training, education, the setting up of coordination mechanisms between agriculture, health, education, and social protection sectors. Do such nutritional practises target pregnant and lactating women as well as children under five (with a stronger emphasis on those under the age of two)? </t>
  </si>
  <si>
    <t>4.3.3</t>
  </si>
  <si>
    <t>4.4.2</t>
  </si>
  <si>
    <t>5.1.2</t>
  </si>
  <si>
    <t>Health facilities: health center, buildings, equipments…</t>
  </si>
  <si>
    <t>Health services: availabilty of nurse, doctors…</t>
  </si>
  <si>
    <t>5.3.2</t>
  </si>
  <si>
    <t>Impact on food prices; impact on revenues =&gt; link with Economic analysis.</t>
  </si>
  <si>
    <t>Import, transport, stock, market institutions.</t>
  </si>
  <si>
    <t>Price variation can be seasonal or transitory due to any type of shock.</t>
  </si>
  <si>
    <t>Affordability: consider prices for health services or possible existance of health insurance.</t>
  </si>
  <si>
    <t>The reply to this question might be 'non applicable' if the reply to 5.3.2 is 'high'.</t>
  </si>
  <si>
    <t>CFS RAI: principle 9 on meanigful information, consultation and decision making processes.</t>
  </si>
  <si>
    <t>CFS RAI: principle 7 on respect cultural heritage and traditional knowledge and support diversity and innovation.</t>
  </si>
  <si>
    <t>How to use the Social Profile Tool</t>
  </si>
  <si>
    <t>Warning</t>
  </si>
  <si>
    <t>Country :</t>
  </si>
  <si>
    <t>Initial count</t>
  </si>
  <si>
    <t>Used in sheets:</t>
  </si>
  <si>
    <t>Ranges used for averages</t>
  </si>
  <si>
    <t>"Questionnaire"</t>
  </si>
  <si>
    <t>"Questionnaire", "Register" and "Profile"</t>
  </si>
  <si>
    <t>-</t>
  </si>
  <si>
    <t>&lt; 1.50</t>
  </si>
  <si>
    <r>
      <t xml:space="preserve">Questionnaire </t>
    </r>
    <r>
      <rPr>
        <sz val="12"/>
        <rFont val="Times New Roman"/>
        <family val="1"/>
      </rPr>
      <t>sheet</t>
    </r>
  </si>
  <si>
    <r>
      <t xml:space="preserve">Register </t>
    </r>
    <r>
      <rPr>
        <sz val="12"/>
        <rFont val="Times New Roman"/>
        <family val="1"/>
      </rPr>
      <t>sheet</t>
    </r>
  </si>
  <si>
    <r>
      <t xml:space="preserve">Profile </t>
    </r>
    <r>
      <rPr>
        <sz val="12"/>
        <rFont val="Times New Roman"/>
        <family val="1"/>
      </rPr>
      <t>sheet</t>
    </r>
  </si>
  <si>
    <r>
      <t xml:space="preserve">How does the profile calculate?           </t>
    </r>
    <r>
      <rPr>
        <b/>
        <sz val="10"/>
        <color rgb="FFC00000"/>
        <rFont val="Wingdings"/>
        <charset val="2"/>
      </rPr>
      <t>è     è     è     è     è     è     è     è</t>
    </r>
  </si>
  <si>
    <r>
      <rPr>
        <sz val="10"/>
        <rFont val="Calibri"/>
        <family val="2"/>
      </rPr>
      <t>≥</t>
    </r>
    <r>
      <rPr>
        <sz val="10"/>
        <rFont val="Arial"/>
        <family val="2"/>
      </rPr>
      <t xml:space="preserve"> 3.5</t>
    </r>
  </si>
  <si>
    <t>2.50 ≤     &lt; 3.50</t>
  </si>
  <si>
    <t>1.50 ≤     &lt; 2.50</t>
  </si>
  <si>
    <t xml:space="preserve">3.1.2 To what extent are women active in the value chain (as producers, processors, workers, traders…)? </t>
  </si>
  <si>
    <t>3.2.1 Do women have ownership of assets (other than land)?</t>
  </si>
  <si>
    <t>3.3.2 To what extent are women autonomous in the organisation of their work?</t>
  </si>
  <si>
    <t>3.2.3 Do women have access to credit?</t>
  </si>
  <si>
    <t xml:space="preserve">3.2.4 Do women have access to other services (extension services, inputs…)? </t>
  </si>
  <si>
    <t>3.3.3 Do women have control over income?</t>
  </si>
  <si>
    <t>3.3.1 To what extent do women take part in the decisions related to production?</t>
  </si>
  <si>
    <t>3.3 Decision making</t>
  </si>
  <si>
    <t>3.3.4 Do women earn independent income?</t>
  </si>
  <si>
    <t>3.2.5 Do women take part in decisions on the purchase, sale or transfer of assets?</t>
  </si>
  <si>
    <t>3.4 Leadership and empowerment</t>
  </si>
  <si>
    <t>3.5 Hardship and division of labour</t>
  </si>
  <si>
    <t>3.5.1 To what extent are the overall work loads of men and women equal (including domestic work and child care)?</t>
  </si>
  <si>
    <t>3.5.2 Are risks of women being subject to strenuous work minimised (e.g. using labour saving technologies…)?</t>
  </si>
  <si>
    <t>5.1.1 Do formal and informal farmer organisations /cooperatives participate in the value chain?</t>
  </si>
  <si>
    <t>5.1.2 How inclusive is group/cooperative membership?</t>
  </si>
  <si>
    <t xml:space="preserve">5.1.3 Do groups have representative and accountable leadership? </t>
  </si>
  <si>
    <t>Inclusiveness viewed from different perspectives: wealth strata, age, gender, ethnic or social groups…</t>
  </si>
  <si>
    <t>5.3 Social involvement</t>
  </si>
  <si>
    <t xml:space="preserve">5.3.1 Do communities participate in decisions that impact their livelihood? </t>
  </si>
  <si>
    <t>5.3.2 Are there actions to ensure respect of traditional knowledge and resources?</t>
  </si>
  <si>
    <t xml:space="preserve">5.3.3 Is there participation in voluntary communal activities for benefit of the community </t>
  </si>
  <si>
    <t>5.3.1</t>
  </si>
  <si>
    <t>6.1 Health services</t>
  </si>
  <si>
    <t>6.2 Housing</t>
  </si>
  <si>
    <t>6.3 Education and training</t>
  </si>
  <si>
    <t xml:space="preserve">6.3.3 Existence and quality of in-service vocational training provided by the investors in the value chain?
</t>
  </si>
  <si>
    <t>5.2 Information and confidence</t>
  </si>
  <si>
    <t xml:space="preserve">5.2.1 Do farmers in the value chain have access to information on agricultural practices, agricultural policies, and market prices? </t>
  </si>
  <si>
    <t>6.4 Mobility ??????</t>
  </si>
  <si>
    <t>6.1.1</t>
  </si>
  <si>
    <t>6.1.2</t>
  </si>
  <si>
    <t>6.1.3</t>
  </si>
  <si>
    <t>6.3.3</t>
  </si>
  <si>
    <t>5.1 Strength of producer organisations</t>
  </si>
  <si>
    <t>5.1.4 Are farmer groups, cooperatives and associations able to negotiate in input or output markets?</t>
  </si>
  <si>
    <t>5.2.2</t>
  </si>
  <si>
    <t>5.2.2 To what extent is the relation between value chain actors perceived as trustworthy?</t>
  </si>
  <si>
    <t>Explanations</t>
  </si>
  <si>
    <t>Verbal agreement, long lasting collaboration, contract, market, hierarchy… Looking upstream and downstream the VC.</t>
  </si>
  <si>
    <t>6.1.1 Do households have access to health facilities?</t>
  </si>
  <si>
    <t>6.1.2 Do households have access to health services?</t>
  </si>
  <si>
    <t>6.1.3  Are health services affordable for households?</t>
  </si>
  <si>
    <t>6.2.1 Do households have access to good quality accomodations?</t>
  </si>
  <si>
    <t xml:space="preserve">6.2.2 Do households have access to good quality water and sanitation facilities? </t>
  </si>
  <si>
    <t>6.3.1 Is primary education accessible to households?</t>
  </si>
  <si>
    <t>6.3.2 Are secondary and/or vocational education accessible to households?</t>
  </si>
  <si>
    <t xml:space="preserve">1.1.3 To what extent do workers benefit from enforceable and fair contracts </t>
  </si>
  <si>
    <t xml:space="preserve">1.2.1 Degree of school attendance in case  children are working (in any segment of the value chain)? </t>
  </si>
  <si>
    <t>1.2.2 Are children protected from exposure to harmful jobs?</t>
  </si>
  <si>
    <t>1.3.1 Degree of protection from accidents and health damages (in any segment of the value chain)?</t>
  </si>
  <si>
    <t>Does food availability increase? Production,export Yc transports (trucks…).</t>
  </si>
  <si>
    <t xml:space="preserve">6.4.3 </t>
  </si>
  <si>
    <r>
      <rPr>
        <b/>
        <sz val="12"/>
        <rFont val="Times New Roman"/>
        <family val="1"/>
      </rPr>
      <t>Only fill in blank cells and select score levels as they appear in the drop-down lists of the questionnaire!</t>
    </r>
    <r>
      <rPr>
        <sz val="12"/>
        <rFont val="Times New Roman"/>
        <family val="1"/>
      </rPr>
      <t xml:space="preserve">
Grey cells are automatically filled based on previous entries. Grey cells should never be changed by the user.</t>
    </r>
  </si>
  <si>
    <t>It is recommended to follow the steps below:</t>
  </si>
  <si>
    <t>Be careful in using "copy and paste" function that covers more than one cell, as you might interfere with non-visible formulas or cells used for calculations.</t>
  </si>
  <si>
    <r>
      <rPr>
        <b/>
        <sz val="12"/>
        <rFont val="Times New Roman"/>
        <family val="1"/>
      </rPr>
      <t>Fill in the name of the value chain, country and the date</t>
    </r>
    <r>
      <rPr>
        <sz val="12"/>
        <rFont val="Times New Roman"/>
        <family val="1"/>
      </rPr>
      <t xml:space="preserve"> of assessment in the first sheet "Profile". 
They will be copied automatically in the other sheets from where you cannot access these elements.</t>
    </r>
  </si>
  <si>
    <t>*</t>
  </si>
  <si>
    <t>**</t>
  </si>
  <si>
    <r>
      <rPr>
        <b/>
        <sz val="12"/>
        <rFont val="Times New Roman"/>
        <family val="1"/>
      </rPr>
      <t>Give a short justification for your choice</t>
    </r>
    <r>
      <rPr>
        <sz val="12"/>
        <rFont val="Times New Roman"/>
        <family val="1"/>
      </rPr>
      <t xml:space="preserve"> in the "Comments" column. </t>
    </r>
  </si>
  <si>
    <r>
      <rPr>
        <b/>
        <sz val="12"/>
        <rFont val="Times New Roman"/>
        <family val="1"/>
      </rPr>
      <t>Describe the major risks,</t>
    </r>
    <r>
      <rPr>
        <sz val="12"/>
        <rFont val="Times New Roman"/>
        <family val="1"/>
      </rPr>
      <t xml:space="preserve"> if any, in column E. 
All the questions assessed as "not at all" or "moderate/low" in the questionnaire need to be analyzed as possible risks or negative outcomes.
Major risks and negative consequences may be identified by the questionnaire, but could also include further issues to be pointed at. </t>
    </r>
  </si>
  <si>
    <r>
      <t xml:space="preserve">Describe the </t>
    </r>
    <r>
      <rPr>
        <b/>
        <sz val="12"/>
        <rFont val="Times New Roman"/>
        <family val="1"/>
      </rPr>
      <t>major mitigating measures</t>
    </r>
    <r>
      <rPr>
        <sz val="12"/>
        <rFont val="Times New Roman"/>
        <family val="1"/>
      </rPr>
      <t xml:space="preserve"> in column F.</t>
    </r>
  </si>
  <si>
    <r>
      <t xml:space="preserve">Insert date and </t>
    </r>
    <r>
      <rPr>
        <b/>
        <sz val="12"/>
        <rFont val="Times New Roman"/>
        <family val="1"/>
      </rPr>
      <t>copy scores of previous social profile</t>
    </r>
    <r>
      <rPr>
        <sz val="12"/>
        <rFont val="Times New Roman"/>
        <family val="1"/>
      </rPr>
      <t xml:space="preserve"> assessment (column H), if there has been one.</t>
    </r>
  </si>
  <si>
    <r>
      <rPr>
        <b/>
        <sz val="12"/>
        <rFont val="Times New Roman"/>
        <family val="1"/>
      </rPr>
      <t>Highlight progress done</t>
    </r>
    <r>
      <rPr>
        <sz val="12"/>
        <rFont val="Times New Roman"/>
        <family val="1"/>
      </rPr>
      <t xml:space="preserve"> in the implementation of specific measures since previous social profile assessment in column G "Comments".</t>
    </r>
  </si>
  <si>
    <r>
      <t xml:space="preserve">Provide an </t>
    </r>
    <r>
      <rPr>
        <b/>
        <sz val="12"/>
        <rFont val="Times New Roman"/>
        <family val="1"/>
      </rPr>
      <t>overall summary of the key issues and recommendations</t>
    </r>
    <r>
      <rPr>
        <sz val="12"/>
        <rFont val="Times New Roman"/>
        <family val="1"/>
      </rPr>
      <t xml:space="preserve">, the Risk and Cost of Non-Intervention vs. Benefits and the key mitigating measures. </t>
    </r>
  </si>
  <si>
    <r>
      <t>After some time of work and changes,</t>
    </r>
    <r>
      <rPr>
        <b/>
        <sz val="12"/>
        <color rgb="FFC00000"/>
        <rFont val="Arial"/>
        <family val="2"/>
      </rPr>
      <t xml:space="preserve">
                                  it happens that colours are not automatically selected</t>
    </r>
    <r>
      <rPr>
        <sz val="10"/>
        <color rgb="FFC00000"/>
        <rFont val="Arial"/>
        <family val="2"/>
      </rPr>
      <t>.</t>
    </r>
    <r>
      <rPr>
        <b/>
        <sz val="10"/>
        <color rgb="FFC00000"/>
        <rFont val="Arial"/>
        <family val="2"/>
      </rPr>
      <t xml:space="preserve"> 
                                                                      </t>
    </r>
    <r>
      <rPr>
        <b/>
        <sz val="12"/>
        <color rgb="FFC00000"/>
        <rFont val="Arial"/>
        <family val="2"/>
      </rPr>
      <t xml:space="preserve">=&gt; Save your work, close the file and open it again… </t>
    </r>
    <r>
      <rPr>
        <b/>
        <sz val="10"/>
        <color rgb="FFC00000"/>
        <rFont val="Arial"/>
        <family val="2"/>
      </rPr>
      <t>and it will work afresh!</t>
    </r>
  </si>
  <si>
    <r>
      <t xml:space="preserve">In the column "Source", you should include which </t>
    </r>
    <r>
      <rPr>
        <b/>
        <sz val="12"/>
        <rFont val="Times New Roman"/>
        <family val="1"/>
      </rPr>
      <t>source of information</t>
    </r>
    <r>
      <rPr>
        <sz val="12"/>
        <rFont val="Times New Roman"/>
        <family val="1"/>
      </rPr>
      <t xml:space="preserve"> you used for your judgement.</t>
    </r>
  </si>
  <si>
    <r>
      <t>The "</t>
    </r>
    <r>
      <rPr>
        <b/>
        <sz val="12"/>
        <rFont val="Times New Roman"/>
        <family val="1"/>
      </rPr>
      <t>Average</t>
    </r>
    <r>
      <rPr>
        <sz val="12"/>
        <rFont val="Times New Roman"/>
        <family val="1"/>
      </rPr>
      <t>" score level is automatically set as the unweighted average of the score levels for the underlying questions. 
In exceptional cases,</t>
    </r>
    <r>
      <rPr>
        <b/>
        <sz val="12"/>
        <rFont val="Times New Roman"/>
        <family val="1"/>
      </rPr>
      <t xml:space="preserve"> the average score level can be manually modified</t>
    </r>
    <r>
      <rPr>
        <sz val="12"/>
        <rFont val="Times New Roman"/>
        <family val="1"/>
      </rPr>
      <t xml:space="preserve"> using column I (cell next to "Final:"). This may be used in order to take into account important aspects not covered by the questions. 
In this case, </t>
    </r>
    <r>
      <rPr>
        <b/>
        <sz val="12"/>
        <rFont val="Times New Roman"/>
        <family val="1"/>
      </rPr>
      <t>a justification should be provided</t>
    </r>
    <r>
      <rPr>
        <sz val="12"/>
        <rFont val="Times New Roman"/>
        <family val="1"/>
      </rPr>
      <t xml:space="preserve"> (under "Comments", column K). 
Change can only be done to the immediate nearest score level or to n/a (otherwise the calculations will be wrong). 
</t>
    </r>
    <r>
      <rPr>
        <u/>
        <sz val="12"/>
        <rFont val="Times New Roman"/>
        <family val="1"/>
      </rPr>
      <t>NB</t>
    </r>
    <r>
      <rPr>
        <sz val="12"/>
        <rFont val="Times New Roman"/>
        <family val="1"/>
      </rPr>
      <t>: After making trials of adjustment of this cell, if you eventually want to let the initial automatic calculation work, it is necessary to reintroduce manually the reference of the corresponding D cell ("=Dx" for line x) to come back to the intial state of the spreadsheet.</t>
    </r>
  </si>
  <si>
    <t>When using this Excel tool, please take into account the following guiding principles:</t>
  </si>
  <si>
    <r>
      <rPr>
        <b/>
        <sz val="12"/>
        <rFont val="Times New Roman"/>
        <family val="1"/>
      </rPr>
      <t>Respond to each question by using the score levels</t>
    </r>
    <r>
      <rPr>
        <sz val="12"/>
        <rFont val="Times New Roman"/>
        <family val="1"/>
      </rPr>
      <t xml:space="preserve">: 
- </t>
    </r>
    <r>
      <rPr>
        <b/>
        <sz val="12"/>
        <color rgb="FF00B050"/>
        <rFont val="Times New Roman"/>
        <family val="1"/>
      </rPr>
      <t>High</t>
    </r>
    <r>
      <rPr>
        <sz val="12"/>
        <rFont val="Times New Roman"/>
        <family val="1"/>
      </rPr>
      <t xml:space="preserve">, 
- </t>
    </r>
    <r>
      <rPr>
        <b/>
        <sz val="12"/>
        <color rgb="FF92D050"/>
        <rFont val="Times New Roman"/>
        <family val="1"/>
      </rPr>
      <t>Substantial</t>
    </r>
    <r>
      <rPr>
        <sz val="12"/>
        <rFont val="Times New Roman"/>
        <family val="1"/>
      </rPr>
      <t xml:space="preserve">, 
- </t>
    </r>
    <r>
      <rPr>
        <b/>
        <sz val="12"/>
        <color rgb="FFFFC000"/>
        <rFont val="Times New Roman"/>
        <family val="1"/>
      </rPr>
      <t>Moderate/Low</t>
    </r>
    <r>
      <rPr>
        <sz val="12"/>
        <rFont val="Times New Roman"/>
        <family val="1"/>
      </rPr>
      <t xml:space="preserve">, 
- </t>
    </r>
    <r>
      <rPr>
        <b/>
        <sz val="12"/>
        <color rgb="FFFF0000"/>
        <rFont val="Times New Roman"/>
        <family val="1"/>
      </rPr>
      <t>Not at all</t>
    </r>
    <r>
      <rPr>
        <sz val="12"/>
        <rFont val="Times New Roman"/>
        <family val="1"/>
      </rPr>
      <t xml:space="preserve">,
- </t>
    </r>
    <r>
      <rPr>
        <b/>
        <sz val="12"/>
        <rFont val="Times New Roman"/>
        <family val="1"/>
      </rPr>
      <t>n/a</t>
    </r>
    <r>
      <rPr>
        <sz val="12"/>
        <rFont val="Times New Roman"/>
        <family val="1"/>
      </rPr>
      <t xml:space="preserve"> = </t>
    </r>
    <r>
      <rPr>
        <b/>
        <sz val="12"/>
        <rFont val="Times New Roman"/>
        <family val="1"/>
      </rPr>
      <t>not applicable</t>
    </r>
    <r>
      <rPr>
        <sz val="12"/>
        <rFont val="Times New Roman"/>
        <family val="1"/>
      </rPr>
      <t xml:space="preserve"> (when not relevant) or </t>
    </r>
    <r>
      <rPr>
        <b/>
        <sz val="12"/>
        <rFont val="Times New Roman"/>
        <family val="1"/>
      </rPr>
      <t>not available</t>
    </r>
    <r>
      <rPr>
        <sz val="12"/>
        <rFont val="Times New Roman"/>
        <family val="1"/>
      </rPr>
      <t xml:space="preserve"> (when not possible to reply). 
In your assessment, take into account the likelihood and the impact and consider the stage of the chain the most at risk.</t>
    </r>
  </si>
  <si>
    <t xml:space="preserve">4.1 Availability of food </t>
  </si>
  <si>
    <r>
      <t xml:space="preserve">SOCIAL PROFILE  </t>
    </r>
    <r>
      <rPr>
        <b/>
        <sz val="9"/>
        <color rgb="FFFF0000"/>
        <rFont val="Arial"/>
        <family val="2"/>
      </rPr>
      <t>(V.2017-0)</t>
    </r>
  </si>
  <si>
    <t>***</t>
  </si>
  <si>
    <r>
      <t>When writing comments and observation with text ending beyond the limits of the cell,</t>
    </r>
    <r>
      <rPr>
        <b/>
        <sz val="12"/>
        <rFont val="Times New Roman"/>
        <family val="1"/>
      </rPr>
      <t xml:space="preserve"> you can adjust the row height</t>
    </r>
    <r>
      <rPr>
        <sz val="12"/>
        <rFont val="Times New Roman"/>
        <family val="1"/>
      </rPr>
      <t xml:space="preserve"> by dragging down the bottom line of the row from the far left colum which shows the row numbers.</t>
    </r>
  </si>
  <si>
    <t>1. WORKING CONDITIONS</t>
  </si>
  <si>
    <t>2. LAND &amp; WATER RIGHTS</t>
  </si>
  <si>
    <t>3. GENDER EQUALITY</t>
  </si>
  <si>
    <t>4. FOOD AND NUTRITION SECURITY</t>
  </si>
  <si>
    <t>5. SOCIAL CAPITAL</t>
  </si>
  <si>
    <t>6. LIVING CONDITIONS</t>
  </si>
  <si>
    <t>Direction du travail fact sheet</t>
  </si>
  <si>
    <t>6.4.2 Rate of depopulation towards other countries and France?</t>
  </si>
  <si>
    <t>6.4.1  Ease and cost of access and mobility?</t>
  </si>
  <si>
    <t>https://www.state.gov/reports/2024-country-reports-on-human-rights-practices/madagascar#:~:text=The%20government%20did%20not%20effectively,of%20dismissal%20for%20professional%20misconduct. https://www.amnesty.org/en/location/africa/southern-africa/madagascar/report-madagascar/</t>
  </si>
  <si>
    <t>ILO www.normlex.ilo.org; https://cdn.walkfree.org/content/uploads/2023/09/28081852/GSI-Snapshot-Madagascar.pdf</t>
  </si>
  <si>
    <t>ILO www.normlex.ilo.org; https://www.ispf.pf/publication/1350; https://votresalaire.org/madagascar/droit-du-travail/traitement-equitable-au-travail/fikarakarana-tsy-mitanila-aminny-asa#:~:text=Non%2DDiscrimination%20In%20accordance%20with%20the%20Labour%20Code%2C,on%20above%20grounds%20is%20a%20liable%20offence.</t>
  </si>
  <si>
    <t>https://genderdata.worldbank.org/en/economies/madagascar#:~:text=56.6%25%20of%20men%20and%2047.7,health%20outcomes%2C%20and%20children's%20schooling.</t>
  </si>
  <si>
    <t xml:space="preserve">Key informant interview; https://genderdata.worldbank.org/en/indicator/sp-hou-fema-zs#data-table-section; https://genderdata.worldbank.org/en/economies/madagascar#:~:text=56.6%25%20of%20men%20and%2047.7,health%20outcomes%2C%20and%20children's%20schooling. </t>
  </si>
  <si>
    <t>https://genderdata.worldbank.org/en/economies/madagascar#:~:text=56.6%25%20of%20men%20and%2047.7,health%20outcomes%2C%20and%20children's%20sch; https://www.peaceau.org/uploads/preliminary-statement-aueom-madagascar-legislative-elections-2024-eng.pdf; https://www.mewc.org/index.php/tools/political-participation-a-election-monitroing/2024-elections-monitoring/12392-madagascar-parliamentary-elections-2024#:~:text=Independents%20represent%2050%20of%20the,inclusive%20and%20equal%20Malagasy%20society.&amp;text=Fair%20Use%20Notice:%20This%20website,authorised%20by%20the%20owner/s.</t>
  </si>
  <si>
    <t>Key informant meeting; https://www.mewc.org/index.php/tools/political-participation-a-election-monitroing/2024-elections-monitoring/12392-madagascar-parliamentary-elections-2024#:~:text=Independents%20represent%2050%20of%20the,inclusive%20and%20equal%20Malagasy%20society.&amp;text=Fair%20Use%20Notice:%20This%20website,authorised%20by%20the%20owner/s.</t>
  </si>
  <si>
    <t>https://ruaf.org/document/the-gender-agenda-for-agriculture-in-analamanga-madagascar/#:~:text=developing%20and%20professionalising%20agricultural%20activities,%E2%80%A2</t>
  </si>
  <si>
    <t xml:space="preserve"> https://www.iicba.unesco.org/en/madagascar; https://www.fert.fr/en/fekama-formation-initiale-et-insertion-professionnelle-de-jeunes-en-agriculture/#:~:text=5%20agricultural%20high%20schools%20have,member%20of%20the%20Fifata%20Group.</t>
  </si>
  <si>
    <t xml:space="preserve">https://static1.squarespace.com/static/63e128dff6c16159094155ea/t/655fc911319bf92e4e424ab7/1700776212519/RV+Report+2020+Rural+Madagascar.pdf#:~:text=Housing%20conditions%20are%20poor%2C%20especially%20in%20rural,and%2084%25%20of%20females%20age%2015+%20; https://washdata.org/data/household#!/ </t>
  </si>
  <si>
    <t>https://www.britannica.com/place/Madagascar/Local-government; https://www.worldbank.org/en/news/feature/2025/01/21/bringing-light-and-life-to-rural-health-centers-in-afe-madagascar#:~:text=%E2%80%9CThe%20lack%20of%20equipment%20for,of%20healthcare%20in%20these%20areas</t>
  </si>
  <si>
    <t>ILO: https://normlex.ilo.org/dyn/nrmlx_en/f?p=1000:11200:0::NO:11200:P11200_COUNTRY_ID:102955 https://ilostat.ilo.org/data/country-profiles/mdg/               https://cglj.org/wp-content/uploads/2017/11/Madagascar.pdf#:~:text=Last%20updated:%20September%2015%2C%202017.%20Madagascar%20has,the%20Rights%20of%20Persons%20with%20Disabilities%20(CRPD)</t>
  </si>
  <si>
    <t>https://www.worldbank.org/en/results/2023/11/19/madagascar-making-an-impact-on-land-reform-and-agriculture#:~:text=The%20Madagascar%20Agriculture%20Rural%20Growth,reduced%20from%20$600%20to%20$25.</t>
  </si>
  <si>
    <t>https://genderdata.worldbank.org/en/indicator/fx-own-totl-zs</t>
  </si>
  <si>
    <t>Direct observation</t>
  </si>
  <si>
    <t>https://tradingeconomics.com/madagascar/food-inflation</t>
  </si>
  <si>
    <t xml:space="preserve">https://www.dietquality.org/countries/mdg; </t>
  </si>
  <si>
    <t>https://www.wfp.org/countries/madagascar#:~:text=At%20least%201.7%20million%20people,risk%20of%20suffering%2C%20acute%20malnutrition.</t>
  </si>
  <si>
    <t>https://www.wildmadagascar.org/overview/loc/42-fokonolona.html</t>
  </si>
  <si>
    <t>https://www.unicef.org/innocenti/media/3081/file/UNICEF-DMS-Madagascar-Unpacking-Factors-Influencing-School-Performance-2023.pdf; https://www.iicba.unesco.org/en/madagascar#:~:text=Schooling%20does%20not%20imply%20learning,and%2034%20percent%20of%20males; https://documents1.worldbank.org/curated/en/099133307212226734/pdf/IDU0580f3bb003414049db0b36207f950f0e9fba.pdf</t>
  </si>
  <si>
    <t>https://static1.squarespace.com/static/63e128dff6c16159094155ea/t/655fc911319bf92e4e424ab7/1700776212519/RV+Report+2020+Rural+Madagascar.pdf#:~:text=Housing%20conditions%20are%20poor%2C%20especially%20in%20rural,and%2084%25%20of%20females%20age%2015+%20(2019); https://housingfinanceafrica.org/wp-content/uploads/2025/03/MADAGASCAR.pdf#:~:text=Percentage%20of%20women%20who%20own,dwellings%20completed%20annually%20(2022)%20%5Bm%5D&amp;text=Madagascar's%20legal%20framework%20does%20not,against%20women's%20right%20to%20own</t>
  </si>
  <si>
    <t xml:space="preserve"> 05 / 01/ 20 .26</t>
  </si>
  <si>
    <t>Direction du travail https://www.service-public.pf/trav/securite-et-risques-professionnels/#:~:text=soit%20par%20voie%20postale%20%C3%A0,directiondutravail%40travail.gov.pf; https://vzf.ilo.org/countries/madagascar/#:~:text=throughout%20the%20country.-,Lychee%20Supply%20Chain,falling%20objects%2C%20and%20road%20accidents.</t>
  </si>
  <si>
    <t>The Ministry of Health has identified priorities and developed joint action plans with partners, to track progress in the priority areas, ensures that partners are aware of their targets, timelines, and allocated budget to support their goals as well as identifies priority areas that are falling behind along with the communities that need to be targeted for assistance.</t>
  </si>
  <si>
    <t>Selon l’UNESCO, le taux moyen national de réussite scolaire primaire était de 62 % en 2022 pour les filles et 57 % pour les garçons, avec moins de 35 % fréquentant le secondaire. Le taux de réussite pour le secondaire inférieur était de 32,7 % pour les filles et de 29,2 % pour les garçons en 2024. Bien que de nombreuses communes disposent d’une école primaire, les écoles secondaires ne sont souvent disponibles que dans les villes et les capitales régionales. Il existe une différence entre les taux d’achèvement dans les zones urbaines (notamment à Antananarivo) et ceux des zones rurales (Menabe, une grande région productrice d’arachides, affiche le taux de complétion le plus bas de 23 % en 2021 parmi toutes les régions - Androy était de 24 %, Atsimo-Andrefana de 41 %, Boeny de 45 %). Une étude de la Banque mondiale suggère que le calendrier scolaire constitue un obstacle supplémentaire à la fin de l’éducation de base des enfants, car il contourne le calendrier scolaire européen, au lieu de correspondre aux saisons agricoles et cycloniques locales, et pousse de nombreux enfants à quitter l’école lors des récoltes, augmente l’absentéisme des enseignants et force les écoles à fermer lors des cyclones et des fortes pluies.</t>
  </si>
  <si>
    <t>Les enfants pratiquant l’agriculture sont souvent exposés à des emplois dangereux, comme porter ou pousser des charges lourdes et utiliser des outils tranchants comme des couteaux, des machettes et des houes. Selon le chef de la protection de l’enfance à l’UNICEF à Madagascar, 47 % des jeunes de 5 à 17 ans sont touchés par le travail des enfants, bien que cela inclue des secteurs autres que l’agriculture.
Le travail des enfants touche davantage les garçons que les filles et il touche surtout les enfants issus de familles pauvres.</t>
  </si>
  <si>
    <t>Le Code du travail malagache inclut des recommandations sur la santé et la sécurité au travail, mais celles-ci ne prennent pas en compte les risques dans le secteur informel, dans l’agriculture et la chaîne de valeur de l’arachide. Travail sur la chaîne de valeur des litchis identifié : les travailleurs en emploi informel ne bénéficient pas de la protection sociale ou de la surveillance sanitaire. Les risques courants pour la sécurité et la santé au travail (SSO) dans ce secteur incluent les chutes de hauteur, les piqûres d’insectes, le port de charges lourdes, l’exposition au soufre, la chute d’objets et les accidents de la route (OIT).</t>
  </si>
  <si>
    <t>La rémunération pour le travail agricole est basée sur des tâches qui sont rémunérées conformément aux normes locales. À Atsimo-Andrefana, deux producteurs d’arachides ont déclaré qu’un travail était payé à 2 000 MGA, équivalent à une demi-journée. Une productrice de coton a indiqué que le tarif journalier était de 4 000 MGA par jour (0,74 €/jour) pour les hommes et les femmes.</t>
  </si>
  <si>
    <t>Les jeunes, qui représentent 66 % de la population totale et constituent une grande partie de la main-d’œuvre, sont employés dans tous les aspects de la chaîne de valeur, dans la production agricole, à assurer le transport des cultures des champs à la résidence à l’aide de charrette, et sont impliqués en tant que cochereurs, producteurs de pétrole, chauffeurs routiers, sous-collecteurs, collectionneurs et détaillants sur les marchés. Dans la région de Menabe, en dehors de la capitale Morondava, des jeunes venus des villages voisins ont été recrutés pour décharger les camions à l’usine de séchage et de décroquement d’arachides. À Tulear, les acteurs ont déclaré que la chaîne de valeur était très importante et créait un emploi considérable.</t>
  </si>
  <si>
    <t>Interviews avec des informateurs clés</t>
  </si>
  <si>
    <t>Interviews avec des informateurs clés; https://www.unicef.org/executiveboard/media/19601/file/2024-PL3-Madagascar-CPD-EN-ODS.pdf</t>
  </si>
  <si>
    <t>Les VGGT (Directives volontaires sur la gouvernance responsable de la tenure foncière, des pêches et des forêts) ont été adoptées en 2015 et ont été utilisées pour soutenir la réforme de la tenure foncière (période 2015 – 2030). Les principes de la VGGT ont inspiré la mise en œuvre d’un programme de certification foncière qui formalise les droits fonciers et assure la certification des droits fonciers pour environ 300 800 ménages (environ 1,5 million d’individus) jusqu’en 2024. Une préoccupation majeure dans la chaîne de valeur de l’arachide est l’incursion illégale dans des zones protégées par des réfugiés climatiques de la région d’Androy, apparemment aidés par des commerçants locaux notables. La déforestation dans la zone protégée Menabe Antimena, un écosystème unique de forêt sèche de 2 100 kilomètres carrés, a considérablement augmenté au cours de la dernière décennie pour la culture de maïs et d’arachides comme culture commerciale.</t>
  </si>
  <si>
    <t>Interviews avec des informateurs clés; https://www.elibrary.imf.org/view/journals/018/2025/028/018.2025.issue-028-en.xml?cid=565720-com-dsp-crossref</t>
  </si>
  <si>
    <t>Interviews avec des informateurs clés; https://pmc.ncbi.nlm.nih.gov/articles/PMC6628460/</t>
  </si>
  <si>
    <t>Interviews avec des informateurs clés; https://rightsandresources.org/blog/madagascar-land-reform-process/; https://www.wildmadagascar.org/overview/loc/42-fokonolona.html</t>
  </si>
  <si>
    <t>Interviews avec des informateurs clés; https://www.gov.uk/guidance/living-in-madagascar#healthcare-in-madagascar</t>
  </si>
  <si>
    <t>https://www.worldbank.org/en/news/feature/2025/01/21/bringing-light-and-life-to-rural-health-centers-in-afe-madagascar#:~:text=%E2%80%9CThe%20lack%20of%20equipment%20for,of%20healthcare%20in%20these%20areas; https://madagascar.co.uk/blog/2024/10/healthcare-access-and-poverty-reduction-seeds-impact-rural-madagascar; https://borgenproject.org/health-care-in-madagascar/; Interviews avec des informateurs clés</t>
  </si>
  <si>
    <t>Les investissements des entreprises dans la chaîne de valeur de l’arachide sont minimes, s’appuyant sur les propriétaires locaux pour fournir les terrains nécessaires à l’écaillement et à l’entreposage.</t>
  </si>
  <si>
    <t>Il semble qu’il y ait très peu de divulgation des plans par les acheteurs chinois d’arachides. Un informateur clé, parlant du secteur du coton à Atsimo-Andrefana, a expliqué qu’avant 2011 le secteur était très structuré mais que l’opportunisme le détruit désormais. Les informateurs clés ont parlé de personnes « invisibles » autorisées à s’installer dans le traitement, mais qu’il n’y a aucune contrainte ni obligation d’investir dans la chaîne de valeur ni de payer des impôts, et ils n’ont ni bureaux ni sièges. Le problème de la tromperie des producteurs a également été évoqué : des acheteurs commençant par un prix élevé puis le baissant une fois la production augmentée.</t>
  </si>
  <si>
    <t>Un très faible niveau d’accessibilité ou de disponibilité des informations a été signalé. Malgré l’importance des exportations d’arachides pour les économies régionales, il y a très peu de contrôle sur la chaîne de valeur comparé à la vanille et aux litchis.</t>
  </si>
  <si>
    <t>Un très faible niveau de participation et de consultation a été signalé.</t>
  </si>
  <si>
    <t>Le projet Madagascar Agriculture, Croissance Rurale et Gestion des Terres (CASEF) a soutenu 25 % des municipalités malgaches pour délivrer des certificats fonciers d’ici juin 2024. Environ 300 000 ménages ont pu obtenir des terres grâce au projet, soit environ 1,5 million d’individus. Beaucoup de personnes, en particulier les veuves, ont peu de chances d’hériter des terres de leur mari et doivent louer des terres pour cultiver des récoltes.</t>
  </si>
  <si>
    <t>Les femmes participent à la plupart des segments de la chaîne de valeur, bien qu’il existe certaines tâches et activités, en raison d’une plus grande force requise – porter des sacs d’arachides, broyer artisanal – ou coutumes/pratiques – conduite de camions, collection, qui restent généralement le domaine des hommes. Cependant, à Tulear, l’association des collectionneurs était composée à 60 % de femmes et il était affirmé que la collecte impliquait de la confiance et le développement de relations personnelles, des activités particulièrement adaptées aux femmes. À Menabe, la majorité des collecteurs étaient réputés être des hommes.</t>
  </si>
  <si>
    <t>Les femmes sont très actives dans la chaîne de valeur de l’arachide en tant que productrices, sous-collectionneuses et collectionneuses, ainsi que comme détaillantes et transformatrices (cacahuètes salées, douceurs et Koba Ravina, une spécialité nationale fabriquée à partir d’arachides, de farine de riz et de sucre). Ils sont également impliqués en tant que comptables pour les entreprises de commerce d’arachides de leurs maris et rémunérées pour enregistrer les poids et la teneur en humidité des livraisons d’arachides aux usines de séchage et d’épluchement.</t>
  </si>
  <si>
    <t>Les femmes peuvent posséder des biens. En 2024, 11,3 % des femmes possédaient une maison seule, 20,8 % possédaient une maison en copropriété et 15,6 % possédaient une maison à la fois seule et en copropriété.</t>
  </si>
  <si>
    <t>Un système dual de droits de propriété englobe la propriété privée et la tenure foncière traditionnelle. Les droits de propriété au sein des familles sont régis par la Loi de 2007 sur le mariage et les régimes matrimoniaux, qui garantit l’égalité des droits aux deux conjoints et que les droits des femmes à la propriété sont explicitement définis et équivalents aux droits légaux des hommes. Les femmes n’ont pas les mêmes droits fonciers que les hommes dans l’héritage coutumier des terres. Selon les règles coutumières d’héritage dans les principales régions de culture de l’arachide, les femmes sont septièmes dans l’ordre d’attribution des possessions de leur mari (après ses enfants, parents, sub-enfants et autres membres de la famille).</t>
  </si>
  <si>
    <t>L’accès au crédit pour tous les agriculteurs de Madagascar est un défi important en raison de la présence limitée d’institutions financières formelles dans les zones rurales et des conditions de prêt mal adaptées à la saisonnalité agricole. Il est particulièrement difficile pour les femmes d’accéder à des prêts car elles disposent de peu ou pas de capital et doivent peut-être demander la permission de leurs mariés pour demander une microfinance. La banque Baobab de Menabe a tenté de négocier des prêts aux agriculteurs masculins et féminins pour la production d’arachides. Les femmes impliquées dans la chaîne de valeur en tant que sous-collectrices peuvent obtenir de l’argent d’un collectionneur pour acheter des arachides en leur nom. L’argent provenant de la vente d’autres cultures peut être utilisé pour financer des intrants tels que les semences. En 2024, 20,3 % des femmes et 29 % des hommes avaient un compte auprès d’une institution financière ou d’un fournisseur de services de monnaie mobile.</t>
  </si>
  <si>
    <t>Dans la région d'Atsimo-Andrefana, plusieurs associations de producteurs d’arachides ont été identifiées, fournissant formation et conseils en extension à des groupes de producteurs. Les groupes facilitent la diffusion d’informations et de conseils, ainsi qu’un accès possible aux intrants, y compris les semences. Les femmes sont particulièrement susceptibles d’être membres d’une association de producteurs.</t>
  </si>
  <si>
    <t>Les décisions de production ménagère des petits exploitants étaient dites être prises ensemble. Lorsque les ménages sont dirigés par des femmes, les femmes prennent leurs propres décisions sur ce qu’elles veulent cultiver et combien (en 2021, 24,7 % de tous les ménages étaient dirigés par des femmes). En 2021, 87,5 % des femmes mariées âgées de 15 à 49 ans ont déclaré qu’elles avaient seules ou conjointement le dernier mot pour effectuer les achats importants des ménages (Banque mondiale).</t>
  </si>
  <si>
    <t>Dans la production d’arachides, il existe des activités spécifiques dont hommes et femmes sont responsables, par exemple les hommes sont responsables de la préparation de la mise en place tandis que les femmes plantent les graines. Cependant, lorsque les femmes sont chefs de famille, elles entreprennent toutes les activités ou paient quelqu’un pour les faire, comme transporter les plants d’arachides déterrés de la parcelle à la maison à la main ou à bœufs, qui peut être à une distance significative.</t>
  </si>
  <si>
    <t>Les femmes productrices d’arachides affirmaient avoir le contrôle sur les revenus qu’elles généraient seules ou avec leurs maris.</t>
  </si>
  <si>
    <t>Les femmes tirent des revenus indépendants de la vente de cultures, de la sous-collecte, de la collecte et du commerce de détail d’arachides, ainsi que d’activités telles que l’épluchage manuel des arachides.</t>
  </si>
  <si>
    <t>Les femmes peuvent être consultées.</t>
  </si>
  <si>
    <t>Oui, les femmes sont membres d’organisations d’agriculteurs.</t>
  </si>
  <si>
    <t>Les femmes occupent des postes de direction au niveau de l’association mais sont moins représentées dans les organisations de haut niveau.</t>
  </si>
  <si>
    <t>Les femmes sont sous-représentées dans les assemblées régionales et nationales. Lors des élections de 2024, seulement 17 % des 473 candidats étaient des femmes et seulement 16 % des sièges au parlement national sont détenus par des femmes. Les barrières sociales, culturelles et économiques, les inégalités systémiques et les lois mal appliquées expliqueraient en partie la faible représentation des femmes dans la vie politique à Madagascar.</t>
  </si>
  <si>
    <t>Oui, les femmes parlent en public mais peuvent se soumettre à un leader masculin lors d’une réunion publique, tout en exprimant leurs opinions lors de réunions réservées aux femmes. Les militantes et organisations malgaches jouent un rôle clé dans la promotion des droits des femmes et de la participation politique féminine aux niveaux national et local à travers leur travail de plaidoyer et des initiatives telles que la formation des aspirantes femmes leaders politiques.</t>
  </si>
  <si>
    <t>Les femmes rurales manquent de temps, jonglant entre tâches domestiques et agricoles et manquent d’accès aux outils et machines qui gagnent du temps. À Menabe, les femmes célibataires (souvent veuves) productrices d’arachides ne pouvaient louer que des terres à grande distance de leur domicile.</t>
  </si>
  <si>
    <t>La production d’arachides se fait à la main. Auparavant, la traction animale était répandue, mais beaucoup d’animaux ont été volés (Menabe). Il y a très peu de tracteurs ou de cultivateurs mécanisés. Certaines femmes productrices d’arachides ont déclaré avoir accès à des coquilleuses mécanisées, mais d’autres ont rapporté devoir les décortiquer à la main.</t>
  </si>
  <si>
    <t>La vente d’arachides génère des revenus qui peuvent être utilisés pour les achats alimentaires du foyer. Cependant, les rendements peuvent varier considérablement d’une saison à l’autre et le prix de vente fluctue également. En 2025, les producteurs se sont plaints que le prix du marché, déterminé par le marché d’exportation, était nettement inférieur à celui de l’année précédente.</t>
  </si>
  <si>
    <t>Les arachides sont principalement cultivées pour la vente, afin de générer des revenus financiers pour l’achat de nourriture et de besoins ménagers ou pour investir dans une entreprise. Les arachides sont consommées en collations, beurre de cacahuète et comme ingrédients pour les repas. Les sécheresses et les inondations peuvent gravement affecter les rendements et la disponibilité. Des catastrophes naturelles répétées ont dévasté les moyens de subsistance des agriculteurs de subsistance, qui représentent une part importante de la population. La faim généralisée qui en résulte a entraîné une malnutrition sévère chez les enfants, avec une croissance retardée, un développement cognitif altéré et des problèmes de santé à vie. Le Malgache consomme en moyenne 153,5 kilogrammes de riz par an, ce qui représente plus de la moitié de leur apport calorique total quotidien (FAOSTAT, 2022). La croissance rapide de la population depuis les années 1960 a intensifié la dépendance de Madagascar aux importations de riz pour répondre à la demande. L’arrivée de riz importé moins cher et non taxable a entraîné une baisse de la production locale, car les agriculteurs ont du mal à rivaliser avec les prix plus bas du riz importé.</t>
  </si>
  <si>
    <t>Lors d’une saison où les conditions météorologiques sont idéales, d’importantes quantités seront disponibles sur les marchés locaux pour la vente, principalement vers les marchés d’exportation. Les producteurs malgaches d’arachides cultivent une variété de cultures, notamment des haricots et du riz, qui sont consommés.</t>
  </si>
  <si>
    <t>Les régimes malgaches reposent fortement sur le riz et de grandes quantités sont consommées quotidiennement, accompagnées de petites quantités d’accompagnements de légumes et parfois de poisson ou de viande. La consommation d’arachides ajoute des protéines à l’alimentation. La présence possible d’aflatoxine dans les noix et l’huile, qui a été impliquée dans le retard de croissance infantile et est un cancérogène, est préoccupante car il y a peu de tests sur les produits et le seul moyen de l’éliminer est de s’assurer que les noix sont suffisamment sèches et stockées dans des conditions sèches.</t>
  </si>
  <si>
    <t>Il existe de nombreuses initiatives pour soutenir une production et une consommation alimentaires plus variées, et les arachides sont utilisées en cuisine, moulues ou sous forme d’huile, afin d’augmenter la consommation de protéines.</t>
  </si>
  <si>
    <t>En 2023, le score global de diversité alimentaire des ménages, qui mesure le nombre de groupes alimentaires consommés sur une période de référence donnée, était de 4,4 (sur 12).</t>
  </si>
  <si>
    <t>Le risque de pénuries alimentaires périodiques est élevé, dû à de multiples facteurs, notamment une diversification limitée des cultures, la dépendance à l’agriculture pluviale, les faibles revenus et la hausse des prix alimentaires. Les chocs climatiques s’intensifient et s’intensifient, causant des dommages à l’agriculture, aux infrastructures, à la biodiversité et aux ressources côtières, et entraînant la perte de vies humaines et de moyens de subsistance. Selon le Programme alimentaire mondial, la malnutrition chronique touche près de 40 % des enfants.</t>
  </si>
  <si>
    <t>Les organisations et coopératives d’agriculteurs sont répandues à Madagascar, y compris pour la production d’arachides.</t>
  </si>
  <si>
    <t>L’adhésion est ouverte à tous les agriculteurs ; On estime que 60 % des agriculteurs sont membres, les femmes étant majoritaires.</t>
  </si>
  <si>
    <t>Le leadership est plus souvent masculin, plus instruit et connecté. Il existe des groupes réservés aux femmes avec des leaders féminins.</t>
  </si>
  <si>
    <t>Les groupes sont souvent alignés sur des initiatives visant à fournir des semences améliorées, mais c’est plutôt : y serait financé par des donateurs plutôt que le prix plus bas négocié avec les vendeurs de semences. Les membres du groupe des arachides ont déclaré que, bien qu’ils puissent entreposer leurs cultures ensemble, ils vendaient leurs produits séparément.</t>
  </si>
  <si>
    <t>Les agriculteurs en groupes reçoivent probablement ce type d’informations.</t>
  </si>
  <si>
    <t>Une méfiance considérable fut évoquée entre agriculteurs et commerçants, en particulier entre les commerçants achetant au nom d’acheteurs chinois.</t>
  </si>
  <si>
    <t xml:space="preserve">Il existe une tradition d’autonomie villageoise limitée associée à l’institution du fokonolona - un conseil villageois. Il ne s’agit pas d’un élément culturel « pan-malgache », mais d’une institution qui a évolué parmi les Merina et qui a été implantée dans d’autres régions du pays par les Merina et les Français.
</t>
  </si>
  <si>
    <t>La fokonolona, une institution malgache composée de la population d’un territoire enraciné dans les lignées familiales locales et les règles qui régissent la terre, l’eau et les ressources naturelles dans un réseau d’obligations mutuelles. Ses réunions rassemblent des personnes de différents groupes de parenté au sein d’un village, et l’usage courant de termes fictifs de parenté favorise la création d’une atmosphère d’amitié et de solidarité (fihavanana), nécessaire à une coopération sincère. La fokonolona, cependant, n’a traditionnellement pas été une institution démocratique car ses réunions ont tendance à être dominées par des notables locaux influents. Le pouvoir politique local reste une fonction de l’âge et de l’appartenance à un groupe de parenté de haut statut.</t>
  </si>
  <si>
    <t>La fokonolona apporte son aide aux membres dans le besoin (comme lors de la naissance d’un enfant ou lors de la tenue d’un enterrement), entreprend des projets villageois (comme la réparation de rizières ou de bâtiments après un cyclone), coordonne l’entraide lors des plantations et des récoltes.</t>
  </si>
  <si>
    <t>Il est difficile pour de nombreux citoyens malgaches d’accéder aux établissements de santé, en particulier dans les zones isolées. L’assurance santé et d’autres prestations sociales sont principalement accessibles aux travailleurs et professionnels mieux rémunérés parmi la population ayant un emploi officiel. L’accès aux soins de santé reste fortement restreint : en 2024, il y avait 0,14 lit d’hôpital et 0,20 médecin pour 1 000 patients, et près de la moitié de la population vivait à plus de 5 km des centres de santé locaux. Le niveau communautaire est la base du système. Il existe un réseau d’agents communautaires soutenu par des comités de santé, des établissements de santé, ainsi que par des organisations non gouvernementales (ONG) et des églises internationales et nationales.</t>
  </si>
  <si>
    <t>Le système de santé comprend des hôpitaux principaux et secondaires, des dispensaires et des centres de santé ruraux. Le personnel médical comprend des médecins ainsi que des pharmaciens, dentistes, sages-femmes, assistants sociaux, infirmières invitées et assistants de santé. Les centres de santé, situés en zones rurales et desservant en moyenne 10 000 habitants, proposent une gamme de services essentiels, en particulier pour les enfants et les mères. Le manque d’équipements dans les centres de santé ruraux, l’accès à l’électricité et la rétention du personnel sont des défis majeurs. Les organisations de l’ONU, les ONG et les organisations religieuses soutiennent la prestation des soins de santé ainsi que des modèles alternatifs, tels que le soutien des sages-femmes à établir des pratiques payantes dans des lieux isolés.</t>
  </si>
  <si>
    <t>Les soins de santé de base sont officiellement « gratuits » mais nécessitent souvent encore des paiements à leur charge ou l’apport de leurs propres fournitures. Les hôpitaux publics manquent généralement de matériaux consommables et un patient programmé pour une intervention chirurgicale devra acheter personnellement des articles comme des fils de suture, des sacs de sérum physiologique, etc. Les patients doivent être accompagnés en permanence à l’hôpital et soutenir en fournissant les repas, la literie et l’eau potable.</t>
  </si>
  <si>
    <t xml:space="preserve">La définition d’un logement décent comprend des pièces séparées pour enfants et adultes (trois chambres séparées pour un logement moyen (selon la taille de l’habitat ; une pièce minimale de 9 m2 ; un toit sûr et étanche ; la ventilation de l’air ; un sol en ciment ; des murs en béton (le bois peut être mélangé au ciment ou à l’argile) ; une zone de cuisson séparée ; un extérieur en porcelaine ou latrine améliorée du bâtiment principal ; accès à l’eau et à l’électricité,  et les coûts de maintenance/réparation. La typologie typique du logement est informelle et basée sur la location, car 92,5 % de la main-d’œuvre est employée de façon informelle. Le logement à Madagascar est classé en trois principaux types : permanent, semi-permanent et traditionnel. Les maisons permanentes sont construites en ciment ou en brique et comportent une fondation. Les constructions semi-permanentes comportent des dalles de ciment et des montants en béton, avec des murs réalisés à partir de matériaux locaux tels que des planches, du bambou tressé et des feuilles de ravinala. Les habitations traditionnelles reposent uniquement sur des matériaux locaux comme les planches de bois et le bambou, ce qui les rend vulnérables aux intempéries extrêmes. 60,5 % des logements ruraux sont considérés comme de mauvaise qualité. </t>
  </si>
  <si>
    <t>Les conditions de logement sont mauvaises, en particulier dans les zones rurales où seulement 35 % de la population avait accès à de l’eau potable et 9 % avaient accès à des toilettes hygéniques en 2020. La défécation en plein air est l’un des principaux problèmes d’assainissement et d’hygiène. Le taux de défécation en plein air en 2024 était estimé à 27 %, soit plus de 10 millions de personnes, dont 9 millions dans les zones rurales, bien que ce taux diminue. Cela impacte la santé - 13,8 % des enfants de moins de 5 ans souffrent de diarrhée, 5,9 % d’infections respiratoires aiguës, 16,8 % de fièvre et 42 % des enfants sont en retard de croissance résultant d’une malnutrition chronique ou récurrente.</t>
  </si>
  <si>
    <t>L’enseignement primaire est gratuit et obligatoire entre 6 et 15 ans (couvrant l’enseignement primaire de six à onze ans et l’enseignement secondaire inférieur de 12 à 15 ans), mais les écoles restent sous-développées et peu soutenues, en particulier dans les zones rurales reculées. L’enseignement primaire à Madagascar en 2022 était inférieur de 77,8 % à la moyenne de la région d’Afrique subsaharienne et de 30,5 % inférieur à la moyenne des pays à faible revenu (Banque mondiale). Malgré l’augmentation du nombre d’enseignants, le ratio élèves-enseignants dans les écoles primaires publiques reste élevé, avec une moyenne d’environ 40 élèves par enseignant. La pauvreté d’apprentissage – la proportion d’enfants incapables de lire et de comprendre un texte adapté à son âge avant l’âge de 10 ans – est estimée par l’UNESCO à 94 % en 2022. La répartition des filles et des garçons est équilibrée. La grande majorité des élèves vivent près de leur école primaire (90 % résident dans un rayon de 2 km). Seuls 13 % des enfants des familles les plus pauvres obtiennent leur diplôme d’école primaire, contre 85 % des familles les plus riches (UNESCO Inégalités en éducation).</t>
  </si>
  <si>
    <t>Les taux bruts d’inscription dans l’enseignement secondaire étaient de 36 % des filles et 34 % des garçons en 2022. Les taux de réussite pour l’enseignement secondaire inférieur sont également faibles, avec seulement 34,6 % des filles et 30,9 % des garçons qui terminent. Un système d’écoles secondaires professionnelles existe avec le système de collège professionnel (collège professionnel) équivalent au niveau secondaire junior. Cinq lycées agricoles ont été progressivement créés offrant un programme d’éducation résidentielle de 3 ans, dont 50 % reposent sur la pratique d’une petite ferme d’apprentissage attenante à l’école. Le travail des enfants est répandu en agriculture, en particulier dans les exploitations familiales et pendant les saisons des récoltes, en raison de la pauvreté et du manque d’infrastructures éducatives malgré son interdiction par le Code du travail.</t>
  </si>
  <si>
    <t>La migration nette pour 2024 était de -1 795, soit une augmentation de 20,71 par rapport au chiffre de -1 487 pour 2023.</t>
  </si>
  <si>
    <t>La plupart des emplois dans le VC de l’arachide sont informels et les personnes sont rémunérées selon les normes locales et ne bénéficient pas des droits du travail ni de la protection sociale.</t>
  </si>
  <si>
    <t>La prévalence du travail des enfants est liée à la pauvreté des ménages ; seulement 13 % des enfants des familles les plus pauvres obtiennent leur diplôme d’études primaires.</t>
  </si>
  <si>
    <t>Les producteurs d’arachides sont exposés à transporter de lourds sacs, des pulvérisations de pesticides, des coupures d’équipement.</t>
  </si>
  <si>
    <t>Une plus grande formalisation et contrôle du VC par le ministère du Travail, de l’Emploi et des Lois sociales</t>
  </si>
  <si>
    <t>Des campagnes du ministère du Travail, de l’Emploi et des Lois sociales pour décourager les enfants travaillant de moins de 14 ans. Des salaires plus élevés pour les adultes réduiraient le besoin des enfants de travailler.</t>
  </si>
  <si>
    <t>Le projet Vision Zero Fund a accru la sensibilisation à l’OSH dans la chaîne d’approvisionnement des litchis en se concentrant sur le renforcement des capacités nationales de l’inspection du travail. Les ONG et les organisations agricoles de haut niveau pourraient inclure des formations sur les moyens de réduire l’exposition aux accidents.</t>
  </si>
  <si>
    <t>La destruction forestière et l’impact des pratiques agricoles migrantes dans les zones protégées de la région de Menabe Antimena ont causé de nombreux problèmes ces dernières années pour les résidents actuels, dont beaucoup sont producteurs d’arachides, ainsi que des tensions au sein des communautés d’accueil, notamment sur l’approvisionnement en eau et l’accès aux services.</t>
  </si>
  <si>
    <t>Une étude de l’OIM en 2024 recommandait de donner la priorité à l’accès aux services, notamment l’eau, les moyens de subsistance, les services de santé et l’éducation ; renforcer la cohésion sociale en veillant à la mise en œuvre de la « Stratégie régionale de gestion des migrations 2022-2026 - Région de Menabe » ; renforcer la sécurité là où la perception d’insécurité reste élevée. En améliorant la sécurité, notamment dans le district de Belo sur-Tsiribihina, les incidents de vol, y compris de bétail, pourraient être réduits et la cohésion sociale renforcée.</t>
  </si>
  <si>
    <t>Les producteurs d’arachides ne se tenaient pas suffisamment informés ou consultés sur les questions concernant leur bien-être et leurs moyens de subsistance.</t>
  </si>
  <si>
    <t>Les organisations de producteurs de premier plan pourraient être utilisées comme partenaires par les autorités gouvernementales pour transmettre des informations aux organisations membres pour discussion.</t>
  </si>
  <si>
    <t>Des projets planifiés, tels que les projets de construction de routes et les changements informels, via l’immigration, vers l’utilisation des terres peuvent affecter les moyens de subsistance des populations rurales.</t>
  </si>
  <si>
    <t>Consultation et discussions appropriées avec les communautés concernées.</t>
  </si>
  <si>
    <t>Des chambres de commerce, des organisations d’agriculteurs de haut niveau, des ONG et des ministères concernés ont été envisagés de moyens de soutenir les actrices, en particulier les commerçantes.</t>
  </si>
  <si>
    <t>L’inégalité des sexes reste un enjeu majeur pour les femmes, qui subissent encore des biais basés sur le genre et l’exclusion dans l’accès aux ressources et aux services.</t>
  </si>
  <si>
    <t>Investissement dans le capital humain et l’accès aux ressources pour permettre aux femmes de participer activement et de manière productive aux opportunités économiques.</t>
  </si>
  <si>
    <t>L’inégalité des sexes reste un enjeu majeur pour les femmes, qui subissent encore des biais et des exclusions basées sur le genre dans la prise de décision.</t>
  </si>
  <si>
    <t>L’inégalité des sexes reste un enjeu clé pour les femmes, qui subissent encore des biais et des exclusions basées sur le genre dans les opportunités de leadership et d’autonomisation.</t>
  </si>
  <si>
    <t>Des difficultés considérables et un travail pénible sont subis par les hommes comme par les femmes, bien que cela soit particulièrement difficile pour les foyers dirigés par des femmes.</t>
  </si>
  <si>
    <t>L’augmentation des prix du riz signifie que les gens doivent faire plus de travaux agricoles rémunérés ou vendre plus de cultures commerciales pour l’acheter. Le paiement d’une journée complète de travail aux champs permet d’acheter 2 à 4 « kapok » de riz ainsi que quelques poissons ou légumes-feuilles qui serviraient à une ou deux personnes pour leurs besoins quotidiens.</t>
  </si>
  <si>
    <t>Le gouvernement vise à atteindre l’autosuffisance dans la production de riz d’ici 2027. La stratégie nationale de développement de la culture du riz (SNDRIII), adoptée en 2023, vise à atteindre une production annuelle de riz de 11 millions de tonnes d’ici 2030.</t>
  </si>
  <si>
    <t>Le gouvernement milite pour encourager les femmes leaders et normaliser la nécessité d’une implication égale des femmes.</t>
  </si>
  <si>
    <t>Des services mécanisés de préparation des terrains sous contrat sont fournis dans chaque fokotany. Des désherbeuses robotiques alimentées à l’énergie solaire sont en cours de développement au Royaume-Uni.</t>
  </si>
  <si>
    <t>Bien que les arachides soient considérées comme une culture traditionnelle, elles sont principalement cultivées comme culture commerciale.</t>
  </si>
  <si>
    <t>La baisse des prix des arachides pourrait augmenter la consommation des logements.</t>
  </si>
  <si>
    <t>Les arachides ne sont pas consommées autant que dans d’autres pays producteurs en tant qu’ingrédient alimentaire clé. Les préoccupations concernant une possible contamination des arachides, de l’huile d’arachide et du pâtissage à huile représentent un risque majeur pour une consommation et une utilisation accrues.</t>
  </si>
  <si>
    <t>Les arachides pourraient être promues comme un aliment de sevrage et un moyen d’ajouter protéines, vitamines et graisses à l’alimentation. Les kits de test d’aphlatoxines sont désormais plus accessibles et pourraient être utilisés par les autorités du marché pour rassurer les consommateurs.</t>
  </si>
  <si>
    <t>Les organisations de producteurs sont actives et soutenantes mais sous-financées.</t>
  </si>
  <si>
    <t>Un financement est nécessaire pour développer ces organisations.</t>
  </si>
  <si>
    <t>Les informations fournies par les organisations agricoles sont très appréciées par les agriculteurs.</t>
  </si>
  <si>
    <t>Les activités proposées sont très appréciées par les agriculteurs, en particulier les femmes.</t>
  </si>
  <si>
    <t>Les services de santé fournis par le gouvernement sont sous-financés dans les zones rurales et dépendent des organisations ecclésiastiques, internationales et ONG pour les compléter.</t>
  </si>
  <si>
    <t>Le parc immobilier dans les zones rurales est largement insuffisant ; Le logement formel est inabordable pour la plupart des citoyens et près des deux tiers des logements ruraux sont jugés de mauvaise qualité et vulnérables aux inondations et aux cyclones. L’accès à l’électricité est faible tandis que l’accès à l’eau potable et à l’assainissement augmente.</t>
  </si>
  <si>
    <t>Le gouvernement, en partenariat avec ONU-Habitat, la Banque mondiale et des ONG, a lancé certains programmes de logement abordable.</t>
  </si>
  <si>
    <t>L’offre d’éducation est insuffisante et le taux d’alphabétisation reste faible, en particulier pour les enfants des familles les plus pauvres, ce qui affecte les opportunités d’emploi.</t>
  </si>
  <si>
    <t>La qualité de l’éducation doit être améliorée ainsi que l’alignement du calendrier scolaire sur les saisons agricoles et cycloniques malgaches.</t>
  </si>
  <si>
    <t>Manque de quantités suffisantes de variétés de graines améliorées pouvant considérablement augmenter les rendements ; l’absence de barrages et d’infrastructures d’irrigation permettant plus d’une saison de croissance dans les régions à nombreuses rivières ; dépendance au travail manuel pour la production agricole en l’absence de bœufs ou de mécanisation ; des associations d’agriculteurs sous-financées et une coopération limitée entre elles ainsi que d’autres parties prenantes via une plateforme d’innovation pour partager l’information et agir comme la voix des producteurs auprès des agences gouvernementales ; un grand pays acheteur qui fixe le prix d’achat bien plus bas que dans les pays producteurs voisins ; consommation limitée d’arachides dans les régimes alimentaires ; Une possible prévalence de l’aflatoxine dans les noix, l’huile et le gâteau de graines, ainsi que le manque d’installations de dépistage et de disponibilité de kits de test.</t>
  </si>
  <si>
    <t>La production d’arachides pourrait diminuer, comme cela a été le cas pour d’autres cultures négligées comme le coton. Cela aurait un impact non seulement sur les producteurs d’arachides, mais aussi sur les producteurs d’huile et l’élevage, car le gâteau d’huile, ingrédient alimentaire préféré, devient moins disponible. L’intérêt pour l’utilisation et la consommation d’huile d’arachide est croissant ; C’est une graisse non saturée, contrairement à l’huile de palme, qui ne se solidifie pas à des températures plus fraîches ou en altitude élevée, et présente un point de flash/fumée élevé, ce qui en fait un point idéal pour la friture – les snacks frits sont une part importante de l’alimentation urbaine. Il y a eu plusieurs initiatives pour promouvoir et soutenir le secteur de l’arachide, mais celles-ci ont été partielles et n’ont pas traité adéquatement les questions du marché et ont impliqué un nombre suffisamment important d’acteurs, y compris des associations d’agriculteurs, des commerçants, des transformateurs, des producteurs d’huile, des producteurs d’aliments pour animaux fourrageuses, des exportateurs, des recherches, des organisations internationales, des ministères gouvernementaux. L’évaluation et le contrôle de l’aflatoxine ne doivent pas être négligés, car le principal pays importateur devient de plus en plus exigeant en termes de qualité des produits, y compris les tests de l’aflatoxine.</t>
  </si>
  <si>
    <t>Malgré les problèmes majeurs identifiés, la chaîne de valeur de l’arachide reste dynamique et répond aux opportunités. Bien que les prix soient largement déterminés par l’acheteur principal, la chaîne de valeur est inclusive – il y a peu d’exigences d’entrée – elle soutient les moyens de subsistance à une période de l’année où peu d’autres cultures sont récoltables et où les femmes jouent un rôle clé.</t>
  </si>
  <si>
    <t>Les arachides constituent une part importante des moyens de subsistance ruraux régionaux, qui sont plus faciles à cultiver et fournissent un revenu et une source de nourriture à une période de pénurie annuelle, tout en générant des revenus d'exportation. La chaîne de valeur reçoit très peu de soutien de l'État ou de reconnaissance des principaux problèmes et défis rencontrés, bien qu'il existe de nombreuses associations et ONG sous-financées travaillant dans ce secteur. Il est recommandé qu'une plateforme multipartite, soutenue par l'UE, soit mise en place pour réunir des responsables nationaux et régionaux clés ainsi que des acteurs du secteur privé afin d'élaborer des propositions de financement à considérer par le gouvernement et les donateurs.</t>
  </si>
  <si>
    <t>Selon la Constitution et le code du travail de Madagascar, les travailleurs ont le droit de s'associer librement et de négocier collectivement. Il existe des syndicats en Madagascar, mais l'adhésion se concentre dans les plus grandes et les entreprises internationales. According to Amnestry International (2024) the rights to freedom of association remain heavily restricted. AI claims that the authorities continued to use Order 60-082 of 13 August 1960, which violated regional and international human rights standards by unduly limiting the rights to freedom of peaceful assembly and association, particularly against protesters. Les travailleurs du secteur agricole informel n'ont pas accès aux syndicats.</t>
  </si>
  <si>
    <t>Madagascar est signataire des six, aujourd'hui dix, conventions internationales fondamentales de l'OIT qui protègent les droits des travailleurs. Cependant, ces conditions ne s'appliquent qu'aux emplois du secteur formel. Le secteur informel est la principale source d'emploi ; en 2022, le taux d'emploi informel était de 96,1 % (ILOSTAT). Madagascar a ratifié à la fois le Pacte international relatif aux droits économiques, sociaux et culturels (PIDESC) et le Pacte international relatif aux droits civils et politiques (PIDCP), ainsi que son Protocole facultatif avec certains de ces droits, tels que l'égalité et la non-discrimination, inscrits dans sa constitution et sa législation. Des défis subsistent dans des domaines comme la malnutrition infantile et l'exploitation sexuelle. Des progrès sont notés dans la lutte contre la corruption et la lutte contre l'exploitation des enfants, mais des défis subsistent, notamment la surpopulation carcérale, des taux élevés de mariages d'enfants et des réponses violentes occasionnelles aux manifestations.</t>
  </si>
  <si>
    <t>Les employeurs sont tenus de fournir des contrats de travail plus complets et transparents qui définissent clairement les conditions de travail, y compris les responsabilités, la rémunération et les avantages. Cependant, 80 % des personnes employées sont touchées par des situations d'emploi inadéquates. Seuls 3 % des travailleurs bénéficient d'un contrat écrit ; 27 % ont un contrat oral et près de 70 % n'ont aucun contrat, il n'y a donc aucune protection de l'emploi (FMI, 2025).</t>
  </si>
  <si>
    <t xml:space="preserve">https://www.worldbank.org/en/results/2023/11/19/madagascar-making-an-impact-on-land-reform-and-agriculture#:~:text=The%20adoption%20of%20consolidated%20national,value%20of%20around%20$10%20million; https://reliefweb.int/report/madagascar/madagascar-indice-de-solution-et-de-mobilite-region-menabe-juin-2024-round-1 </t>
  </si>
  <si>
    <t xml:space="preserve">https://www.elibrary.imf.org/view/journals/018/2023/036/article-A001-en.xml#:~:text=Decent%20work%20conditions%20are%20far,There%20is%20no%20employment%20protection; https://reliefweb.int/report/madagascar/madagascar-indice-de-solution-et-de-mobilite-region-menabe-juin-2024-round-1 </t>
  </si>
  <si>
    <t>Selon le Code du travail, un employeur ne peut pas discriminer une personne (dans quelque domaine que ce soit de son emploi) en raison de sa race, religion, origine nationale, sexe, appartenance syndicale, affiliation politique ou statut VIH/SIDA. La discrimination fondée sur ces motifs constitue une infraction.</t>
  </si>
  <si>
    <t>Le code du travail interdit le travail forcé, mais les pratiques peuvent passer inaperçues dans le secteur informel.Selon l’Indice mondial de l’esclavage 2023, on estime que 4,6 personnes sur mille étaient esclaves modernes à Madagascar à un moment donné en 2021 (127 000 personnes). En termes de prévalence de l’esclavage moderne, Madagascar se classe 96e au monde et 24e en Afrique. Le gouvernement a pris le plus d’actions sur l’efficacité des mécanismes de justice pénale et le moins d’actions pour traiter les risques dans les chaînes d’approvisionnement gouvernementales et entreprises. Plusieurs ONG ont exprimé des préoccupations concernant les arrangements de travail contraints pour les migrants de la région d’Androy d’ouvrir des parcelles dans la forêt protégée d’Antimena à Atsimo-Andrefana afin de cultiver du maïs suivi des arachides.</t>
  </si>
  <si>
    <t>https://www.education-inequalities.org/indicators/comp_prim_v2/madagascar#ageGroups=%5B%22comp_prim_v2%22%5D&amp;years=%5B%222021%22%5D; https://genderdata.worldbank.org/en/economies/madagascar#:~:text=56.6%25%20of%20men%20and%2047.7,health%20outcomes%2C%20and%20children's%20schooling; https://blogs.worldbank.org/en/nasikiliza/fighting-poverty-education-why-school-reforms-are-urgently-needed-madagascar-afe-0324; Interviews avec des informateurs clés</t>
  </si>
  <si>
    <t>Groundnut</t>
  </si>
  <si>
    <t>madagascar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</si>
</sst>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0"/>
      <name val="Arial"/>
    </font>
    <font>
      <sz val="8"/>
      <name val="Arial"/>
      <family val="2"/>
    </font>
    <font>
      <b/>
      <sz val="10"/>
      <name val="Arial"/>
      <family val="2"/>
    </font>
    <font>
      <sz val="12"/>
      <name val="Times New Roman"/>
      <family val="1"/>
    </font>
    <font>
      <b/>
      <sz val="12"/>
      <name val="Times New Roman"/>
      <family val="1"/>
    </font>
    <font>
      <b/>
      <sz val="12"/>
      <color indexed="8"/>
      <name val="Times New Roman"/>
      <family val="1"/>
    </font>
    <font>
      <sz val="9"/>
      <name val="Arial"/>
      <family val="2"/>
    </font>
    <font>
      <sz val="10"/>
      <name val="Arial"/>
      <family val="2"/>
    </font>
    <font>
      <b/>
      <sz val="11"/>
      <name val="Arial"/>
      <family val="2"/>
    </font>
    <font>
      <sz val="11"/>
      <name val="Arial"/>
      <family val="2"/>
    </font>
    <font>
      <i/>
      <sz val="11"/>
      <name val="Arial"/>
      <family val="2"/>
    </font>
    <font>
      <i/>
      <sz val="9"/>
      <name val="Arial"/>
      <family val="2"/>
    </font>
    <font>
      <b/>
      <sz val="10"/>
      <color rgb="FFC00000"/>
      <name val="Arial"/>
      <family val="2"/>
    </font>
    <font>
      <sz val="10"/>
      <color rgb="FFFF0000"/>
      <name val="Arial"/>
      <family val="2"/>
    </font>
    <font>
      <sz val="12"/>
      <color rgb="FF555555"/>
      <name val="Arial"/>
      <family val="2"/>
    </font>
    <font>
      <b/>
      <sz val="10"/>
      <color rgb="FFFF0000"/>
      <name val="Arial"/>
      <family val="2"/>
    </font>
    <font>
      <b/>
      <sz val="12"/>
      <name val="Arial"/>
      <family val="2"/>
    </font>
    <font>
      <b/>
      <i/>
      <sz val="9"/>
      <name val="Arial"/>
      <family val="2"/>
    </font>
    <font>
      <b/>
      <sz val="9"/>
      <name val="Arial"/>
      <family val="2"/>
    </font>
    <font>
      <b/>
      <sz val="8"/>
      <name val="Arial"/>
      <family val="2"/>
    </font>
    <font>
      <b/>
      <i/>
      <sz val="10"/>
      <name val="Arial"/>
      <family val="2"/>
    </font>
    <font>
      <b/>
      <i/>
      <sz val="14"/>
      <name val="Arial"/>
      <family val="2"/>
    </font>
    <font>
      <i/>
      <sz val="10"/>
      <name val="Arial"/>
      <family val="2"/>
    </font>
    <font>
      <b/>
      <i/>
      <sz val="12"/>
      <name val="Arial"/>
      <family val="2"/>
    </font>
    <font>
      <b/>
      <sz val="12"/>
      <color rgb="FFC00000"/>
      <name val="Arial"/>
      <family val="2"/>
    </font>
    <font>
      <sz val="10"/>
      <color rgb="FFC00000"/>
      <name val="Arial"/>
      <family val="2"/>
    </font>
    <font>
      <b/>
      <sz val="10"/>
      <color rgb="FFC00000"/>
      <name val="Wingdings"/>
      <charset val="2"/>
    </font>
    <font>
      <sz val="10"/>
      <name val="Calibri"/>
      <family val="2"/>
    </font>
    <font>
      <b/>
      <sz val="12"/>
      <color rgb="FF00B050"/>
      <name val="Times New Roman"/>
      <family val="1"/>
    </font>
    <font>
      <b/>
      <sz val="12"/>
      <color rgb="FF92D050"/>
      <name val="Times New Roman"/>
      <family val="1"/>
    </font>
    <font>
      <b/>
      <sz val="12"/>
      <color rgb="FFFFC000"/>
      <name val="Times New Roman"/>
      <family val="1"/>
    </font>
    <font>
      <b/>
      <sz val="12"/>
      <color rgb="FFFF0000"/>
      <name val="Times New Roman"/>
      <family val="1"/>
    </font>
    <font>
      <u/>
      <sz val="12"/>
      <name val="Times New Roman"/>
      <family val="1"/>
    </font>
    <font>
      <b/>
      <sz val="14"/>
      <color rgb="FFC00000"/>
      <name val="Arial"/>
      <family val="2"/>
    </font>
    <font>
      <b/>
      <sz val="12"/>
      <color rgb="FFFF0000"/>
      <name val="Arial"/>
      <family val="2"/>
    </font>
    <font>
      <b/>
      <sz val="9"/>
      <color rgb="FFFF0000"/>
      <name val="Arial"/>
      <family val="2"/>
    </font>
    <font>
      <sz val="8"/>
      <color rgb="FF3C4245"/>
      <name val="Arial"/>
      <family val="2"/>
    </font>
  </fonts>
  <fills count="34">
    <fill>
      <patternFill patternType="none"/>
    </fill>
    <fill>
      <patternFill patternType="gray125"/>
    </fill>
    <fill>
      <patternFill patternType="solid">
        <fgColor indexed="22"/>
        <bgColor indexed="64"/>
      </patternFill>
    </fill>
    <fill>
      <patternFill patternType="solid">
        <fgColor indexed="44"/>
        <bgColor indexed="64"/>
      </patternFill>
    </fill>
    <fill>
      <patternFill patternType="solid">
        <fgColor theme="0" tint="-0.249977111117893"/>
        <bgColor indexed="64"/>
      </patternFill>
    </fill>
    <fill>
      <patternFill patternType="solid">
        <fgColor theme="0"/>
        <bgColor indexed="64"/>
      </patternFill>
    </fill>
    <fill>
      <patternFill patternType="solid">
        <fgColor rgb="FFFFFF00"/>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8" tint="-0.249977111117893"/>
        <bgColor indexed="64"/>
      </patternFill>
    </fill>
    <fill>
      <patternFill patternType="solid">
        <fgColor rgb="FFFF0000"/>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6" tint="-0.249977111117893"/>
        <bgColor indexed="64"/>
      </patternFill>
    </fill>
    <fill>
      <patternFill patternType="solid">
        <fgColor theme="6" tint="0.39997558519241921"/>
        <bgColor indexed="64"/>
      </patternFill>
    </fill>
    <fill>
      <patternFill patternType="solid">
        <fgColor theme="9" tint="-0.249977111117893"/>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rgb="FF785B97"/>
        <bgColor indexed="64"/>
      </patternFill>
    </fill>
    <fill>
      <patternFill patternType="solid">
        <fgColor rgb="FFB1A0C7"/>
        <bgColor indexed="64"/>
      </patternFill>
    </fill>
    <fill>
      <patternFill patternType="solid">
        <fgColor theme="2" tint="-0.249977111117893"/>
        <bgColor indexed="64"/>
      </patternFill>
    </fill>
    <fill>
      <patternFill patternType="solid">
        <fgColor theme="9"/>
        <bgColor indexed="64"/>
      </patternFill>
    </fill>
    <fill>
      <patternFill patternType="solid">
        <fgColor theme="6" tint="0.59999389629810485"/>
        <bgColor indexed="64"/>
      </patternFill>
    </fill>
    <fill>
      <patternFill patternType="solid">
        <fgColor rgb="FFFFC000"/>
        <bgColor indexed="64"/>
      </patternFill>
    </fill>
    <fill>
      <patternFill patternType="solid">
        <fgColor rgb="FF00B050"/>
        <bgColor indexed="64"/>
      </patternFill>
    </fill>
    <fill>
      <patternFill patternType="solid">
        <fgColor rgb="FF92D05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2" tint="-0.499984740745262"/>
        <bgColor indexed="64"/>
      </patternFill>
    </fill>
    <fill>
      <patternFill patternType="solid">
        <fgColor theme="2" tint="-9.9978637043366805E-2"/>
        <bgColor indexed="64"/>
      </patternFill>
    </fill>
  </fills>
  <borders count="84">
    <border>
      <left/>
      <right/>
      <top/>
      <bottom/>
      <diagonal/>
    </border>
    <border>
      <left/>
      <right style="medium">
        <color auto="1"/>
      </right>
      <top/>
      <bottom/>
      <diagonal/>
    </border>
    <border>
      <left style="medium">
        <color auto="1"/>
      </left>
      <right/>
      <top/>
      <bottom/>
      <diagonal/>
    </border>
    <border>
      <left style="medium">
        <color auto="1"/>
      </left>
      <right style="medium">
        <color auto="1"/>
      </right>
      <top style="thin">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double">
        <color auto="1"/>
      </bottom>
      <diagonal/>
    </border>
    <border>
      <left style="medium">
        <color auto="1"/>
      </left>
      <right/>
      <top style="thin">
        <color auto="1"/>
      </top>
      <bottom style="thin">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right style="medium">
        <color auto="1"/>
      </right>
      <top style="medium">
        <color auto="1"/>
      </top>
      <bottom/>
      <diagonal/>
    </border>
    <border>
      <left/>
      <right style="medium">
        <color auto="1"/>
      </right>
      <top/>
      <bottom style="thin">
        <color auto="1"/>
      </bottom>
      <diagonal/>
    </border>
    <border>
      <left/>
      <right style="medium">
        <color auto="1"/>
      </right>
      <top style="thin">
        <color auto="1"/>
      </top>
      <bottom style="thin">
        <color auto="1"/>
      </bottom>
      <diagonal/>
    </border>
    <border>
      <left/>
      <right style="medium">
        <color auto="1"/>
      </right>
      <top style="thin">
        <color auto="1"/>
      </top>
      <bottom style="double">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medium">
        <color auto="1"/>
      </left>
      <right/>
      <top/>
      <bottom style="medium">
        <color auto="1"/>
      </bottom>
      <diagonal/>
    </border>
    <border>
      <left style="medium">
        <color auto="1"/>
      </left>
      <right style="medium">
        <color auto="1"/>
      </right>
      <top/>
      <bottom style="thin">
        <color auto="1"/>
      </bottom>
      <diagonal/>
    </border>
    <border>
      <left/>
      <right style="medium">
        <color auto="1"/>
      </right>
      <top style="medium">
        <color auto="1"/>
      </top>
      <bottom style="thin">
        <color auto="1"/>
      </bottom>
      <diagonal/>
    </border>
    <border>
      <left style="medium">
        <color auto="1"/>
      </left>
      <right style="medium">
        <color auto="1"/>
      </right>
      <top/>
      <bottom/>
      <diagonal/>
    </border>
    <border>
      <left style="medium">
        <color auto="1"/>
      </left>
      <right style="medium">
        <color auto="1"/>
      </right>
      <top/>
      <bottom style="double">
        <color auto="1"/>
      </bottom>
      <diagonal/>
    </border>
    <border>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style="thin">
        <color auto="1"/>
      </bottom>
      <diagonal/>
    </border>
    <border>
      <left/>
      <right/>
      <top/>
      <bottom style="medium">
        <color auto="1"/>
      </bottom>
      <diagonal/>
    </border>
    <border>
      <left style="thin">
        <color auto="1"/>
      </left>
      <right style="medium">
        <color auto="1"/>
      </right>
      <top style="medium">
        <color auto="1"/>
      </top>
      <bottom style="medium">
        <color auto="1"/>
      </bottom>
      <diagonal/>
    </border>
    <border>
      <left style="thin">
        <color auto="1"/>
      </left>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style="medium">
        <color auto="1"/>
      </left>
      <right/>
      <top style="thin">
        <color auto="1"/>
      </top>
      <bottom style="medium">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style="thin">
        <color auto="1"/>
      </right>
      <top/>
      <bottom style="thin">
        <color auto="1"/>
      </bottom>
      <diagonal/>
    </border>
    <border>
      <left/>
      <right/>
      <top style="thin">
        <color auto="1"/>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bottom style="thin">
        <color auto="1"/>
      </bottom>
      <diagonal/>
    </border>
    <border>
      <left style="thin">
        <color auto="1"/>
      </left>
      <right/>
      <top/>
      <bottom style="thin">
        <color auto="1"/>
      </bottom>
      <diagonal/>
    </border>
    <border>
      <left/>
      <right/>
      <top style="medium">
        <color auto="1"/>
      </top>
      <bottom/>
      <diagonal/>
    </border>
    <border>
      <left/>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medium">
        <color auto="1"/>
      </right>
      <top style="thin">
        <color auto="1"/>
      </top>
      <bottom style="medium">
        <color auto="1"/>
      </bottom>
      <diagonal/>
    </border>
    <border>
      <left/>
      <right style="thin">
        <color auto="1"/>
      </right>
      <top style="medium">
        <color auto="1"/>
      </top>
      <bottom style="medium">
        <color auto="1"/>
      </bottom>
      <diagonal/>
    </border>
    <border>
      <left style="medium">
        <color auto="1"/>
      </left>
      <right/>
      <top/>
      <bottom style="double">
        <color auto="1"/>
      </bottom>
      <diagonal/>
    </border>
    <border>
      <left/>
      <right style="thin">
        <color auto="1"/>
      </right>
      <top style="thin">
        <color auto="1"/>
      </top>
      <bottom style="thin">
        <color auto="1"/>
      </bottom>
      <diagonal/>
    </border>
    <border>
      <left/>
      <right style="medium">
        <color auto="1"/>
      </right>
      <top/>
      <bottom style="double">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right/>
      <top style="thin">
        <color auto="1"/>
      </top>
      <bottom style="medium">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style="medium">
        <color auto="1"/>
      </top>
      <bottom/>
      <diagonal/>
    </border>
    <border>
      <left/>
      <right style="thin">
        <color auto="1"/>
      </right>
      <top/>
      <bottom style="thin">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style="medium">
        <color auto="1"/>
      </right>
      <top style="thin">
        <color auto="1"/>
      </top>
      <bottom/>
      <diagonal/>
    </border>
    <border>
      <left style="thin">
        <color auto="1"/>
      </left>
      <right/>
      <top style="medium">
        <color auto="1"/>
      </top>
      <bottom style="medium">
        <color auto="1"/>
      </bottom>
      <diagonal/>
    </border>
    <border>
      <left style="thin">
        <color auto="1"/>
      </left>
      <right/>
      <top/>
      <bottom style="medium">
        <color auto="1"/>
      </bottom>
      <diagonal/>
    </border>
    <border>
      <left style="thin">
        <color indexed="64"/>
      </left>
      <right style="thin">
        <color auto="1"/>
      </right>
      <top style="thin">
        <color auto="1"/>
      </top>
      <bottom/>
      <diagonal/>
    </border>
    <border>
      <left style="thin">
        <color auto="1"/>
      </left>
      <right style="thin">
        <color auto="1"/>
      </right>
      <top style="thin">
        <color indexed="64"/>
      </top>
      <bottom style="medium">
        <color auto="1"/>
      </bottom>
      <diagonal/>
    </border>
    <border>
      <left style="thin">
        <color auto="1"/>
      </left>
      <right/>
      <top style="thin">
        <color auto="1"/>
      </top>
      <bottom/>
      <diagonal/>
    </border>
    <border>
      <left/>
      <right/>
      <top style="thin">
        <color auto="1"/>
      </top>
      <bottom/>
      <diagonal/>
    </border>
    <border>
      <left/>
      <right style="thin">
        <color auto="1"/>
      </right>
      <top style="medium">
        <color auto="1"/>
      </top>
      <bottom style="thin">
        <color indexed="64"/>
      </bottom>
      <diagonal/>
    </border>
    <border>
      <left style="medium">
        <color auto="1"/>
      </left>
      <right/>
      <top style="thin">
        <color auto="1"/>
      </top>
      <bottom/>
      <diagonal/>
    </border>
    <border>
      <left/>
      <right style="thin">
        <color auto="1"/>
      </right>
      <top style="thin">
        <color indexed="64"/>
      </top>
      <bottom/>
      <diagonal/>
    </border>
    <border>
      <left style="thin">
        <color auto="1"/>
      </left>
      <right style="thin">
        <color auto="1"/>
      </right>
      <top style="medium">
        <color auto="1"/>
      </top>
      <bottom style="thin">
        <color indexed="64"/>
      </bottom>
      <diagonal/>
    </border>
    <border>
      <left/>
      <right/>
      <top/>
      <bottom style="thin">
        <color auto="1"/>
      </bottom>
      <diagonal/>
    </border>
    <border>
      <left/>
      <right style="thin">
        <color auto="1"/>
      </right>
      <top style="thin">
        <color auto="1"/>
      </top>
      <bottom style="medium">
        <color auto="1"/>
      </bottom>
      <diagonal/>
    </border>
    <border>
      <left style="thin">
        <color auto="1"/>
      </left>
      <right/>
      <top style="thin">
        <color auto="1"/>
      </top>
      <bottom style="medium">
        <color indexed="64"/>
      </bottom>
      <diagonal/>
    </border>
    <border>
      <left/>
      <right style="thin">
        <color auto="1"/>
      </right>
      <top/>
      <bottom style="medium">
        <color auto="1"/>
      </bottom>
      <diagonal/>
    </border>
    <border>
      <left style="thin">
        <color auto="1"/>
      </left>
      <right/>
      <top style="medium">
        <color auto="1"/>
      </top>
      <bottom/>
      <diagonal/>
    </border>
    <border>
      <left style="medium">
        <color auto="1"/>
      </left>
      <right style="medium">
        <color auto="1"/>
      </right>
      <top style="thin">
        <color indexed="64"/>
      </top>
      <bottom/>
      <diagonal/>
    </border>
    <border>
      <left style="medium">
        <color indexed="64"/>
      </left>
      <right style="medium">
        <color auto="1"/>
      </right>
      <top style="double">
        <color auto="1"/>
      </top>
      <bottom style="medium">
        <color auto="1"/>
      </bottom>
      <diagonal/>
    </border>
    <border>
      <left style="thin">
        <color auto="1"/>
      </left>
      <right style="medium">
        <color auto="1"/>
      </right>
      <top/>
      <bottom style="thin">
        <color auto="1"/>
      </bottom>
      <diagonal/>
    </border>
    <border>
      <left style="medium">
        <color auto="1"/>
      </left>
      <right style="medium">
        <color auto="1"/>
      </right>
      <top style="double">
        <color indexed="64"/>
      </top>
      <bottom/>
      <diagonal/>
    </border>
    <border>
      <left style="thin">
        <color auto="1"/>
      </left>
      <right/>
      <top/>
      <bottom/>
      <diagonal/>
    </border>
    <border>
      <left/>
      <right style="thin">
        <color auto="1"/>
      </right>
      <top/>
      <bottom/>
      <diagonal/>
    </border>
    <border>
      <left style="medium">
        <color auto="1"/>
      </left>
      <right style="thin">
        <color indexed="64"/>
      </right>
      <top/>
      <bottom/>
      <diagonal/>
    </border>
    <border>
      <left style="thin">
        <color indexed="64"/>
      </left>
      <right style="medium">
        <color auto="1"/>
      </right>
      <top/>
      <bottom/>
      <diagonal/>
    </border>
  </borders>
  <cellStyleXfs count="1">
    <xf numFmtId="0" fontId="0" fillId="0" borderId="0"/>
  </cellStyleXfs>
  <cellXfs count="613">
    <xf numFmtId="0" fontId="0" fillId="0" borderId="0" xfId="0"/>
    <xf numFmtId="0" fontId="9" fillId="0" borderId="11" xfId="0" applyFont="1" applyBorder="1" applyAlignment="1" applyProtection="1">
      <alignment horizontal="left" vertical="center" wrapText="1"/>
      <protection locked="0"/>
    </xf>
    <xf numFmtId="0" fontId="9" fillId="0" borderId="18" xfId="0" applyFont="1" applyBorder="1" applyAlignment="1" applyProtection="1">
      <alignment horizontal="left" vertical="center" wrapText="1"/>
      <protection locked="0"/>
    </xf>
    <xf numFmtId="0" fontId="9" fillId="0" borderId="12" xfId="0" applyFont="1" applyBorder="1" applyAlignment="1" applyProtection="1">
      <alignment horizontal="left" vertical="center" wrapText="1"/>
      <protection locked="0"/>
    </xf>
    <xf numFmtId="0" fontId="9" fillId="0" borderId="13" xfId="0" applyFont="1" applyBorder="1" applyAlignment="1" applyProtection="1">
      <alignment horizontal="left" vertical="center" wrapText="1"/>
      <protection locked="0"/>
    </xf>
    <xf numFmtId="0" fontId="9" fillId="0" borderId="4" xfId="0" applyFont="1" applyBorder="1" applyAlignment="1" applyProtection="1">
      <alignment horizontal="left" vertical="center" wrapText="1"/>
      <protection locked="0"/>
    </xf>
    <xf numFmtId="0" fontId="9" fillId="0" borderId="3" xfId="0" applyFont="1" applyBorder="1" applyAlignment="1" applyProtection="1">
      <alignment horizontal="left" vertical="center" wrapText="1"/>
      <protection locked="0"/>
    </xf>
    <xf numFmtId="0" fontId="9" fillId="0" borderId="5" xfId="0" applyFont="1" applyBorder="1" applyAlignment="1" applyProtection="1">
      <alignment horizontal="left" vertical="center" wrapText="1"/>
      <protection locked="0"/>
    </xf>
    <xf numFmtId="0" fontId="9" fillId="0" borderId="20" xfId="0" applyFont="1" applyBorder="1" applyAlignment="1" applyProtection="1">
      <alignment horizontal="left" vertical="center" wrapText="1"/>
      <protection locked="0"/>
    </xf>
    <xf numFmtId="0" fontId="9" fillId="0" borderId="46" xfId="0" applyFont="1" applyBorder="1" applyAlignment="1" applyProtection="1">
      <alignment horizontal="left" vertical="center" wrapText="1"/>
      <protection locked="0"/>
    </xf>
    <xf numFmtId="2" fontId="7" fillId="4" borderId="14" xfId="0" applyNumberFormat="1" applyFont="1" applyFill="1" applyBorder="1" applyAlignment="1">
      <alignment horizontal="center" vertical="center"/>
    </xf>
    <xf numFmtId="0" fontId="7" fillId="2" borderId="15" xfId="0" applyFont="1" applyFill="1" applyBorder="1" applyAlignment="1">
      <alignment horizontal="center" vertical="center"/>
    </xf>
    <xf numFmtId="2" fontId="7" fillId="4" borderId="19" xfId="0" applyNumberFormat="1" applyFont="1" applyFill="1" applyBorder="1" applyAlignment="1">
      <alignment horizontal="center" vertical="center"/>
    </xf>
    <xf numFmtId="0" fontId="0" fillId="0" borderId="2" xfId="0" applyBorder="1"/>
    <xf numFmtId="0" fontId="0" fillId="0" borderId="1" xfId="0" applyBorder="1"/>
    <xf numFmtId="0" fontId="2" fillId="2" borderId="8" xfId="0" applyFont="1" applyFill="1" applyBorder="1" applyAlignment="1">
      <alignment horizontal="left" vertical="center"/>
    </xf>
    <xf numFmtId="0" fontId="2" fillId="0" borderId="0" xfId="0" applyFont="1" applyAlignment="1">
      <alignment horizontal="center"/>
    </xf>
    <xf numFmtId="0" fontId="6" fillId="2" borderId="41" xfId="0" applyFont="1" applyFill="1" applyBorder="1" applyAlignment="1">
      <alignment horizontal="right"/>
    </xf>
    <xf numFmtId="49" fontId="6" fillId="2" borderId="18" xfId="0" applyNumberFormat="1" applyFont="1" applyFill="1" applyBorder="1" applyAlignment="1">
      <alignment horizontal="left"/>
    </xf>
    <xf numFmtId="0" fontId="6" fillId="2" borderId="27" xfId="0" applyFont="1" applyFill="1" applyBorder="1" applyAlignment="1">
      <alignment horizontal="center"/>
    </xf>
    <xf numFmtId="0" fontId="6" fillId="2" borderId="34" xfId="0" applyFont="1" applyFill="1" applyBorder="1" applyAlignment="1">
      <alignment horizontal="center" vertical="center"/>
    </xf>
    <xf numFmtId="0" fontId="6" fillId="3" borderId="41" xfId="0" applyFont="1" applyFill="1" applyBorder="1" applyAlignment="1">
      <alignment horizontal="center" vertical="center"/>
    </xf>
    <xf numFmtId="0" fontId="6" fillId="3" borderId="36" xfId="0" applyFont="1" applyFill="1" applyBorder="1" applyAlignment="1">
      <alignment horizontal="center" vertical="center"/>
    </xf>
    <xf numFmtId="0" fontId="6" fillId="3" borderId="51" xfId="0" applyFont="1" applyFill="1" applyBorder="1" applyAlignment="1">
      <alignment horizontal="center" vertical="center"/>
    </xf>
    <xf numFmtId="0" fontId="0" fillId="0" borderId="2" xfId="0" applyBorder="1" applyAlignment="1">
      <alignment horizontal="center"/>
    </xf>
    <xf numFmtId="0" fontId="0" fillId="0" borderId="0" xfId="0" applyAlignment="1">
      <alignment horizontal="center"/>
    </xf>
    <xf numFmtId="0" fontId="2" fillId="5" borderId="50" xfId="0" applyFont="1" applyFill="1" applyBorder="1" applyAlignment="1" applyProtection="1">
      <alignment horizontal="center" vertical="center"/>
      <protection locked="0"/>
    </xf>
    <xf numFmtId="0" fontId="2" fillId="2" borderId="50" xfId="0" applyFont="1" applyFill="1" applyBorder="1" applyAlignment="1">
      <alignment horizontal="center" vertical="center"/>
    </xf>
    <xf numFmtId="2" fontId="2" fillId="2" borderId="28" xfId="0" applyNumberFormat="1" applyFont="1" applyFill="1" applyBorder="1" applyAlignment="1">
      <alignment horizontal="center" vertical="center"/>
    </xf>
    <xf numFmtId="0" fontId="2" fillId="2" borderId="49" xfId="0" applyFont="1" applyFill="1" applyBorder="1" applyAlignment="1">
      <alignment horizontal="center" vertical="center"/>
    </xf>
    <xf numFmtId="2" fontId="2" fillId="4" borderId="50" xfId="0" applyNumberFormat="1" applyFont="1" applyFill="1" applyBorder="1" applyAlignment="1">
      <alignment horizontal="center" vertical="center"/>
    </xf>
    <xf numFmtId="0" fontId="2" fillId="17" borderId="2" xfId="0" applyFont="1" applyFill="1" applyBorder="1" applyAlignment="1">
      <alignment vertical="center"/>
    </xf>
    <xf numFmtId="0" fontId="2" fillId="17" borderId="0" xfId="0" applyFont="1" applyFill="1" applyAlignment="1">
      <alignment vertical="center"/>
    </xf>
    <xf numFmtId="0" fontId="2" fillId="17" borderId="40" xfId="0" applyFont="1" applyFill="1" applyBorder="1" applyAlignment="1">
      <alignment horizontal="right" vertical="center"/>
    </xf>
    <xf numFmtId="2" fontId="2" fillId="17" borderId="40" xfId="0" applyNumberFormat="1" applyFont="1" applyFill="1" applyBorder="1" applyAlignment="1">
      <alignment horizontal="center" vertical="center"/>
    </xf>
    <xf numFmtId="0" fontId="2" fillId="17" borderId="40" xfId="0" applyFont="1" applyFill="1" applyBorder="1" applyAlignment="1">
      <alignment horizontal="center" vertical="center"/>
    </xf>
    <xf numFmtId="0" fontId="2" fillId="19" borderId="49" xfId="0" applyFont="1" applyFill="1" applyBorder="1" applyAlignment="1">
      <alignment horizontal="right" vertical="center"/>
    </xf>
    <xf numFmtId="0" fontId="6" fillId="11" borderId="22" xfId="0" applyFont="1" applyFill="1" applyBorder="1" applyAlignment="1" applyProtection="1">
      <alignment horizontal="left" vertical="top" wrapText="1"/>
      <protection locked="0"/>
    </xf>
    <xf numFmtId="0" fontId="6" fillId="19" borderId="22" xfId="0" applyFont="1" applyFill="1" applyBorder="1" applyAlignment="1" applyProtection="1">
      <alignment vertical="top" wrapText="1"/>
      <protection locked="0"/>
    </xf>
    <xf numFmtId="0" fontId="2" fillId="21" borderId="49" xfId="0" applyFont="1" applyFill="1" applyBorder="1" applyAlignment="1">
      <alignment vertical="top"/>
    </xf>
    <xf numFmtId="0" fontId="2" fillId="12" borderId="49" xfId="0" applyFont="1" applyFill="1" applyBorder="1" applyAlignment="1">
      <alignment horizontal="right" vertical="center"/>
    </xf>
    <xf numFmtId="0" fontId="6" fillId="12" borderId="22" xfId="0" applyFont="1" applyFill="1" applyBorder="1" applyAlignment="1" applyProtection="1">
      <alignment horizontal="left" vertical="top" wrapText="1"/>
      <protection locked="0"/>
    </xf>
    <xf numFmtId="0" fontId="2" fillId="12" borderId="16" xfId="0" applyFont="1" applyFill="1" applyBorder="1" applyAlignment="1">
      <alignment vertical="center"/>
    </xf>
    <xf numFmtId="0" fontId="2" fillId="12" borderId="27" xfId="0" applyFont="1" applyFill="1" applyBorder="1" applyAlignment="1">
      <alignment vertical="center"/>
    </xf>
    <xf numFmtId="0" fontId="2" fillId="12" borderId="54" xfId="0" applyFont="1" applyFill="1" applyBorder="1" applyAlignment="1">
      <alignment horizontal="right" vertical="center"/>
    </xf>
    <xf numFmtId="0" fontId="8" fillId="7" borderId="29" xfId="0" applyFont="1" applyFill="1" applyBorder="1" applyAlignment="1">
      <alignment horizontal="right" vertical="center" wrapText="1"/>
    </xf>
    <xf numFmtId="0" fontId="2" fillId="2" borderId="55" xfId="0" applyFont="1" applyFill="1" applyBorder="1" applyAlignment="1">
      <alignment horizontal="center" vertical="center"/>
    </xf>
    <xf numFmtId="0" fontId="6" fillId="12" borderId="35" xfId="0" applyFont="1" applyFill="1" applyBorder="1" applyAlignment="1" applyProtection="1">
      <alignment horizontal="left" vertical="top" wrapText="1"/>
      <protection locked="0"/>
    </xf>
    <xf numFmtId="0" fontId="0" fillId="0" borderId="22" xfId="0" applyBorder="1" applyAlignment="1" applyProtection="1">
      <alignment horizontal="center" vertical="top"/>
      <protection locked="0"/>
    </xf>
    <xf numFmtId="2" fontId="2" fillId="2" borderId="58" xfId="0" applyNumberFormat="1" applyFont="1" applyFill="1" applyBorder="1" applyAlignment="1">
      <alignment horizontal="center" vertical="center"/>
    </xf>
    <xf numFmtId="0" fontId="2" fillId="2" borderId="54" xfId="0" applyFont="1" applyFill="1" applyBorder="1" applyAlignment="1">
      <alignment horizontal="center" vertical="center"/>
    </xf>
    <xf numFmtId="0" fontId="2" fillId="2" borderId="49" xfId="0" applyFont="1" applyFill="1" applyBorder="1" applyAlignment="1">
      <alignment vertical="center"/>
    </xf>
    <xf numFmtId="0" fontId="2" fillId="9" borderId="24" xfId="0" applyFont="1" applyFill="1" applyBorder="1" applyAlignment="1">
      <alignment vertical="center"/>
    </xf>
    <xf numFmtId="0" fontId="2" fillId="15" borderId="24" xfId="0" applyFont="1" applyFill="1" applyBorder="1" applyAlignment="1">
      <alignment vertical="center"/>
    </xf>
    <xf numFmtId="0" fontId="2" fillId="15" borderId="40" xfId="0" applyFont="1" applyFill="1" applyBorder="1" applyAlignment="1">
      <alignment vertical="center"/>
    </xf>
    <xf numFmtId="0" fontId="2" fillId="15" borderId="25" xfId="0" applyFont="1" applyFill="1" applyBorder="1" applyAlignment="1">
      <alignment vertical="center"/>
    </xf>
    <xf numFmtId="0" fontId="7" fillId="16" borderId="26" xfId="0" applyFont="1" applyFill="1" applyBorder="1" applyAlignment="1">
      <alignment horizontal="left" vertical="center"/>
    </xf>
    <xf numFmtId="0" fontId="7" fillId="16" borderId="6" xfId="0" applyFont="1" applyFill="1" applyBorder="1" applyAlignment="1">
      <alignment horizontal="left" vertical="center"/>
    </xf>
    <xf numFmtId="0" fontId="7" fillId="16" borderId="7" xfId="0" applyFont="1" applyFill="1" applyBorder="1" applyAlignment="1">
      <alignment horizontal="left" vertical="center"/>
    </xf>
    <xf numFmtId="0" fontId="7" fillId="16" borderId="2" xfId="0" applyFont="1" applyFill="1" applyBorder="1" applyAlignment="1">
      <alignment horizontal="right" vertical="center"/>
    </xf>
    <xf numFmtId="0" fontId="2" fillId="13" borderId="24" xfId="0" applyFont="1" applyFill="1" applyBorder="1" applyAlignment="1">
      <alignment vertical="center"/>
    </xf>
    <xf numFmtId="0" fontId="2" fillId="13" borderId="25" xfId="0" applyFont="1" applyFill="1" applyBorder="1" applyAlignment="1">
      <alignment vertical="center"/>
    </xf>
    <xf numFmtId="0" fontId="7" fillId="14" borderId="26" xfId="0" applyFont="1" applyFill="1" applyBorder="1" applyAlignment="1">
      <alignment horizontal="left" vertical="center" wrapText="1"/>
    </xf>
    <xf numFmtId="0" fontId="7" fillId="14" borderId="6" xfId="0" applyFont="1" applyFill="1" applyBorder="1" applyAlignment="1">
      <alignment horizontal="left" vertical="center"/>
    </xf>
    <xf numFmtId="0" fontId="7" fillId="14" borderId="7" xfId="0" applyFont="1" applyFill="1" applyBorder="1" applyAlignment="1">
      <alignment horizontal="left" vertical="center" wrapText="1"/>
    </xf>
    <xf numFmtId="0" fontId="7" fillId="14" borderId="14" xfId="0" applyFont="1" applyFill="1" applyBorder="1" applyAlignment="1">
      <alignment horizontal="right" vertical="center"/>
    </xf>
    <xf numFmtId="0" fontId="2" fillId="17" borderId="24" xfId="0" applyFont="1" applyFill="1" applyBorder="1" applyAlignment="1">
      <alignment vertical="center"/>
    </xf>
    <xf numFmtId="0" fontId="2" fillId="17" borderId="25" xfId="0" applyFont="1" applyFill="1" applyBorder="1" applyAlignment="1">
      <alignment vertical="center"/>
    </xf>
    <xf numFmtId="0" fontId="7" fillId="18" borderId="17" xfId="0" applyFont="1" applyFill="1" applyBorder="1" applyAlignment="1">
      <alignment horizontal="left" vertical="center"/>
    </xf>
    <xf numFmtId="0" fontId="7" fillId="18" borderId="7" xfId="0" applyFont="1" applyFill="1" applyBorder="1" applyAlignment="1">
      <alignment horizontal="left" vertical="center"/>
    </xf>
    <xf numFmtId="0" fontId="2" fillId="9" borderId="25" xfId="0" applyFont="1" applyFill="1" applyBorder="1" applyAlignment="1">
      <alignment vertical="center"/>
    </xf>
    <xf numFmtId="0" fontId="7" fillId="8" borderId="17" xfId="0" applyFont="1" applyFill="1" applyBorder="1" applyAlignment="1">
      <alignment horizontal="left" vertical="center" wrapText="1"/>
    </xf>
    <xf numFmtId="0" fontId="7" fillId="8" borderId="3" xfId="0" applyFont="1" applyFill="1" applyBorder="1" applyAlignment="1">
      <alignment horizontal="left" vertical="center" wrapText="1"/>
    </xf>
    <xf numFmtId="0" fontId="7" fillId="8" borderId="2" xfId="0" applyFont="1" applyFill="1" applyBorder="1" applyAlignment="1">
      <alignment horizontal="left" vertical="center"/>
    </xf>
    <xf numFmtId="0" fontId="7" fillId="8" borderId="5" xfId="0" applyFont="1" applyFill="1" applyBorder="1" applyAlignment="1">
      <alignment horizontal="left" vertical="center" wrapText="1"/>
    </xf>
    <xf numFmtId="0" fontId="7" fillId="8" borderId="14" xfId="0" applyFont="1" applyFill="1" applyBorder="1" applyAlignment="1">
      <alignment horizontal="right" vertical="center" wrapText="1"/>
    </xf>
    <xf numFmtId="0" fontId="2" fillId="22" borderId="24" xfId="0" applyFont="1" applyFill="1" applyBorder="1" applyAlignment="1">
      <alignment horizontal="left" vertical="center"/>
    </xf>
    <xf numFmtId="2" fontId="2" fillId="22" borderId="25" xfId="0" applyNumberFormat="1" applyFont="1" applyFill="1" applyBorder="1" applyAlignment="1">
      <alignment horizontal="left" vertical="center"/>
    </xf>
    <xf numFmtId="0" fontId="2" fillId="22" borderId="25" xfId="0" applyFont="1" applyFill="1" applyBorder="1" applyAlignment="1">
      <alignment horizontal="left" vertical="center"/>
    </xf>
    <xf numFmtId="0" fontId="7" fillId="23" borderId="2" xfId="0" applyFont="1" applyFill="1" applyBorder="1" applyAlignment="1">
      <alignment horizontal="left" vertical="center"/>
    </xf>
    <xf numFmtId="0" fontId="7" fillId="23" borderId="14" xfId="0" applyFont="1" applyFill="1" applyBorder="1" applyAlignment="1">
      <alignment horizontal="right" vertical="center"/>
    </xf>
    <xf numFmtId="0" fontId="7" fillId="18" borderId="14" xfId="0" applyFont="1" applyFill="1" applyBorder="1" applyAlignment="1">
      <alignment horizontal="right" vertical="center"/>
    </xf>
    <xf numFmtId="0" fontId="9" fillId="0" borderId="1" xfId="0" applyFont="1" applyBorder="1" applyAlignment="1" applyProtection="1">
      <alignment horizontal="left" vertical="center" wrapText="1"/>
      <protection locked="0"/>
    </xf>
    <xf numFmtId="2" fontId="7" fillId="24" borderId="14" xfId="0" applyNumberFormat="1" applyFont="1" applyFill="1" applyBorder="1" applyAlignment="1">
      <alignment horizontal="center" vertical="center"/>
    </xf>
    <xf numFmtId="0" fontId="7" fillId="24" borderId="14" xfId="0" applyFont="1" applyFill="1" applyBorder="1" applyAlignment="1">
      <alignment horizontal="center" vertical="center"/>
    </xf>
    <xf numFmtId="0" fontId="2" fillId="2" borderId="53" xfId="0" applyFont="1" applyFill="1" applyBorder="1" applyAlignment="1">
      <alignment horizontal="center" vertical="center"/>
    </xf>
    <xf numFmtId="0" fontId="2" fillId="2" borderId="59" xfId="0" applyFont="1" applyFill="1" applyBorder="1" applyAlignment="1">
      <alignment horizontal="center" vertical="center"/>
    </xf>
    <xf numFmtId="0" fontId="6" fillId="7" borderId="22" xfId="0" applyFont="1" applyFill="1" applyBorder="1" applyAlignment="1">
      <alignment vertical="top" wrapText="1"/>
    </xf>
    <xf numFmtId="0" fontId="11" fillId="5" borderId="61" xfId="0" applyFont="1" applyFill="1" applyBorder="1" applyAlignment="1" applyProtection="1">
      <alignment horizontal="left" vertical="center" wrapText="1"/>
      <protection locked="0"/>
    </xf>
    <xf numFmtId="0" fontId="2" fillId="2" borderId="57" xfId="0" applyFont="1" applyFill="1" applyBorder="1" applyAlignment="1">
      <alignment horizontal="center" vertical="center"/>
    </xf>
    <xf numFmtId="2" fontId="2" fillId="4" borderId="57" xfId="0" applyNumberFormat="1" applyFont="1" applyFill="1" applyBorder="1" applyAlignment="1">
      <alignment horizontal="center" vertical="center"/>
    </xf>
    <xf numFmtId="0" fontId="11" fillId="5" borderId="62" xfId="0" applyFont="1" applyFill="1" applyBorder="1" applyAlignment="1" applyProtection="1">
      <alignment horizontal="left" vertical="center" wrapText="1"/>
      <protection locked="0"/>
    </xf>
    <xf numFmtId="0" fontId="0" fillId="0" borderId="2" xfId="0" applyBorder="1" applyAlignment="1">
      <alignment horizontal="center" vertical="top"/>
    </xf>
    <xf numFmtId="0" fontId="3" fillId="0" borderId="1" xfId="0" applyFont="1" applyBorder="1" applyAlignment="1">
      <alignment horizontal="left" vertical="top" wrapText="1" indent="2"/>
    </xf>
    <xf numFmtId="0" fontId="6" fillId="11" borderId="22" xfId="0" applyFont="1" applyFill="1" applyBorder="1" applyAlignment="1">
      <alignment horizontal="left" vertical="top" wrapText="1"/>
    </xf>
    <xf numFmtId="0" fontId="6" fillId="11" borderId="22" xfId="0" applyFont="1" applyFill="1" applyBorder="1" applyAlignment="1">
      <alignment horizontal="left" vertical="center" wrapText="1"/>
    </xf>
    <xf numFmtId="0" fontId="6" fillId="14" borderId="22" xfId="0" applyFont="1" applyFill="1" applyBorder="1" applyAlignment="1">
      <alignment horizontal="left" vertical="top" wrapText="1"/>
    </xf>
    <xf numFmtId="0" fontId="6" fillId="14" borderId="22" xfId="0" applyFont="1" applyFill="1" applyBorder="1" applyAlignment="1">
      <alignment wrapText="1"/>
    </xf>
    <xf numFmtId="0" fontId="6" fillId="26" borderId="22" xfId="0" applyFont="1" applyFill="1" applyBorder="1" applyAlignment="1">
      <alignment wrapText="1"/>
    </xf>
    <xf numFmtId="0" fontId="6" fillId="26" borderId="22" xfId="0" applyFont="1" applyFill="1" applyBorder="1" applyAlignment="1">
      <alignment vertical="top" wrapText="1"/>
    </xf>
    <xf numFmtId="0" fontId="6" fillId="19" borderId="22" xfId="0" applyFont="1" applyFill="1" applyBorder="1" applyAlignment="1">
      <alignment vertical="top" wrapText="1"/>
    </xf>
    <xf numFmtId="0" fontId="6" fillId="9" borderId="22" xfId="0" applyFont="1" applyFill="1" applyBorder="1" applyAlignment="1">
      <alignment horizontal="left" vertical="top" wrapText="1"/>
    </xf>
    <xf numFmtId="0" fontId="6" fillId="21" borderId="22" xfId="0" applyFont="1" applyFill="1" applyBorder="1" applyAlignment="1">
      <alignment vertical="top" wrapText="1"/>
    </xf>
    <xf numFmtId="0" fontId="6" fillId="21" borderId="22" xfId="0" applyFont="1" applyFill="1" applyBorder="1"/>
    <xf numFmtId="0" fontId="0" fillId="0" borderId="0" xfId="0" applyAlignment="1">
      <alignment vertical="center"/>
    </xf>
    <xf numFmtId="0" fontId="7" fillId="0" borderId="0" xfId="0" applyFont="1" applyAlignment="1">
      <alignment vertical="center"/>
    </xf>
    <xf numFmtId="0" fontId="2" fillId="0" borderId="0" xfId="0" applyFont="1" applyAlignment="1">
      <alignment horizontal="center" vertical="center"/>
    </xf>
    <xf numFmtId="0" fontId="2" fillId="0" borderId="0" xfId="0" applyFont="1" applyAlignment="1">
      <alignment vertical="center"/>
    </xf>
    <xf numFmtId="0" fontId="7" fillId="0" borderId="0" xfId="0" applyFont="1" applyAlignment="1">
      <alignment horizontal="left" vertical="center"/>
    </xf>
    <xf numFmtId="0" fontId="7" fillId="2" borderId="14" xfId="0" applyFont="1" applyFill="1" applyBorder="1" applyAlignment="1">
      <alignment vertical="center"/>
    </xf>
    <xf numFmtId="0" fontId="13" fillId="0" borderId="0" xfId="0" applyFont="1" applyAlignment="1">
      <alignment horizontal="left"/>
    </xf>
    <xf numFmtId="0" fontId="7" fillId="0" borderId="0" xfId="0" quotePrefix="1" applyFont="1"/>
    <xf numFmtId="0" fontId="0" fillId="4" borderId="0" xfId="0" applyFill="1"/>
    <xf numFmtId="0" fontId="2" fillId="15" borderId="23" xfId="0" applyFont="1" applyFill="1" applyBorder="1" applyAlignment="1">
      <alignment horizontal="left" vertical="center"/>
    </xf>
    <xf numFmtId="0" fontId="2" fillId="15" borderId="40" xfId="0" applyFont="1" applyFill="1" applyBorder="1" applyAlignment="1">
      <alignment horizontal="left" vertical="center"/>
    </xf>
    <xf numFmtId="0" fontId="2" fillId="16" borderId="23" xfId="0" applyFont="1" applyFill="1" applyBorder="1" applyAlignment="1">
      <alignment horizontal="left" vertical="center"/>
    </xf>
    <xf numFmtId="0" fontId="2" fillId="16" borderId="40" xfId="0" applyFont="1" applyFill="1" applyBorder="1" applyAlignment="1">
      <alignment horizontal="left" vertical="center" wrapText="1"/>
    </xf>
    <xf numFmtId="0" fontId="0" fillId="2" borderId="22" xfId="0" applyFill="1" applyBorder="1" applyAlignment="1">
      <alignment horizontal="center" vertical="top"/>
    </xf>
    <xf numFmtId="0" fontId="2" fillId="0" borderId="0" xfId="0" applyFont="1" applyAlignment="1">
      <alignment horizontal="left" vertical="center"/>
    </xf>
    <xf numFmtId="0" fontId="2" fillId="0" borderId="27" xfId="0" applyFont="1" applyBorder="1" applyAlignment="1">
      <alignment horizontal="center" vertical="center"/>
    </xf>
    <xf numFmtId="0" fontId="2" fillId="16" borderId="0" xfId="0" applyFont="1" applyFill="1" applyAlignment="1">
      <alignment vertical="center"/>
    </xf>
    <xf numFmtId="0" fontId="2" fillId="16" borderId="0" xfId="0" applyFont="1" applyFill="1" applyAlignment="1">
      <alignment horizontal="left" vertical="center" wrapText="1"/>
    </xf>
    <xf numFmtId="0" fontId="2" fillId="16" borderId="25" xfId="0" applyFont="1" applyFill="1" applyBorder="1" applyAlignment="1">
      <alignment horizontal="left" vertical="center" wrapText="1"/>
    </xf>
    <xf numFmtId="0" fontId="9" fillId="0" borderId="0" xfId="0" applyFont="1"/>
    <xf numFmtId="0" fontId="2" fillId="13" borderId="2" xfId="0" applyFont="1" applyFill="1" applyBorder="1" applyAlignment="1">
      <alignment horizontal="left" vertical="center"/>
    </xf>
    <xf numFmtId="0" fontId="2" fillId="13" borderId="0" xfId="0" applyFont="1" applyFill="1" applyAlignment="1">
      <alignment horizontal="left" vertical="center"/>
    </xf>
    <xf numFmtId="0" fontId="2" fillId="13" borderId="40" xfId="0" applyFont="1" applyFill="1" applyBorder="1" applyAlignment="1">
      <alignment horizontal="left" vertical="center"/>
    </xf>
    <xf numFmtId="0" fontId="2" fillId="14" borderId="24" xfId="0" applyFont="1" applyFill="1" applyBorder="1" applyAlignment="1">
      <alignment horizontal="left" vertical="center"/>
    </xf>
    <xf numFmtId="0" fontId="2" fillId="14" borderId="25" xfId="0" applyFont="1" applyFill="1" applyBorder="1" applyAlignment="1">
      <alignment horizontal="left" vertical="center" wrapText="1"/>
    </xf>
    <xf numFmtId="0" fontId="2" fillId="14" borderId="23" xfId="0" applyFont="1" applyFill="1" applyBorder="1" applyAlignment="1">
      <alignment horizontal="left" vertical="center"/>
    </xf>
    <xf numFmtId="0" fontId="2" fillId="14" borderId="40" xfId="0" applyFont="1" applyFill="1" applyBorder="1" applyAlignment="1">
      <alignment horizontal="left" vertical="center" wrapText="1"/>
    </xf>
    <xf numFmtId="0" fontId="2" fillId="14" borderId="0" xfId="0" applyFont="1" applyFill="1" applyAlignment="1">
      <alignment horizontal="left" vertical="center" wrapText="1"/>
    </xf>
    <xf numFmtId="0" fontId="2" fillId="14" borderId="27" xfId="0" applyFont="1" applyFill="1" applyBorder="1" applyAlignment="1">
      <alignment horizontal="left" vertical="center" wrapText="1"/>
    </xf>
    <xf numFmtId="0" fontId="9" fillId="0" borderId="0" xfId="0" applyFont="1" applyAlignment="1">
      <alignment vertical="center"/>
    </xf>
    <xf numFmtId="0" fontId="2" fillId="17" borderId="0" xfId="0" applyFont="1" applyFill="1" applyAlignment="1">
      <alignment horizontal="center" vertical="center"/>
    </xf>
    <xf numFmtId="0" fontId="11" fillId="17" borderId="40" xfId="0" applyFont="1" applyFill="1" applyBorder="1" applyAlignment="1">
      <alignment horizontal="left" vertical="center" wrapText="1"/>
    </xf>
    <xf numFmtId="0" fontId="2" fillId="18" borderId="23" xfId="0" applyFont="1" applyFill="1" applyBorder="1" applyAlignment="1">
      <alignment horizontal="left" vertical="center"/>
    </xf>
    <xf numFmtId="0" fontId="2" fillId="18" borderId="40" xfId="0" applyFont="1" applyFill="1" applyBorder="1" applyAlignment="1">
      <alignment horizontal="left" vertical="center" wrapText="1"/>
    </xf>
    <xf numFmtId="0" fontId="2" fillId="18" borderId="2" xfId="0" applyFont="1" applyFill="1" applyBorder="1" applyAlignment="1">
      <alignment horizontal="left" vertical="center"/>
    </xf>
    <xf numFmtId="0" fontId="2" fillId="18" borderId="0" xfId="0" applyFont="1" applyFill="1" applyAlignment="1">
      <alignment horizontal="left" vertical="center"/>
    </xf>
    <xf numFmtId="0" fontId="2" fillId="18" borderId="40" xfId="0" applyFont="1" applyFill="1" applyBorder="1" applyAlignment="1">
      <alignment horizontal="left" vertical="center"/>
    </xf>
    <xf numFmtId="0" fontId="2" fillId="18" borderId="2" xfId="0" applyFont="1" applyFill="1" applyBorder="1" applyAlignment="1">
      <alignment vertical="center"/>
    </xf>
    <xf numFmtId="0" fontId="2" fillId="18" borderId="0" xfId="0" applyFont="1" applyFill="1" applyAlignment="1">
      <alignment vertical="center" wrapText="1"/>
    </xf>
    <xf numFmtId="0" fontId="2" fillId="18" borderId="25" xfId="0" applyFont="1" applyFill="1" applyBorder="1" applyAlignment="1">
      <alignment vertical="center" wrapText="1"/>
    </xf>
    <xf numFmtId="2" fontId="2" fillId="2" borderId="50" xfId="0" applyNumberFormat="1" applyFont="1" applyFill="1" applyBorder="1" applyAlignment="1">
      <alignment horizontal="center" vertical="center"/>
    </xf>
    <xf numFmtId="0" fontId="2" fillId="18" borderId="0" xfId="0" applyFont="1" applyFill="1" applyAlignment="1">
      <alignment horizontal="left" vertical="center" wrapText="1"/>
    </xf>
    <xf numFmtId="0" fontId="2" fillId="18" borderId="25" xfId="0" applyFont="1" applyFill="1" applyBorder="1" applyAlignment="1">
      <alignment horizontal="left" vertical="center" wrapText="1"/>
    </xf>
    <xf numFmtId="0" fontId="9" fillId="0" borderId="0" xfId="0" applyFont="1" applyAlignment="1">
      <alignment vertical="top"/>
    </xf>
    <xf numFmtId="0" fontId="0" fillId="0" borderId="0" xfId="0" applyAlignment="1">
      <alignment vertical="top" wrapText="1"/>
    </xf>
    <xf numFmtId="0" fontId="2" fillId="9" borderId="23" xfId="0" applyFont="1" applyFill="1" applyBorder="1" applyAlignment="1">
      <alignment horizontal="left" vertical="center"/>
    </xf>
    <xf numFmtId="0" fontId="2" fillId="9" borderId="40" xfId="0" applyFont="1" applyFill="1" applyBorder="1" applyAlignment="1">
      <alignment horizontal="left" vertical="center" wrapText="1"/>
    </xf>
    <xf numFmtId="0" fontId="0" fillId="0" borderId="0" xfId="0" applyAlignment="1">
      <alignment vertical="top"/>
    </xf>
    <xf numFmtId="0" fontId="15" fillId="0" borderId="0" xfId="0" applyFont="1" applyAlignment="1">
      <alignment vertical="top"/>
    </xf>
    <xf numFmtId="0" fontId="13" fillId="0" borderId="0" xfId="0" applyFont="1" applyAlignment="1">
      <alignment vertical="top"/>
    </xf>
    <xf numFmtId="0" fontId="13" fillId="0" borderId="0" xfId="0" applyFont="1"/>
    <xf numFmtId="0" fontId="2" fillId="22" borderId="23" xfId="0" applyFont="1" applyFill="1" applyBorder="1" applyAlignment="1">
      <alignment horizontal="left" vertical="center"/>
    </xf>
    <xf numFmtId="0" fontId="2" fillId="22" borderId="40" xfId="0" applyFont="1" applyFill="1" applyBorder="1" applyAlignment="1">
      <alignment horizontal="left" vertical="center" wrapText="1"/>
    </xf>
    <xf numFmtId="0" fontId="2" fillId="0" borderId="0" xfId="0" applyFont="1" applyAlignment="1">
      <alignment vertical="top"/>
    </xf>
    <xf numFmtId="0" fontId="14" fillId="0" borderId="0" xfId="0" applyFont="1"/>
    <xf numFmtId="0" fontId="6" fillId="0" borderId="0" xfId="0" applyFont="1"/>
    <xf numFmtId="0" fontId="0" fillId="0" borderId="0" xfId="0" applyAlignment="1">
      <alignment horizontal="center" vertical="top"/>
    </xf>
    <xf numFmtId="0" fontId="0" fillId="2" borderId="43" xfId="0" applyFill="1" applyBorder="1" applyAlignment="1">
      <alignment horizontal="center" vertical="top"/>
    </xf>
    <xf numFmtId="0" fontId="0" fillId="2" borderId="47" xfId="0" applyFill="1" applyBorder="1" applyAlignment="1">
      <alignment horizontal="center" vertical="top"/>
    </xf>
    <xf numFmtId="0" fontId="0" fillId="0" borderId="67" xfId="0" applyBorder="1" applyAlignment="1" applyProtection="1">
      <alignment horizontal="center" vertical="top"/>
      <protection locked="0"/>
    </xf>
    <xf numFmtId="0" fontId="0" fillId="0" borderId="72" xfId="0" applyBorder="1" applyAlignment="1" applyProtection="1">
      <alignment horizontal="center" vertical="top"/>
      <protection locked="0"/>
    </xf>
    <xf numFmtId="0" fontId="0" fillId="0" borderId="70" xfId="0" applyBorder="1" applyAlignment="1" applyProtection="1">
      <alignment horizontal="center" vertical="top"/>
      <protection locked="0"/>
    </xf>
    <xf numFmtId="0" fontId="0" fillId="0" borderId="64" xfId="0" applyBorder="1" applyAlignment="1" applyProtection="1">
      <alignment horizontal="center" vertical="top"/>
      <protection locked="0"/>
    </xf>
    <xf numFmtId="0" fontId="0" fillId="0" borderId="35" xfId="0" applyBorder="1" applyAlignment="1" applyProtection="1">
      <alignment horizontal="center" vertical="top"/>
      <protection locked="0"/>
    </xf>
    <xf numFmtId="0" fontId="2" fillId="18" borderId="41" xfId="0" applyFont="1" applyFill="1" applyBorder="1" applyAlignment="1">
      <alignment vertical="center" wrapText="1"/>
    </xf>
    <xf numFmtId="0" fontId="2" fillId="18" borderId="40" xfId="0" applyFont="1" applyFill="1" applyBorder="1" applyAlignment="1">
      <alignment vertical="center" wrapText="1"/>
    </xf>
    <xf numFmtId="0" fontId="0" fillId="2" borderId="36" xfId="0" applyFill="1" applyBorder="1" applyAlignment="1">
      <alignment horizontal="center" vertical="top"/>
    </xf>
    <xf numFmtId="0" fontId="0" fillId="2" borderId="72" xfId="0" applyFill="1" applyBorder="1" applyAlignment="1">
      <alignment horizontal="center" vertical="top"/>
    </xf>
    <xf numFmtId="0" fontId="6" fillId="12" borderId="70" xfId="0" applyFont="1" applyFill="1" applyBorder="1" applyAlignment="1" applyProtection="1">
      <alignment horizontal="left" vertical="top" wrapText="1"/>
      <protection locked="0"/>
    </xf>
    <xf numFmtId="0" fontId="0" fillId="2" borderId="70" xfId="0" applyFill="1" applyBorder="1" applyAlignment="1">
      <alignment horizontal="center" vertical="top"/>
    </xf>
    <xf numFmtId="0" fontId="0" fillId="2" borderId="64" xfId="0" applyFill="1" applyBorder="1" applyAlignment="1">
      <alignment horizontal="center" vertical="top"/>
    </xf>
    <xf numFmtId="0" fontId="0" fillId="0" borderId="36" xfId="0" applyBorder="1" applyAlignment="1" applyProtection="1">
      <alignment horizontal="center" vertical="top"/>
      <protection locked="0"/>
    </xf>
    <xf numFmtId="0" fontId="0" fillId="2" borderId="67" xfId="0" applyFill="1" applyBorder="1" applyAlignment="1">
      <alignment horizontal="center" vertical="top"/>
    </xf>
    <xf numFmtId="0" fontId="0" fillId="2" borderId="66" xfId="0" applyFill="1" applyBorder="1" applyAlignment="1">
      <alignment horizontal="center" vertical="top"/>
    </xf>
    <xf numFmtId="0" fontId="6" fillId="11" borderId="64" xfId="0" applyFont="1" applyFill="1" applyBorder="1" applyAlignment="1" applyProtection="1">
      <alignment horizontal="left" vertical="top" wrapText="1"/>
      <protection locked="0"/>
    </xf>
    <xf numFmtId="0" fontId="2" fillId="16" borderId="41" xfId="0" applyFont="1" applyFill="1" applyBorder="1" applyAlignment="1">
      <alignment horizontal="left" vertical="center" wrapText="1"/>
    </xf>
    <xf numFmtId="0" fontId="11" fillId="5" borderId="50" xfId="0" applyFont="1" applyFill="1" applyBorder="1" applyAlignment="1" applyProtection="1">
      <alignment horizontal="left" vertical="center" wrapText="1"/>
      <protection locked="0"/>
    </xf>
    <xf numFmtId="0" fontId="0" fillId="0" borderId="63" xfId="0" applyBorder="1" applyAlignment="1" applyProtection="1">
      <alignment horizontal="center" vertical="top"/>
      <protection locked="0"/>
    </xf>
    <xf numFmtId="0" fontId="2" fillId="11" borderId="49" xfId="0" applyFont="1" applyFill="1" applyBorder="1" applyAlignment="1">
      <alignment horizontal="right" vertical="center"/>
    </xf>
    <xf numFmtId="0" fontId="6" fillId="11" borderId="63" xfId="0" applyFont="1" applyFill="1" applyBorder="1" applyAlignment="1" applyProtection="1">
      <alignment horizontal="left" vertical="top" wrapText="1"/>
      <protection locked="0"/>
    </xf>
    <xf numFmtId="0" fontId="6" fillId="12" borderId="63" xfId="0" applyFont="1" applyFill="1" applyBorder="1" applyAlignment="1" applyProtection="1">
      <alignment horizontal="left" vertical="top" wrapText="1"/>
      <protection locked="0"/>
    </xf>
    <xf numFmtId="0" fontId="2" fillId="14" borderId="39" xfId="0" applyFont="1" applyFill="1" applyBorder="1" applyAlignment="1">
      <alignment horizontal="left" vertical="center"/>
    </xf>
    <xf numFmtId="0" fontId="2" fillId="14" borderId="71" xfId="0" applyFont="1" applyFill="1" applyBorder="1" applyAlignment="1">
      <alignment horizontal="left" vertical="center" wrapText="1"/>
    </xf>
    <xf numFmtId="0" fontId="2" fillId="12" borderId="24" xfId="0" applyFont="1" applyFill="1" applyBorder="1" applyAlignment="1">
      <alignment vertical="center"/>
    </xf>
    <xf numFmtId="0" fontId="2" fillId="12" borderId="21" xfId="0" applyFont="1" applyFill="1" applyBorder="1" applyAlignment="1">
      <alignment vertical="center"/>
    </xf>
    <xf numFmtId="0" fontId="6" fillId="12" borderId="64" xfId="0" applyFont="1" applyFill="1" applyBorder="1" applyAlignment="1" applyProtection="1">
      <alignment horizontal="left" vertical="top" wrapText="1"/>
      <protection locked="0"/>
    </xf>
    <xf numFmtId="0" fontId="6" fillId="19" borderId="64" xfId="0" applyFont="1" applyFill="1" applyBorder="1" applyAlignment="1" applyProtection="1">
      <alignment vertical="top" wrapText="1"/>
      <protection locked="0"/>
    </xf>
    <xf numFmtId="0" fontId="11" fillId="5" borderId="28" xfId="0" applyFont="1" applyFill="1" applyBorder="1" applyAlignment="1" applyProtection="1">
      <alignment horizontal="left" vertical="center" wrapText="1"/>
      <protection locked="0"/>
    </xf>
    <xf numFmtId="0" fontId="6" fillId="19" borderId="63" xfId="0" applyFont="1" applyFill="1" applyBorder="1" applyAlignment="1" applyProtection="1">
      <alignment vertical="top" wrapText="1"/>
      <protection locked="0"/>
    </xf>
    <xf numFmtId="0" fontId="2" fillId="18" borderId="41" xfId="0" applyFont="1" applyFill="1" applyBorder="1" applyAlignment="1">
      <alignment horizontal="left" vertical="center" wrapText="1"/>
    </xf>
    <xf numFmtId="0" fontId="0" fillId="0" borderId="47" xfId="0" applyBorder="1" applyAlignment="1" applyProtection="1">
      <alignment horizontal="center" vertical="top"/>
      <protection locked="0"/>
    </xf>
    <xf numFmtId="0" fontId="0" fillId="2" borderId="56" xfId="0" applyFill="1" applyBorder="1" applyAlignment="1">
      <alignment horizontal="center" vertical="top"/>
    </xf>
    <xf numFmtId="0" fontId="2" fillId="18" borderId="67" xfId="0" applyFont="1" applyFill="1" applyBorder="1" applyAlignment="1">
      <alignment horizontal="left" vertical="center" wrapText="1"/>
    </xf>
    <xf numFmtId="0" fontId="2" fillId="18" borderId="31" xfId="0" applyFont="1" applyFill="1" applyBorder="1" applyAlignment="1">
      <alignment horizontal="left" vertical="center"/>
    </xf>
    <xf numFmtId="0" fontId="2" fillId="8" borderId="41" xfId="0" applyFont="1" applyFill="1" applyBorder="1" applyAlignment="1">
      <alignment horizontal="left" vertical="center" wrapText="1"/>
    </xf>
    <xf numFmtId="0" fontId="2" fillId="8" borderId="36" xfId="0" applyFont="1" applyFill="1" applyBorder="1" applyAlignment="1">
      <alignment horizontal="left" vertical="center" wrapText="1"/>
    </xf>
    <xf numFmtId="0" fontId="2" fillId="8" borderId="67" xfId="0" applyFont="1" applyFill="1" applyBorder="1" applyAlignment="1">
      <alignment horizontal="left" vertical="center" wrapText="1"/>
    </xf>
    <xf numFmtId="0" fontId="2" fillId="8" borderId="23" xfId="0" applyFont="1" applyFill="1" applyBorder="1" applyAlignment="1">
      <alignment horizontal="left" vertical="center"/>
    </xf>
    <xf numFmtId="0" fontId="2" fillId="8" borderId="40" xfId="0" applyFont="1" applyFill="1" applyBorder="1" applyAlignment="1">
      <alignment horizontal="left" vertical="center" wrapText="1"/>
    </xf>
    <xf numFmtId="0" fontId="2" fillId="8" borderId="31" xfId="0" applyFont="1" applyFill="1" applyBorder="1" applyAlignment="1">
      <alignment horizontal="left" vertical="center"/>
    </xf>
    <xf numFmtId="0" fontId="2" fillId="8" borderId="39" xfId="0" applyFont="1" applyFill="1" applyBorder="1" applyAlignment="1">
      <alignment horizontal="left" vertical="center" wrapText="1"/>
    </xf>
    <xf numFmtId="0" fontId="2" fillId="8" borderId="71" xfId="0" applyFont="1" applyFill="1" applyBorder="1" applyAlignment="1">
      <alignment horizontal="left" vertical="center" wrapText="1"/>
    </xf>
    <xf numFmtId="0" fontId="2" fillId="8" borderId="56" xfId="0" applyFont="1" applyFill="1" applyBorder="1" applyAlignment="1">
      <alignment horizontal="left" vertical="center" wrapText="1"/>
    </xf>
    <xf numFmtId="0" fontId="2" fillId="9" borderId="25" xfId="0" applyFont="1" applyFill="1" applyBorder="1" applyAlignment="1">
      <alignment horizontal="left" vertical="center" wrapText="1"/>
    </xf>
    <xf numFmtId="0" fontId="2" fillId="9" borderId="45" xfId="0" applyFont="1" applyFill="1" applyBorder="1" applyAlignment="1">
      <alignment horizontal="left" vertical="center" wrapText="1"/>
    </xf>
    <xf numFmtId="0" fontId="2" fillId="7" borderId="16" xfId="0" applyFont="1" applyFill="1" applyBorder="1" applyAlignment="1">
      <alignment vertical="top"/>
    </xf>
    <xf numFmtId="0" fontId="2" fillId="7" borderId="27" xfId="0" applyFont="1" applyFill="1" applyBorder="1" applyAlignment="1">
      <alignment vertical="top"/>
    </xf>
    <xf numFmtId="0" fontId="8" fillId="7" borderId="49" xfId="0" applyFont="1" applyFill="1" applyBorder="1" applyAlignment="1">
      <alignment horizontal="right" vertical="center" wrapText="1"/>
    </xf>
    <xf numFmtId="0" fontId="0" fillId="2" borderId="35" xfId="0" applyFill="1" applyBorder="1" applyAlignment="1">
      <alignment horizontal="center" vertical="top"/>
    </xf>
    <xf numFmtId="0" fontId="2" fillId="20" borderId="41" xfId="0" applyFont="1" applyFill="1" applyBorder="1" applyAlignment="1">
      <alignment vertical="top" wrapText="1"/>
    </xf>
    <xf numFmtId="0" fontId="2" fillId="20" borderId="67" xfId="0" applyFont="1" applyFill="1" applyBorder="1" applyAlignment="1">
      <alignment vertical="top" wrapText="1"/>
    </xf>
    <xf numFmtId="0" fontId="2" fillId="0" borderId="14" xfId="0" applyFont="1" applyBorder="1" applyAlignment="1">
      <alignment horizontal="center" vertical="center"/>
    </xf>
    <xf numFmtId="0" fontId="2" fillId="0" borderId="14" xfId="0" applyFont="1" applyBorder="1" applyAlignment="1">
      <alignment vertical="top"/>
    </xf>
    <xf numFmtId="0" fontId="2" fillId="0" borderId="0" xfId="0" applyFont="1"/>
    <xf numFmtId="0" fontId="2" fillId="2" borderId="23" xfId="0" applyFont="1" applyFill="1" applyBorder="1" applyAlignment="1">
      <alignment horizontal="center"/>
    </xf>
    <xf numFmtId="0" fontId="0" fillId="3" borderId="31" xfId="0" applyFill="1" applyBorder="1" applyAlignment="1">
      <alignment horizontal="center"/>
    </xf>
    <xf numFmtId="0" fontId="0" fillId="3" borderId="6" xfId="0" applyFill="1" applyBorder="1" applyAlignment="1">
      <alignment horizontal="center"/>
    </xf>
    <xf numFmtId="0" fontId="0" fillId="3" borderId="32" xfId="0" applyFill="1" applyBorder="1" applyAlignment="1">
      <alignment horizontal="center"/>
    </xf>
    <xf numFmtId="0" fontId="0" fillId="0" borderId="14" xfId="0" applyBorder="1" applyAlignment="1">
      <alignment horizontal="center"/>
    </xf>
    <xf numFmtId="0" fontId="9" fillId="7" borderId="63" xfId="0" applyFont="1" applyFill="1" applyBorder="1" applyAlignment="1" applyProtection="1">
      <alignment vertical="top" wrapText="1"/>
      <protection locked="0"/>
    </xf>
    <xf numFmtId="0" fontId="0" fillId="0" borderId="56" xfId="0" applyBorder="1" applyAlignment="1" applyProtection="1">
      <alignment horizontal="center" vertical="top"/>
      <protection locked="0"/>
    </xf>
    <xf numFmtId="0" fontId="9" fillId="7" borderId="64" xfId="0" applyFont="1" applyFill="1" applyBorder="1" applyAlignment="1" applyProtection="1">
      <alignment vertical="top" wrapText="1"/>
      <protection locked="0"/>
    </xf>
    <xf numFmtId="0" fontId="10" fillId="7" borderId="22" xfId="0" applyFont="1" applyFill="1" applyBorder="1" applyAlignment="1" applyProtection="1">
      <alignment vertical="top" wrapText="1"/>
      <protection locked="0"/>
    </xf>
    <xf numFmtId="0" fontId="10" fillId="7" borderId="47" xfId="0" applyFont="1" applyFill="1" applyBorder="1" applyAlignment="1" applyProtection="1">
      <alignment vertical="top" wrapText="1"/>
      <protection locked="0"/>
    </xf>
    <xf numFmtId="0" fontId="10" fillId="7" borderId="56" xfId="0" applyFont="1" applyFill="1" applyBorder="1" applyAlignment="1" applyProtection="1">
      <alignment vertical="top" wrapText="1"/>
      <protection locked="0"/>
    </xf>
    <xf numFmtId="0" fontId="10" fillId="7" borderId="64" xfId="0" applyFont="1" applyFill="1" applyBorder="1" applyAlignment="1" applyProtection="1">
      <alignment vertical="top" wrapText="1"/>
      <protection locked="0"/>
    </xf>
    <xf numFmtId="0" fontId="6" fillId="21" borderId="56" xfId="0" applyFont="1" applyFill="1" applyBorder="1" applyAlignment="1" applyProtection="1">
      <alignment vertical="top" wrapText="1"/>
      <protection locked="0"/>
    </xf>
    <xf numFmtId="0" fontId="6" fillId="21" borderId="22" xfId="0" applyFont="1" applyFill="1" applyBorder="1" applyAlignment="1" applyProtection="1">
      <alignment vertical="top" wrapText="1"/>
      <protection locked="0"/>
    </xf>
    <xf numFmtId="0" fontId="6" fillId="21" borderId="74" xfId="0" applyFont="1" applyFill="1" applyBorder="1" applyAlignment="1" applyProtection="1">
      <alignment vertical="top" wrapText="1"/>
      <protection locked="0"/>
    </xf>
    <xf numFmtId="0" fontId="6" fillId="21" borderId="64" xfId="0" applyFont="1" applyFill="1" applyBorder="1" applyAlignment="1" applyProtection="1">
      <alignment vertical="top" wrapText="1"/>
      <protection locked="0"/>
    </xf>
    <xf numFmtId="0" fontId="6" fillId="21" borderId="71" xfId="0" applyFont="1" applyFill="1" applyBorder="1" applyAlignment="1" applyProtection="1">
      <alignment vertical="top" wrapText="1"/>
      <protection locked="0"/>
    </xf>
    <xf numFmtId="2" fontId="7" fillId="0" borderId="17" xfId="0" applyNumberFormat="1" applyFont="1" applyBorder="1" applyAlignment="1" applyProtection="1">
      <alignment horizontal="center" vertical="center"/>
      <protection locked="0"/>
    </xf>
    <xf numFmtId="2" fontId="7" fillId="0" borderId="3" xfId="0" applyNumberFormat="1" applyFont="1" applyBorder="1" applyAlignment="1" applyProtection="1">
      <alignment horizontal="center" vertical="center"/>
      <protection locked="0"/>
    </xf>
    <xf numFmtId="2" fontId="7" fillId="0" borderId="5" xfId="0" applyNumberFormat="1" applyFont="1" applyBorder="1" applyAlignment="1" applyProtection="1">
      <alignment horizontal="center" vertical="center"/>
      <protection locked="0"/>
    </xf>
    <xf numFmtId="2" fontId="7" fillId="0" borderId="20" xfId="0" applyNumberFormat="1" applyFont="1" applyBorder="1" applyAlignment="1" applyProtection="1">
      <alignment horizontal="center" vertical="center"/>
      <protection locked="0"/>
    </xf>
    <xf numFmtId="2" fontId="7" fillId="0" borderId="12" xfId="0" applyNumberFormat="1" applyFont="1" applyBorder="1" applyAlignment="1" applyProtection="1">
      <alignment horizontal="center" vertical="center"/>
      <protection locked="0"/>
    </xf>
    <xf numFmtId="0" fontId="9" fillId="0" borderId="33" xfId="0" applyFont="1" applyBorder="1" applyAlignment="1" applyProtection="1">
      <alignment horizontal="left" vertical="center" wrapText="1"/>
      <protection locked="0"/>
    </xf>
    <xf numFmtId="0" fontId="9" fillId="0" borderId="47" xfId="0" applyFont="1" applyBorder="1" applyAlignment="1" applyProtection="1">
      <alignment horizontal="left" vertical="center" wrapText="1"/>
      <protection locked="0"/>
    </xf>
    <xf numFmtId="0" fontId="9" fillId="0" borderId="6" xfId="0" applyFont="1" applyBorder="1" applyAlignment="1" applyProtection="1">
      <alignment horizontal="left" vertical="center" wrapText="1"/>
      <protection locked="0"/>
    </xf>
    <xf numFmtId="0" fontId="7" fillId="2" borderId="5" xfId="0" applyFont="1" applyFill="1" applyBorder="1" applyAlignment="1">
      <alignment horizontal="center" vertical="center"/>
    </xf>
    <xf numFmtId="0" fontId="7" fillId="23" borderId="4" xfId="0" applyFont="1" applyFill="1" applyBorder="1" applyAlignment="1">
      <alignment horizontal="left" vertical="center"/>
    </xf>
    <xf numFmtId="0" fontId="7" fillId="23" borderId="76" xfId="0" applyFont="1" applyFill="1" applyBorder="1" applyAlignment="1">
      <alignment horizontal="left" vertical="center"/>
    </xf>
    <xf numFmtId="0" fontId="7" fillId="23" borderId="5" xfId="0" applyFont="1" applyFill="1" applyBorder="1" applyAlignment="1">
      <alignment horizontal="left" vertical="center"/>
    </xf>
    <xf numFmtId="0" fontId="7" fillId="2" borderId="19" xfId="0" applyFont="1" applyFill="1" applyBorder="1" applyAlignment="1">
      <alignment horizontal="center" vertical="center"/>
    </xf>
    <xf numFmtId="2" fontId="2" fillId="2" borderId="57" xfId="0" applyNumberFormat="1" applyFont="1" applyFill="1" applyBorder="1" applyAlignment="1">
      <alignment horizontal="center" vertical="center"/>
    </xf>
    <xf numFmtId="0" fontId="12" fillId="0" borderId="0" xfId="0" applyFont="1" applyAlignment="1">
      <alignment horizontal="center" vertical="center"/>
    </xf>
    <xf numFmtId="0" fontId="12" fillId="0" borderId="0" xfId="0" applyFont="1" applyAlignment="1">
      <alignment horizontal="left" vertical="center"/>
    </xf>
    <xf numFmtId="0" fontId="4" fillId="30" borderId="1" xfId="0" applyFont="1" applyFill="1" applyBorder="1" applyAlignment="1">
      <alignment horizontal="left"/>
    </xf>
    <xf numFmtId="0" fontId="3" fillId="30" borderId="1" xfId="0" applyFont="1" applyFill="1" applyBorder="1" applyAlignment="1">
      <alignment horizontal="left" vertical="top" wrapText="1" indent="2"/>
    </xf>
    <xf numFmtId="0" fontId="12" fillId="6" borderId="21" xfId="0" applyFont="1" applyFill="1" applyBorder="1" applyAlignment="1">
      <alignment horizontal="left" vertical="center" wrapText="1"/>
    </xf>
    <xf numFmtId="0" fontId="0" fillId="0" borderId="15" xfId="0" applyBorder="1" applyAlignment="1">
      <alignment horizontal="center" wrapText="1"/>
    </xf>
    <xf numFmtId="0" fontId="2" fillId="4" borderId="28" xfId="0" applyFont="1" applyFill="1" applyBorder="1" applyAlignment="1">
      <alignment horizontal="center" wrapText="1"/>
    </xf>
    <xf numFmtId="0" fontId="7" fillId="0" borderId="33" xfId="0" applyFont="1" applyBorder="1" applyAlignment="1">
      <alignment horizontal="center" vertical="center" wrapText="1"/>
    </xf>
    <xf numFmtId="0" fontId="7" fillId="0" borderId="34" xfId="0" quotePrefix="1" applyFont="1" applyBorder="1" applyAlignment="1">
      <alignment horizontal="center" vertical="center" wrapText="1"/>
    </xf>
    <xf numFmtId="0" fontId="7" fillId="0" borderId="78" xfId="0" applyFont="1" applyBorder="1" applyAlignment="1">
      <alignment horizontal="center" vertical="center" wrapText="1"/>
    </xf>
    <xf numFmtId="0" fontId="22" fillId="30" borderId="28" xfId="0" applyFont="1" applyFill="1" applyBorder="1" applyAlignment="1">
      <alignment horizontal="center" vertical="center" wrapText="1"/>
    </xf>
    <xf numFmtId="0" fontId="2" fillId="4" borderId="45" xfId="0" applyFont="1" applyFill="1" applyBorder="1" applyAlignment="1">
      <alignment horizontal="center" vertical="center" wrapText="1"/>
    </xf>
    <xf numFmtId="0" fontId="22" fillId="30" borderId="45" xfId="0" applyFont="1" applyFill="1" applyBorder="1" applyAlignment="1">
      <alignment horizontal="center" vertical="center" wrapText="1"/>
    </xf>
    <xf numFmtId="0" fontId="0" fillId="0" borderId="56" xfId="0" applyBorder="1" applyAlignment="1">
      <alignment horizontal="center" vertical="center" wrapText="1"/>
    </xf>
    <xf numFmtId="0" fontId="0" fillId="0" borderId="47" xfId="0" applyBorder="1" applyAlignment="1">
      <alignment horizontal="center" vertical="center" wrapText="1"/>
    </xf>
    <xf numFmtId="0" fontId="7" fillId="0" borderId="72" xfId="0" quotePrefix="1" applyFont="1" applyBorder="1" applyAlignment="1">
      <alignment horizontal="center" vertical="center" wrapText="1"/>
    </xf>
    <xf numFmtId="0" fontId="22" fillId="30" borderId="8" xfId="0" applyFont="1" applyFill="1" applyBorder="1" applyAlignment="1">
      <alignment horizontal="center" vertical="center" wrapText="1"/>
    </xf>
    <xf numFmtId="0" fontId="2" fillId="28" borderId="11" xfId="0" applyFont="1" applyFill="1" applyBorder="1" applyAlignment="1">
      <alignment horizontal="center" vertical="center" wrapText="1"/>
    </xf>
    <xf numFmtId="0" fontId="2" fillId="29" borderId="12" xfId="0" applyFont="1" applyFill="1" applyBorder="1" applyAlignment="1">
      <alignment horizontal="center" vertical="center" wrapText="1"/>
    </xf>
    <xf numFmtId="0" fontId="2" fillId="27" borderId="12" xfId="0" applyFont="1" applyFill="1" applyBorder="1" applyAlignment="1">
      <alignment horizontal="center" vertical="center" wrapText="1"/>
    </xf>
    <xf numFmtId="0" fontId="2" fillId="10" borderId="12" xfId="0" applyFont="1" applyFill="1" applyBorder="1" applyAlignment="1">
      <alignment horizontal="center" vertical="center" wrapText="1"/>
    </xf>
    <xf numFmtId="0" fontId="2" fillId="0" borderId="44" xfId="0" applyFont="1" applyBorder="1" applyAlignment="1">
      <alignment horizontal="center" vertical="center" wrapText="1"/>
    </xf>
    <xf numFmtId="2" fontId="7" fillId="0" borderId="0" xfId="0" quotePrefix="1" applyNumberFormat="1" applyFont="1" applyAlignment="1">
      <alignment horizontal="center"/>
    </xf>
    <xf numFmtId="2" fontId="13" fillId="0" borderId="0" xfId="0" applyNumberFormat="1" applyFont="1" applyAlignment="1">
      <alignment horizontal="left"/>
    </xf>
    <xf numFmtId="2" fontId="0" fillId="0" borderId="0" xfId="0" applyNumberFormat="1" applyAlignment="1">
      <alignment horizontal="center"/>
    </xf>
    <xf numFmtId="0" fontId="0" fillId="0" borderId="40" xfId="0" applyBorder="1" applyAlignment="1">
      <alignment horizontal="center"/>
    </xf>
    <xf numFmtId="0" fontId="7" fillId="2" borderId="77" xfId="0" applyFont="1" applyFill="1" applyBorder="1" applyAlignment="1">
      <alignment horizontal="center" vertical="center"/>
    </xf>
    <xf numFmtId="0" fontId="7" fillId="2" borderId="17" xfId="0" applyFont="1" applyFill="1" applyBorder="1" applyAlignment="1">
      <alignment horizontal="center" vertical="center"/>
    </xf>
    <xf numFmtId="0" fontId="2" fillId="15" borderId="21" xfId="0" applyFont="1" applyFill="1" applyBorder="1" applyAlignment="1">
      <alignment vertical="center"/>
    </xf>
    <xf numFmtId="0" fontId="2" fillId="13" borderId="21" xfId="0" applyFont="1" applyFill="1" applyBorder="1" applyAlignment="1">
      <alignment vertical="center"/>
    </xf>
    <xf numFmtId="0" fontId="2" fillId="17" borderId="21" xfId="0" applyFont="1" applyFill="1" applyBorder="1" applyAlignment="1">
      <alignment vertical="center"/>
    </xf>
    <xf numFmtId="0" fontId="2" fillId="9" borderId="21" xfId="0" applyFont="1" applyFill="1" applyBorder="1" applyAlignment="1">
      <alignment vertical="center"/>
    </xf>
    <xf numFmtId="0" fontId="2" fillId="22" borderId="21" xfId="0" applyFont="1" applyFill="1" applyBorder="1" applyAlignment="1">
      <alignment horizontal="left" vertical="center"/>
    </xf>
    <xf numFmtId="0" fontId="7" fillId="2" borderId="79" xfId="0" applyFont="1" applyFill="1" applyBorder="1" applyAlignment="1">
      <alignment horizontal="center" vertical="center"/>
    </xf>
    <xf numFmtId="0" fontId="12" fillId="0" borderId="0" xfId="0" applyFont="1"/>
    <xf numFmtId="0" fontId="7" fillId="2" borderId="14" xfId="0" applyFont="1" applyFill="1" applyBorder="1" applyAlignment="1">
      <alignment horizontal="center" vertical="center"/>
    </xf>
    <xf numFmtId="0" fontId="0" fillId="0" borderId="74" xfId="0" applyBorder="1" applyAlignment="1" applyProtection="1">
      <alignment horizontal="center" vertical="top"/>
      <protection locked="0"/>
    </xf>
    <xf numFmtId="0" fontId="0" fillId="2" borderId="57" xfId="0" applyFill="1" applyBorder="1" applyAlignment="1">
      <alignment horizontal="center" vertical="top"/>
    </xf>
    <xf numFmtId="0" fontId="2" fillId="32" borderId="40" xfId="0" applyFont="1" applyFill="1" applyBorder="1" applyAlignment="1">
      <alignment horizontal="left" vertical="center" wrapText="1"/>
    </xf>
    <xf numFmtId="0" fontId="2" fillId="32" borderId="23" xfId="0" applyFont="1" applyFill="1" applyBorder="1" applyAlignment="1">
      <alignment horizontal="left" vertical="center"/>
    </xf>
    <xf numFmtId="0" fontId="2" fillId="24" borderId="41" xfId="0" applyFont="1" applyFill="1" applyBorder="1" applyAlignment="1">
      <alignment vertical="top" wrapText="1"/>
    </xf>
    <xf numFmtId="0" fontId="2" fillId="24" borderId="67" xfId="0" applyFont="1" applyFill="1" applyBorder="1" applyAlignment="1">
      <alignment vertical="top" wrapText="1"/>
    </xf>
    <xf numFmtId="0" fontId="6" fillId="33" borderId="56" xfId="0" applyFont="1" applyFill="1" applyBorder="1" applyAlignment="1" applyProtection="1">
      <alignment vertical="top" wrapText="1"/>
      <protection locked="0"/>
    </xf>
    <xf numFmtId="0" fontId="2" fillId="33" borderId="49" xfId="0" applyFont="1" applyFill="1" applyBorder="1" applyAlignment="1">
      <alignment vertical="top"/>
    </xf>
    <xf numFmtId="0" fontId="6" fillId="33" borderId="64" xfId="0" applyFont="1" applyFill="1" applyBorder="1" applyAlignment="1" applyProtection="1">
      <alignment vertical="top" wrapText="1"/>
      <protection locked="0"/>
    </xf>
    <xf numFmtId="0" fontId="6" fillId="33" borderId="71" xfId="0" applyFont="1" applyFill="1" applyBorder="1" applyAlignment="1" applyProtection="1">
      <alignment vertical="top" wrapText="1"/>
      <protection locked="0"/>
    </xf>
    <xf numFmtId="0" fontId="6" fillId="33" borderId="74" xfId="0" applyFont="1" applyFill="1" applyBorder="1" applyAlignment="1" applyProtection="1">
      <alignment vertical="top" wrapText="1"/>
      <protection locked="0"/>
    </xf>
    <xf numFmtId="0" fontId="7" fillId="32" borderId="27" xfId="0" applyFont="1" applyFill="1" applyBorder="1" applyAlignment="1">
      <alignment vertical="center"/>
    </xf>
    <xf numFmtId="2" fontId="7" fillId="32" borderId="27" xfId="0" applyNumberFormat="1" applyFont="1" applyFill="1" applyBorder="1" applyAlignment="1">
      <alignment horizontal="center" vertical="center"/>
    </xf>
    <xf numFmtId="0" fontId="7" fillId="32" borderId="15" xfId="0" applyFont="1" applyFill="1" applyBorder="1" applyAlignment="1">
      <alignment horizontal="center" vertical="center"/>
    </xf>
    <xf numFmtId="0" fontId="7" fillId="24" borderId="14" xfId="0" applyFont="1" applyFill="1" applyBorder="1" applyAlignment="1">
      <alignment horizontal="right" vertical="center"/>
    </xf>
    <xf numFmtId="0" fontId="7" fillId="2" borderId="15" xfId="0" applyFont="1" applyFill="1" applyBorder="1" applyAlignment="1">
      <alignment vertical="center"/>
    </xf>
    <xf numFmtId="0" fontId="7" fillId="24" borderId="4" xfId="0" applyFont="1" applyFill="1" applyBorder="1" applyAlignment="1">
      <alignment horizontal="left" vertical="center" wrapText="1"/>
    </xf>
    <xf numFmtId="0" fontId="7" fillId="24" borderId="17" xfId="0" applyFont="1" applyFill="1" applyBorder="1" applyAlignment="1">
      <alignment horizontal="left" vertical="center" wrapText="1"/>
    </xf>
    <xf numFmtId="0" fontId="7" fillId="24" borderId="20" xfId="0" applyFont="1" applyFill="1" applyBorder="1" applyAlignment="1">
      <alignment horizontal="left" vertical="center" wrapText="1"/>
    </xf>
    <xf numFmtId="0" fontId="2" fillId="32" borderId="16" xfId="0" applyFont="1" applyFill="1" applyBorder="1" applyAlignment="1">
      <alignment horizontal="left" vertical="center" wrapText="1"/>
    </xf>
    <xf numFmtId="0" fontId="0" fillId="3" borderId="68" xfId="0" applyFill="1" applyBorder="1" applyAlignment="1">
      <alignment horizontal="center"/>
    </xf>
    <xf numFmtId="0" fontId="6" fillId="10" borderId="66" xfId="0" applyFont="1" applyFill="1" applyBorder="1" applyAlignment="1">
      <alignment horizontal="center" vertical="center"/>
    </xf>
    <xf numFmtId="0" fontId="6" fillId="33" borderId="22" xfId="0" applyFont="1" applyFill="1" applyBorder="1" applyAlignment="1">
      <alignment vertical="top" wrapText="1"/>
    </xf>
    <xf numFmtId="0" fontId="6" fillId="33" borderId="22" xfId="0" applyFont="1" applyFill="1" applyBorder="1"/>
    <xf numFmtId="0" fontId="7" fillId="0" borderId="0" xfId="0" applyFont="1" applyAlignment="1">
      <alignment vertical="top"/>
    </xf>
    <xf numFmtId="0" fontId="0" fillId="0" borderId="66" xfId="0" applyBorder="1"/>
    <xf numFmtId="0" fontId="2" fillId="8" borderId="38" xfId="0" applyFont="1" applyFill="1" applyBorder="1" applyAlignment="1">
      <alignment horizontal="left" vertical="center"/>
    </xf>
    <xf numFmtId="2" fontId="0" fillId="30" borderId="30" xfId="0" applyNumberFormat="1" applyFill="1" applyBorder="1" applyAlignment="1">
      <alignment horizontal="center" vertical="center"/>
    </xf>
    <xf numFmtId="0" fontId="2" fillId="30" borderId="18" xfId="0" applyFont="1" applyFill="1" applyBorder="1" applyAlignment="1">
      <alignment horizontal="center" vertical="center"/>
    </xf>
    <xf numFmtId="2" fontId="0" fillId="30" borderId="33" xfId="0" applyNumberFormat="1" applyFill="1" applyBorder="1" applyAlignment="1">
      <alignment horizontal="center" vertical="center"/>
    </xf>
    <xf numFmtId="0" fontId="2" fillId="30" borderId="12" xfId="0" applyFont="1" applyFill="1" applyBorder="1" applyAlignment="1">
      <alignment horizontal="center" vertical="center"/>
    </xf>
    <xf numFmtId="2" fontId="0" fillId="30" borderId="59" xfId="0" applyNumberFormat="1" applyFill="1" applyBorder="1" applyAlignment="1">
      <alignment horizontal="center" vertical="center"/>
    </xf>
    <xf numFmtId="2" fontId="0" fillId="30" borderId="34" xfId="0" applyNumberFormat="1" applyFill="1" applyBorder="1" applyAlignment="1">
      <alignment horizontal="center" vertical="center"/>
    </xf>
    <xf numFmtId="0" fontId="2" fillId="30" borderId="44" xfId="0" applyFont="1" applyFill="1" applyBorder="1" applyAlignment="1">
      <alignment horizontal="center" vertical="center"/>
    </xf>
    <xf numFmtId="2" fontId="6" fillId="4" borderId="4" xfId="0" applyNumberFormat="1" applyFont="1" applyFill="1" applyBorder="1" applyAlignment="1">
      <alignment horizontal="center" vertical="center"/>
    </xf>
    <xf numFmtId="2" fontId="6" fillId="4" borderId="3" xfId="0" applyNumberFormat="1" applyFont="1" applyFill="1" applyBorder="1" applyAlignment="1">
      <alignment horizontal="center" vertical="center"/>
    </xf>
    <xf numFmtId="2" fontId="6" fillId="4" borderId="52" xfId="0" applyNumberFormat="1" applyFont="1" applyFill="1" applyBorder="1" applyAlignment="1">
      <alignment horizontal="center" vertical="center"/>
    </xf>
    <xf numFmtId="0" fontId="2" fillId="2" borderId="54" xfId="0" applyFont="1" applyFill="1" applyBorder="1" applyAlignment="1">
      <alignment vertical="center"/>
    </xf>
    <xf numFmtId="0" fontId="2" fillId="5" borderId="57" xfId="0" applyFont="1" applyFill="1" applyBorder="1" applyAlignment="1" applyProtection="1">
      <alignment horizontal="center" vertical="center"/>
      <protection locked="0"/>
    </xf>
    <xf numFmtId="0" fontId="11" fillId="5" borderId="57" xfId="0" applyFont="1" applyFill="1" applyBorder="1" applyAlignment="1" applyProtection="1">
      <alignment horizontal="left" vertical="center" wrapText="1"/>
      <protection locked="0"/>
    </xf>
    <xf numFmtId="0" fontId="11" fillId="5" borderId="58" xfId="0" applyFont="1" applyFill="1" applyBorder="1" applyAlignment="1" applyProtection="1">
      <alignment horizontal="left" vertical="center" wrapText="1"/>
      <protection locked="0"/>
    </xf>
    <xf numFmtId="0" fontId="2" fillId="4" borderId="25" xfId="0" applyFont="1" applyFill="1" applyBorder="1" applyAlignment="1">
      <alignment vertical="center"/>
    </xf>
    <xf numFmtId="0" fontId="2" fillId="4" borderId="24" xfId="0" applyFont="1" applyFill="1" applyBorder="1"/>
    <xf numFmtId="0" fontId="8" fillId="30" borderId="38" xfId="0" applyFont="1" applyFill="1" applyBorder="1" applyAlignment="1">
      <alignment horizontal="center" vertical="center"/>
    </xf>
    <xf numFmtId="0" fontId="8" fillId="30" borderId="42" xfId="0" applyFont="1" applyFill="1" applyBorder="1" applyAlignment="1">
      <alignment horizontal="center" vertical="center"/>
    </xf>
    <xf numFmtId="0" fontId="8" fillId="30" borderId="53" xfId="0" applyFont="1" applyFill="1" applyBorder="1" applyAlignment="1">
      <alignment horizontal="center" vertical="center"/>
    </xf>
    <xf numFmtId="2" fontId="7" fillId="30" borderId="31" xfId="0" applyNumberFormat="1" applyFont="1" applyFill="1" applyBorder="1" applyAlignment="1">
      <alignment horizontal="center" vertical="center"/>
    </xf>
    <xf numFmtId="0" fontId="7" fillId="30" borderId="4" xfId="0" applyFont="1" applyFill="1" applyBorder="1" applyAlignment="1">
      <alignment horizontal="center" vertical="center"/>
    </xf>
    <xf numFmtId="0" fontId="7" fillId="30" borderId="10" xfId="0" applyFont="1" applyFill="1" applyBorder="1" applyAlignment="1">
      <alignment horizontal="center" vertical="center"/>
    </xf>
    <xf numFmtId="2" fontId="7" fillId="30" borderId="6" xfId="0" applyNumberFormat="1" applyFont="1" applyFill="1" applyBorder="1" applyAlignment="1">
      <alignment horizontal="center" vertical="center"/>
    </xf>
    <xf numFmtId="0" fontId="7" fillId="30" borderId="19" xfId="0" applyFont="1" applyFill="1" applyBorder="1" applyAlignment="1">
      <alignment horizontal="center" vertical="center"/>
    </xf>
    <xf numFmtId="0" fontId="7" fillId="30" borderId="12" xfId="0" applyFont="1" applyFill="1" applyBorder="1" applyAlignment="1">
      <alignment horizontal="center" vertical="center"/>
    </xf>
    <xf numFmtId="0" fontId="7" fillId="30" borderId="3" xfId="0" applyFont="1" applyFill="1" applyBorder="1" applyAlignment="1">
      <alignment horizontal="center" vertical="center"/>
    </xf>
    <xf numFmtId="2" fontId="7" fillId="30" borderId="7" xfId="0" applyNumberFormat="1" applyFont="1" applyFill="1" applyBorder="1" applyAlignment="1">
      <alignment horizontal="center" vertical="center"/>
    </xf>
    <xf numFmtId="0" fontId="7" fillId="30" borderId="48" xfId="0" applyFont="1" applyFill="1" applyBorder="1" applyAlignment="1">
      <alignment horizontal="center" vertical="center"/>
    </xf>
    <xf numFmtId="2" fontId="7" fillId="30" borderId="77" xfId="0" quotePrefix="1" applyNumberFormat="1" applyFont="1" applyFill="1" applyBorder="1" applyAlignment="1">
      <alignment horizontal="center"/>
    </xf>
    <xf numFmtId="0" fontId="7" fillId="30" borderId="15" xfId="0" applyFont="1" applyFill="1" applyBorder="1" applyAlignment="1">
      <alignment horizontal="center" vertical="center"/>
    </xf>
    <xf numFmtId="0" fontId="2" fillId="30" borderId="25" xfId="0" applyFont="1" applyFill="1" applyBorder="1" applyAlignment="1">
      <alignment vertical="center"/>
    </xf>
    <xf numFmtId="0" fontId="2" fillId="30" borderId="27" xfId="0" applyFont="1" applyFill="1" applyBorder="1" applyAlignment="1">
      <alignment vertical="center"/>
    </xf>
    <xf numFmtId="2" fontId="7" fillId="30" borderId="17" xfId="0" applyNumberFormat="1" applyFont="1" applyFill="1" applyBorder="1" applyAlignment="1">
      <alignment horizontal="center" vertical="center"/>
    </xf>
    <xf numFmtId="0" fontId="7" fillId="30" borderId="9" xfId="0" applyFont="1" applyFill="1" applyBorder="1" applyAlignment="1">
      <alignment horizontal="center" vertical="center"/>
    </xf>
    <xf numFmtId="2" fontId="7" fillId="30" borderId="3" xfId="0" applyNumberFormat="1" applyFont="1" applyFill="1" applyBorder="1" applyAlignment="1">
      <alignment horizontal="center" vertical="center"/>
    </xf>
    <xf numFmtId="2" fontId="7" fillId="30" borderId="5" xfId="0" applyNumberFormat="1" applyFont="1" applyFill="1" applyBorder="1" applyAlignment="1">
      <alignment horizontal="center" vertical="center"/>
    </xf>
    <xf numFmtId="2" fontId="7" fillId="30" borderId="0" xfId="0" quotePrefix="1" applyNumberFormat="1" applyFont="1" applyFill="1" applyAlignment="1">
      <alignment horizontal="center"/>
    </xf>
    <xf numFmtId="0" fontId="7" fillId="30" borderId="77" xfId="0" applyFont="1" applyFill="1" applyBorder="1" applyAlignment="1">
      <alignment horizontal="center" vertical="center"/>
    </xf>
    <xf numFmtId="0" fontId="7" fillId="30" borderId="76" xfId="0" applyFont="1" applyFill="1" applyBorder="1" applyAlignment="1">
      <alignment horizontal="center" vertical="center"/>
    </xf>
    <xf numFmtId="0" fontId="7" fillId="30" borderId="36" xfId="0" applyFont="1" applyFill="1" applyBorder="1" applyAlignment="1">
      <alignment horizontal="center" vertical="center"/>
    </xf>
    <xf numFmtId="0" fontId="7" fillId="30" borderId="5" xfId="0" applyFont="1" applyFill="1" applyBorder="1" applyAlignment="1">
      <alignment horizontal="center" vertical="center"/>
    </xf>
    <xf numFmtId="0" fontId="7" fillId="30" borderId="17" xfId="0" applyFont="1" applyFill="1" applyBorder="1" applyAlignment="1">
      <alignment horizontal="center" vertical="center"/>
    </xf>
    <xf numFmtId="2" fontId="7" fillId="30" borderId="40" xfId="0" quotePrefix="1" applyNumberFormat="1" applyFont="1" applyFill="1" applyBorder="1" applyAlignment="1">
      <alignment horizontal="center"/>
    </xf>
    <xf numFmtId="0" fontId="7" fillId="30" borderId="27" xfId="0" applyFont="1" applyFill="1" applyBorder="1" applyAlignment="1">
      <alignment horizontal="center" vertical="center"/>
    </xf>
    <xf numFmtId="2" fontId="7" fillId="30" borderId="10" xfId="0" quotePrefix="1" applyNumberFormat="1" applyFont="1" applyFill="1" applyBorder="1" applyAlignment="1">
      <alignment horizontal="center"/>
    </xf>
    <xf numFmtId="2" fontId="7" fillId="30" borderId="60" xfId="0" quotePrefix="1" applyNumberFormat="1" applyFont="1" applyFill="1" applyBorder="1" applyAlignment="1">
      <alignment horizontal="center"/>
    </xf>
    <xf numFmtId="2" fontId="7" fillId="30" borderId="13" xfId="0" quotePrefix="1" applyNumberFormat="1" applyFont="1" applyFill="1" applyBorder="1" applyAlignment="1">
      <alignment horizontal="center"/>
    </xf>
    <xf numFmtId="2" fontId="2" fillId="30" borderId="25" xfId="0" applyNumberFormat="1" applyFont="1" applyFill="1" applyBorder="1" applyAlignment="1">
      <alignment horizontal="left" vertical="center"/>
    </xf>
    <xf numFmtId="0" fontId="2" fillId="30" borderId="25" xfId="0" applyFont="1" applyFill="1" applyBorder="1" applyAlignment="1">
      <alignment horizontal="left" vertical="center"/>
    </xf>
    <xf numFmtId="2" fontId="7" fillId="30" borderId="19" xfId="0" applyNumberFormat="1" applyFont="1" applyFill="1" applyBorder="1" applyAlignment="1">
      <alignment horizontal="center" vertical="center"/>
    </xf>
    <xf numFmtId="0" fontId="7" fillId="30" borderId="1" xfId="0" applyFont="1" applyFill="1" applyBorder="1" applyAlignment="1">
      <alignment horizontal="center" vertical="center"/>
    </xf>
    <xf numFmtId="0" fontId="2" fillId="4" borderId="24" xfId="0" applyFont="1" applyFill="1" applyBorder="1" applyAlignment="1">
      <alignment horizontal="left" vertical="center"/>
    </xf>
    <xf numFmtId="14" fontId="2" fillId="4" borderId="21" xfId="0" quotePrefix="1" applyNumberFormat="1" applyFont="1" applyFill="1" applyBorder="1" applyAlignment="1">
      <alignment horizontal="left" vertical="center"/>
    </xf>
    <xf numFmtId="0" fontId="2" fillId="4" borderId="24" xfId="0" applyFont="1" applyFill="1" applyBorder="1" applyAlignment="1">
      <alignment horizontal="center" vertical="center"/>
    </xf>
    <xf numFmtId="0" fontId="16" fillId="4" borderId="24" xfId="0" applyFont="1" applyFill="1" applyBorder="1" applyAlignment="1">
      <alignment horizontal="left"/>
    </xf>
    <xf numFmtId="0" fontId="21" fillId="4" borderId="21" xfId="0" applyFont="1" applyFill="1" applyBorder="1"/>
    <xf numFmtId="0" fontId="0" fillId="4" borderId="0" xfId="0" applyFill="1" applyAlignment="1">
      <alignment horizontal="center"/>
    </xf>
    <xf numFmtId="0" fontId="0" fillId="4" borderId="24" xfId="0" applyFill="1" applyBorder="1"/>
    <xf numFmtId="0" fontId="0" fillId="4" borderId="25" xfId="0" applyFill="1" applyBorder="1"/>
    <xf numFmtId="0" fontId="18" fillId="4" borderId="22" xfId="0" applyFont="1" applyFill="1" applyBorder="1" applyAlignment="1">
      <alignment horizontal="center"/>
    </xf>
    <xf numFmtId="0" fontId="2" fillId="4" borderId="8" xfId="0" applyFont="1" applyFill="1" applyBorder="1" applyAlignment="1">
      <alignment horizontal="center" vertical="center"/>
    </xf>
    <xf numFmtId="0" fontId="6" fillId="4" borderId="22" xfId="0" applyFont="1" applyFill="1" applyBorder="1" applyAlignment="1">
      <alignment vertical="center"/>
    </xf>
    <xf numFmtId="0" fontId="6" fillId="30" borderId="22" xfId="0" applyFont="1" applyFill="1" applyBorder="1" applyAlignment="1">
      <alignment vertical="center"/>
    </xf>
    <xf numFmtId="0" fontId="6" fillId="30" borderId="35" xfId="0" applyFont="1" applyFill="1" applyBorder="1" applyAlignment="1">
      <alignment vertical="center"/>
    </xf>
    <xf numFmtId="0" fontId="6" fillId="30" borderId="22" xfId="0" applyFont="1" applyFill="1" applyBorder="1" applyAlignment="1">
      <alignment vertical="top" wrapText="1"/>
    </xf>
    <xf numFmtId="0" fontId="18" fillId="30" borderId="22" xfId="0" applyFont="1" applyFill="1" applyBorder="1" applyAlignment="1">
      <alignment vertical="center"/>
    </xf>
    <xf numFmtId="0" fontId="6" fillId="30" borderId="22" xfId="0" applyFont="1" applyFill="1" applyBorder="1"/>
    <xf numFmtId="0" fontId="6" fillId="30" borderId="22" xfId="0" applyFont="1" applyFill="1" applyBorder="1" applyAlignment="1">
      <alignment horizontal="left" vertical="center" wrapText="1"/>
    </xf>
    <xf numFmtId="0" fontId="17" fillId="30" borderId="22" xfId="0" applyFont="1" applyFill="1" applyBorder="1" applyAlignment="1">
      <alignment vertical="center"/>
    </xf>
    <xf numFmtId="0" fontId="6" fillId="30" borderId="47" xfId="0" applyFont="1" applyFill="1" applyBorder="1"/>
    <xf numFmtId="0" fontId="6" fillId="30" borderId="63" xfId="0" applyFont="1" applyFill="1" applyBorder="1"/>
    <xf numFmtId="0" fontId="6" fillId="30" borderId="22" xfId="0" applyFont="1" applyFill="1" applyBorder="1" applyAlignment="1">
      <alignment vertical="top"/>
    </xf>
    <xf numFmtId="0" fontId="6" fillId="30" borderId="47" xfId="0" applyFont="1" applyFill="1" applyBorder="1" applyAlignment="1">
      <alignment vertical="top"/>
    </xf>
    <xf numFmtId="0" fontId="4" fillId="30" borderId="2" xfId="0" applyFont="1" applyFill="1" applyBorder="1" applyAlignment="1">
      <alignment horizontal="left" vertical="top"/>
    </xf>
    <xf numFmtId="0" fontId="7" fillId="0" borderId="2" xfId="0" applyFont="1" applyBorder="1" applyAlignment="1">
      <alignment horizontal="center" vertical="top"/>
    </xf>
    <xf numFmtId="0" fontId="2" fillId="2" borderId="22" xfId="0" applyFont="1" applyFill="1" applyBorder="1" applyAlignment="1">
      <alignment horizontal="center" vertical="center"/>
    </xf>
    <xf numFmtId="0" fontId="12" fillId="6" borderId="8" xfId="0" applyFont="1" applyFill="1" applyBorder="1" applyAlignment="1">
      <alignment horizontal="center" vertical="center"/>
    </xf>
    <xf numFmtId="0" fontId="3" fillId="0" borderId="58" xfId="0" applyFont="1" applyBorder="1" applyAlignment="1">
      <alignment horizontal="left" vertical="top" wrapText="1" indent="2"/>
    </xf>
    <xf numFmtId="0" fontId="0" fillId="0" borderId="82" xfId="0" applyBorder="1" applyAlignment="1">
      <alignment horizontal="center" vertical="top"/>
    </xf>
    <xf numFmtId="0" fontId="3" fillId="0" borderId="83" xfId="0" applyFont="1" applyBorder="1" applyAlignment="1">
      <alignment horizontal="left" vertical="top" wrapText="1" indent="2"/>
    </xf>
    <xf numFmtId="0" fontId="2" fillId="24" borderId="31" xfId="0" applyFont="1" applyFill="1" applyBorder="1" applyAlignment="1">
      <alignment vertical="center"/>
    </xf>
    <xf numFmtId="0" fontId="2" fillId="23" borderId="31" xfId="0" applyFont="1" applyFill="1" applyBorder="1" applyAlignment="1">
      <alignment vertical="center"/>
    </xf>
    <xf numFmtId="0" fontId="2" fillId="20" borderId="31" xfId="0" applyFont="1" applyFill="1" applyBorder="1" applyAlignment="1">
      <alignment vertical="center"/>
    </xf>
    <xf numFmtId="0" fontId="2" fillId="16" borderId="0" xfId="0" applyFont="1" applyFill="1" applyAlignment="1">
      <alignment horizontal="left" vertical="center"/>
    </xf>
    <xf numFmtId="0" fontId="16" fillId="4" borderId="24" xfId="0" applyFont="1" applyFill="1" applyBorder="1" applyAlignment="1">
      <alignment vertical="center"/>
    </xf>
    <xf numFmtId="0" fontId="7" fillId="30" borderId="79" xfId="0" applyFont="1" applyFill="1" applyBorder="1" applyAlignment="1">
      <alignment horizontal="center" vertical="center"/>
    </xf>
    <xf numFmtId="0" fontId="0" fillId="4" borderId="2" xfId="0" applyFill="1" applyBorder="1"/>
    <xf numFmtId="0" fontId="7" fillId="0" borderId="10" xfId="0" applyFont="1" applyBorder="1" applyAlignment="1" applyProtection="1">
      <alignment vertical="center"/>
      <protection locked="0"/>
    </xf>
    <xf numFmtId="0" fontId="7" fillId="0" borderId="4" xfId="0" applyFont="1" applyBorder="1" applyAlignment="1" applyProtection="1">
      <alignment vertical="center"/>
      <protection locked="0"/>
    </xf>
    <xf numFmtId="0" fontId="7" fillId="0" borderId="9" xfId="0" applyFont="1" applyBorder="1" applyAlignment="1" applyProtection="1">
      <alignment vertical="center"/>
      <protection locked="0"/>
    </xf>
    <xf numFmtId="0" fontId="7" fillId="0" borderId="60" xfId="0" applyFont="1" applyBorder="1" applyAlignment="1" applyProtection="1">
      <alignment vertical="center"/>
      <protection locked="0"/>
    </xf>
    <xf numFmtId="0" fontId="7" fillId="0" borderId="17" xfId="0" applyFont="1" applyBorder="1" applyAlignment="1" applyProtection="1">
      <alignment vertical="center"/>
      <protection locked="0"/>
    </xf>
    <xf numFmtId="0" fontId="7" fillId="0" borderId="76" xfId="0" applyFont="1" applyBorder="1" applyAlignment="1" applyProtection="1">
      <alignment vertical="center"/>
      <protection locked="0"/>
    </xf>
    <xf numFmtId="0" fontId="7" fillId="0" borderId="13" xfId="0" applyFont="1" applyBorder="1" applyAlignment="1" applyProtection="1">
      <alignment vertical="center"/>
      <protection locked="0"/>
    </xf>
    <xf numFmtId="0" fontId="7" fillId="0" borderId="20" xfId="0" applyFont="1" applyBorder="1" applyAlignment="1" applyProtection="1">
      <alignment vertical="center"/>
      <protection locked="0"/>
    </xf>
    <xf numFmtId="0" fontId="7" fillId="0" borderId="5" xfId="0" applyFont="1" applyBorder="1" applyAlignment="1" applyProtection="1">
      <alignment vertical="center"/>
      <protection locked="0"/>
    </xf>
    <xf numFmtId="0" fontId="7" fillId="0" borderId="82" xfId="0" applyFont="1" applyBorder="1" applyAlignment="1">
      <alignment horizontal="center" vertical="top"/>
    </xf>
    <xf numFmtId="0" fontId="7" fillId="0" borderId="0" xfId="0" applyFont="1" applyAlignment="1" applyProtection="1">
      <alignment horizontal="left" vertical="center"/>
      <protection locked="0"/>
    </xf>
    <xf numFmtId="0" fontId="36" fillId="0" borderId="31" xfId="0" applyFont="1" applyBorder="1" applyAlignment="1" applyProtection="1">
      <alignment horizontal="left" vertical="center" wrapText="1"/>
      <protection locked="0"/>
    </xf>
    <xf numFmtId="0" fontId="20" fillId="0" borderId="25" xfId="0" applyFont="1" applyBorder="1" applyAlignment="1" applyProtection="1">
      <alignment horizontal="left" vertical="center"/>
      <protection locked="0"/>
    </xf>
    <xf numFmtId="0" fontId="20" fillId="0" borderId="21" xfId="0" applyFont="1" applyBorder="1" applyAlignment="1" applyProtection="1">
      <alignment horizontal="left" vertical="center"/>
      <protection locked="0"/>
    </xf>
    <xf numFmtId="0" fontId="22" fillId="0" borderId="25" xfId="0" applyFont="1" applyBorder="1" applyAlignment="1" applyProtection="1">
      <alignment horizontal="left"/>
      <protection locked="0"/>
    </xf>
    <xf numFmtId="0" fontId="22" fillId="0" borderId="21" xfId="0" applyFont="1" applyBorder="1" applyAlignment="1" applyProtection="1">
      <alignment horizontal="left"/>
      <protection locked="0"/>
    </xf>
    <xf numFmtId="14" fontId="2" fillId="0" borderId="45" xfId="0" quotePrefix="1" applyNumberFormat="1" applyFont="1" applyBorder="1" applyAlignment="1" applyProtection="1">
      <alignment horizontal="center" vertical="center"/>
      <protection locked="0"/>
    </xf>
    <xf numFmtId="14" fontId="2" fillId="0" borderId="28" xfId="0" applyNumberFormat="1" applyFont="1" applyBorder="1" applyAlignment="1" applyProtection="1">
      <alignment horizontal="center" vertical="center"/>
      <protection locked="0"/>
    </xf>
    <xf numFmtId="0" fontId="2" fillId="2" borderId="18" xfId="0" applyFont="1" applyFill="1" applyBorder="1" applyAlignment="1">
      <alignment horizontal="center" vertical="center"/>
    </xf>
    <xf numFmtId="0" fontId="2" fillId="2" borderId="60" xfId="0" applyFont="1" applyFill="1" applyBorder="1" applyAlignment="1">
      <alignment horizontal="center" vertical="center"/>
    </xf>
    <xf numFmtId="0" fontId="2" fillId="2" borderId="24" xfId="0" applyFont="1" applyFill="1" applyBorder="1" applyAlignment="1">
      <alignment horizontal="left"/>
    </xf>
    <xf numFmtId="0" fontId="2" fillId="2" borderId="25" xfId="0" applyFont="1" applyFill="1" applyBorder="1" applyAlignment="1">
      <alignment horizontal="left"/>
    </xf>
    <xf numFmtId="0" fontId="2" fillId="2" borderId="21" xfId="0" applyFont="1" applyFill="1" applyBorder="1" applyAlignment="1">
      <alignment horizontal="left"/>
    </xf>
    <xf numFmtId="0" fontId="19" fillId="25" borderId="31" xfId="0" applyFont="1" applyFill="1" applyBorder="1" applyAlignment="1">
      <alignment horizontal="left" vertical="center"/>
    </xf>
    <xf numFmtId="0" fontId="19" fillId="25" borderId="41" xfId="0" applyFont="1" applyFill="1" applyBorder="1" applyAlignment="1">
      <alignment horizontal="left" vertical="center"/>
    </xf>
    <xf numFmtId="0" fontId="19" fillId="13" borderId="6" xfId="0" applyFont="1" applyFill="1" applyBorder="1" applyAlignment="1">
      <alignment horizontal="left" vertical="center"/>
    </xf>
    <xf numFmtId="0" fontId="19" fillId="13" borderId="36" xfId="0" applyFont="1" applyFill="1" applyBorder="1" applyAlignment="1">
      <alignment horizontal="left" vertical="center"/>
    </xf>
    <xf numFmtId="0" fontId="19" fillId="17" borderId="6" xfId="0" applyFont="1" applyFill="1" applyBorder="1" applyAlignment="1">
      <alignment horizontal="left" vertical="center"/>
    </xf>
    <xf numFmtId="0" fontId="19" fillId="17" borderId="36" xfId="0" applyFont="1" applyFill="1" applyBorder="1" applyAlignment="1">
      <alignment horizontal="left" vertical="center"/>
    </xf>
    <xf numFmtId="0" fontId="19" fillId="9" borderId="6" xfId="0" applyFont="1" applyFill="1" applyBorder="1" applyAlignment="1">
      <alignment horizontal="left" vertical="center"/>
    </xf>
    <xf numFmtId="0" fontId="19" fillId="9" borderId="36" xfId="0" applyFont="1" applyFill="1" applyBorder="1" applyAlignment="1">
      <alignment horizontal="left" vertical="center"/>
    </xf>
    <xf numFmtId="0" fontId="19" fillId="22" borderId="32" xfId="0" applyFont="1" applyFill="1" applyBorder="1" applyAlignment="1">
      <alignment horizontal="left" vertical="center"/>
    </xf>
    <xf numFmtId="0" fontId="19" fillId="22" borderId="51" xfId="0" applyFont="1" applyFill="1" applyBorder="1" applyAlignment="1">
      <alignment horizontal="left" vertical="center"/>
    </xf>
    <xf numFmtId="0" fontId="2" fillId="2" borderId="23" xfId="0" applyFont="1" applyFill="1" applyBorder="1" applyAlignment="1">
      <alignment horizontal="left" vertical="center"/>
    </xf>
    <xf numFmtId="0" fontId="2" fillId="2" borderId="40" xfId="0" applyFont="1" applyFill="1" applyBorder="1" applyAlignment="1">
      <alignment horizontal="left" vertical="center"/>
    </xf>
    <xf numFmtId="0" fontId="2" fillId="2" borderId="16" xfId="0" applyFont="1" applyFill="1" applyBorder="1" applyAlignment="1">
      <alignment horizontal="left" vertical="center"/>
    </xf>
    <xf numFmtId="0" fontId="2" fillId="2" borderId="27" xfId="0" applyFont="1" applyFill="1" applyBorder="1" applyAlignment="1">
      <alignment horizontal="left" vertical="center"/>
    </xf>
    <xf numFmtId="0" fontId="2" fillId="2" borderId="37" xfId="0" applyFont="1" applyFill="1" applyBorder="1" applyAlignment="1">
      <alignment horizontal="center"/>
    </xf>
    <xf numFmtId="0" fontId="2" fillId="2" borderId="30" xfId="0" applyFont="1" applyFill="1" applyBorder="1" applyAlignment="1">
      <alignment horizontal="center"/>
    </xf>
    <xf numFmtId="0" fontId="19" fillId="32" borderId="6" xfId="0" applyFont="1" applyFill="1" applyBorder="1" applyAlignment="1">
      <alignment horizontal="left" vertical="center"/>
    </xf>
    <xf numFmtId="0" fontId="0" fillId="32" borderId="12" xfId="0" applyFill="1" applyBorder="1" applyAlignment="1">
      <alignment horizontal="left" vertical="center"/>
    </xf>
    <xf numFmtId="0" fontId="34" fillId="4" borderId="24" xfId="0" applyFont="1" applyFill="1" applyBorder="1" applyAlignment="1">
      <alignment horizontal="center" vertical="center"/>
    </xf>
    <xf numFmtId="0" fontId="0" fillId="0" borderId="25" xfId="0" applyBorder="1" applyAlignment="1">
      <alignment vertical="center"/>
    </xf>
    <xf numFmtId="0" fontId="0" fillId="0" borderId="21" xfId="0" applyBorder="1" applyAlignment="1">
      <alignment vertical="center"/>
    </xf>
    <xf numFmtId="0" fontId="7" fillId="0" borderId="24" xfId="0" applyFont="1" applyBorder="1" applyAlignment="1" applyProtection="1">
      <alignment horizontal="left" vertical="top" wrapText="1"/>
      <protection locked="0"/>
    </xf>
    <xf numFmtId="0" fontId="7" fillId="0" borderId="25" xfId="0" applyFont="1" applyBorder="1" applyAlignment="1" applyProtection="1">
      <alignment horizontal="left" vertical="top" wrapText="1"/>
      <protection locked="0"/>
    </xf>
    <xf numFmtId="0" fontId="7" fillId="0" borderId="21" xfId="0" applyFont="1" applyBorder="1" applyAlignment="1" applyProtection="1">
      <alignment horizontal="left" vertical="top" wrapText="1"/>
      <protection locked="0"/>
    </xf>
    <xf numFmtId="0" fontId="2" fillId="2" borderId="24" xfId="0" applyFont="1" applyFill="1" applyBorder="1" applyAlignment="1">
      <alignment horizontal="center"/>
    </xf>
    <xf numFmtId="0" fontId="2" fillId="2" borderId="25" xfId="0" applyFont="1" applyFill="1" applyBorder="1" applyAlignment="1">
      <alignment horizontal="center"/>
    </xf>
    <xf numFmtId="0" fontId="2" fillId="2" borderId="21" xfId="0" applyFont="1" applyFill="1" applyBorder="1" applyAlignment="1">
      <alignment horizontal="center"/>
    </xf>
    <xf numFmtId="0" fontId="0" fillId="0" borderId="25" xfId="0" applyBorder="1" applyAlignment="1" applyProtection="1">
      <alignment horizontal="left" vertical="top" wrapText="1"/>
      <protection locked="0"/>
    </xf>
    <xf numFmtId="0" fontId="0" fillId="0" borderId="21" xfId="0" applyBorder="1" applyAlignment="1" applyProtection="1">
      <alignment horizontal="left" vertical="top" wrapText="1"/>
      <protection locked="0"/>
    </xf>
    <xf numFmtId="0" fontId="7" fillId="0" borderId="23" xfId="0" applyFont="1" applyBorder="1" applyAlignment="1" applyProtection="1">
      <alignment vertical="top"/>
      <protection locked="0"/>
    </xf>
    <xf numFmtId="0" fontId="0" fillId="0" borderId="40" xfId="0" applyBorder="1" applyAlignment="1" applyProtection="1">
      <alignment vertical="top"/>
      <protection locked="0"/>
    </xf>
    <xf numFmtId="0" fontId="0" fillId="0" borderId="10" xfId="0" applyBorder="1" applyAlignment="1" applyProtection="1">
      <alignment vertical="top"/>
      <protection locked="0"/>
    </xf>
    <xf numFmtId="0" fontId="0" fillId="0" borderId="25" xfId="0" applyBorder="1" applyAlignment="1">
      <alignment horizontal="center"/>
    </xf>
    <xf numFmtId="0" fontId="0" fillId="0" borderId="21" xfId="0" applyBorder="1" applyAlignment="1">
      <alignment horizontal="center"/>
    </xf>
    <xf numFmtId="0" fontId="20" fillId="4" borderId="25" xfId="0" applyFont="1" applyFill="1" applyBorder="1" applyAlignment="1">
      <alignment horizontal="center" vertical="center"/>
    </xf>
    <xf numFmtId="0" fontId="20" fillId="4" borderId="21" xfId="0" applyFont="1" applyFill="1" applyBorder="1" applyAlignment="1">
      <alignment horizontal="center" vertical="center"/>
    </xf>
    <xf numFmtId="0" fontId="2" fillId="24" borderId="23" xfId="0" applyFont="1" applyFill="1" applyBorder="1" applyAlignment="1">
      <alignment horizontal="center" vertical="center" wrapText="1"/>
    </xf>
    <xf numFmtId="0" fontId="2" fillId="24" borderId="10" xfId="0" applyFont="1" applyFill="1" applyBorder="1" applyAlignment="1">
      <alignment horizontal="center" vertical="center" wrapText="1"/>
    </xf>
    <xf numFmtId="0" fontId="23" fillId="4" borderId="24" xfId="0" applyFont="1" applyFill="1" applyBorder="1" applyAlignment="1">
      <alignment horizontal="left"/>
    </xf>
    <xf numFmtId="0" fontId="23" fillId="4" borderId="21" xfId="0" applyFont="1" applyFill="1" applyBorder="1" applyAlignment="1">
      <alignment horizontal="left"/>
    </xf>
    <xf numFmtId="49" fontId="2" fillId="24" borderId="16" xfId="0" quotePrefix="1" applyNumberFormat="1" applyFont="1" applyFill="1" applyBorder="1" applyAlignment="1" applyProtection="1">
      <alignment horizontal="center" vertical="center"/>
      <protection locked="0"/>
    </xf>
    <xf numFmtId="49" fontId="2" fillId="24" borderId="15" xfId="0" quotePrefix="1" applyNumberFormat="1" applyFont="1" applyFill="1" applyBorder="1" applyAlignment="1" applyProtection="1">
      <alignment horizontal="center" vertical="center"/>
      <protection locked="0"/>
    </xf>
    <xf numFmtId="0" fontId="2" fillId="2" borderId="23"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16" xfId="0" applyFont="1" applyFill="1" applyBorder="1" applyAlignment="1">
      <alignment horizontal="center" vertical="center"/>
    </xf>
    <xf numFmtId="0" fontId="2" fillId="2" borderId="9" xfId="0" applyFont="1" applyFill="1" applyBorder="1" applyAlignment="1">
      <alignment horizontal="center" vertical="center"/>
    </xf>
    <xf numFmtId="0" fontId="2" fillId="2" borderId="19" xfId="0" applyFont="1" applyFill="1" applyBorder="1" applyAlignment="1">
      <alignment horizontal="center" vertical="center"/>
    </xf>
    <xf numFmtId="0" fontId="2" fillId="2" borderId="14" xfId="0" applyFont="1" applyFill="1" applyBorder="1" applyAlignment="1">
      <alignment horizontal="center" vertical="center"/>
    </xf>
    <xf numFmtId="0" fontId="2" fillId="2" borderId="10"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15" xfId="0" applyFont="1" applyFill="1" applyBorder="1" applyAlignment="1">
      <alignment horizontal="center" vertical="center"/>
    </xf>
    <xf numFmtId="0" fontId="2" fillId="2" borderId="40" xfId="0" applyFont="1" applyFill="1" applyBorder="1" applyAlignment="1">
      <alignment horizontal="center" vertical="center"/>
    </xf>
    <xf numFmtId="0" fontId="2" fillId="2" borderId="0" xfId="0" applyFont="1" applyFill="1" applyAlignment="1">
      <alignment horizontal="center" vertical="center"/>
    </xf>
    <xf numFmtId="0" fontId="2" fillId="2" borderId="27" xfId="0" applyFont="1" applyFill="1" applyBorder="1" applyAlignment="1">
      <alignment horizontal="center" vertical="center"/>
    </xf>
    <xf numFmtId="2" fontId="7" fillId="4" borderId="23" xfId="0" applyNumberFormat="1" applyFont="1" applyFill="1" applyBorder="1" applyAlignment="1">
      <alignment horizontal="center" vertical="center"/>
    </xf>
    <xf numFmtId="2" fontId="7" fillId="4" borderId="2" xfId="0" applyNumberFormat="1" applyFont="1" applyFill="1" applyBorder="1" applyAlignment="1">
      <alignment horizontal="center" vertical="center"/>
    </xf>
    <xf numFmtId="2" fontId="7" fillId="4" borderId="16" xfId="0" applyNumberFormat="1" applyFont="1" applyFill="1" applyBorder="1" applyAlignment="1">
      <alignment horizontal="center" vertical="center"/>
    </xf>
    <xf numFmtId="0" fontId="7" fillId="2" borderId="9" xfId="0" applyFont="1" applyFill="1" applyBorder="1" applyAlignment="1">
      <alignment horizontal="center" vertical="center"/>
    </xf>
    <xf numFmtId="0" fontId="7" fillId="2" borderId="19" xfId="0" applyFont="1" applyFill="1" applyBorder="1" applyAlignment="1">
      <alignment horizontal="center" vertical="center"/>
    </xf>
    <xf numFmtId="0" fontId="7" fillId="2" borderId="14" xfId="0" applyFont="1" applyFill="1" applyBorder="1" applyAlignment="1">
      <alignment horizontal="center" vertical="center"/>
    </xf>
    <xf numFmtId="0" fontId="10" fillId="0" borderId="71" xfId="0" applyFont="1" applyBorder="1" applyAlignment="1" applyProtection="1">
      <alignment vertical="top" wrapText="1"/>
      <protection locked="0"/>
    </xf>
    <xf numFmtId="0" fontId="9" fillId="33" borderId="65" xfId="0" applyFont="1" applyFill="1" applyBorder="1" applyAlignment="1">
      <alignment horizontal="left" vertical="top" wrapText="1"/>
    </xf>
    <xf numFmtId="0" fontId="9" fillId="33" borderId="66" xfId="0" applyFont="1" applyFill="1" applyBorder="1" applyAlignment="1">
      <alignment horizontal="left" vertical="top" wrapText="1"/>
    </xf>
    <xf numFmtId="0" fontId="9" fillId="33" borderId="61" xfId="0" applyFont="1" applyFill="1" applyBorder="1" applyAlignment="1">
      <alignment horizontal="left" vertical="top" wrapText="1"/>
    </xf>
    <xf numFmtId="0" fontId="9" fillId="33" borderId="21" xfId="0" applyFont="1" applyFill="1" applyBorder="1" applyAlignment="1">
      <alignment horizontal="left" vertical="top" wrapText="1"/>
    </xf>
    <xf numFmtId="0" fontId="9" fillId="33" borderId="39" xfId="0" applyFont="1" applyFill="1" applyBorder="1" applyAlignment="1">
      <alignment vertical="top" wrapText="1"/>
    </xf>
    <xf numFmtId="0" fontId="9" fillId="33" borderId="56" xfId="0" applyFont="1" applyFill="1" applyBorder="1" applyAlignment="1">
      <alignment vertical="top" wrapText="1"/>
    </xf>
    <xf numFmtId="0" fontId="9" fillId="33" borderId="69" xfId="0" applyFont="1" applyFill="1" applyBorder="1" applyAlignment="1">
      <alignment horizontal="left" vertical="top" wrapText="1"/>
    </xf>
    <xf numFmtId="0" fontId="9" fillId="33" borderId="73" xfId="0" applyFont="1" applyFill="1" applyBorder="1" applyAlignment="1">
      <alignment horizontal="left" vertical="top" wrapText="1"/>
    </xf>
    <xf numFmtId="0" fontId="9" fillId="33" borderId="72" xfId="0" applyFont="1" applyFill="1" applyBorder="1" applyAlignment="1">
      <alignment horizontal="left" vertical="top" wrapText="1"/>
    </xf>
    <xf numFmtId="0" fontId="9" fillId="7" borderId="73" xfId="0" applyFont="1" applyFill="1" applyBorder="1" applyAlignment="1">
      <alignment vertical="top" wrapText="1"/>
    </xf>
    <xf numFmtId="0" fontId="9" fillId="7" borderId="72" xfId="0" applyFont="1" applyFill="1" applyBorder="1" applyAlignment="1">
      <alignment vertical="top" wrapText="1"/>
    </xf>
    <xf numFmtId="0" fontId="10" fillId="0" borderId="73" xfId="0" applyFont="1" applyBorder="1" applyAlignment="1" applyProtection="1">
      <alignment vertical="top" wrapText="1"/>
      <protection locked="0"/>
    </xf>
    <xf numFmtId="0" fontId="10" fillId="0" borderId="51" xfId="0" applyFont="1" applyBorder="1" applyAlignment="1" applyProtection="1">
      <alignment vertical="top" wrapText="1"/>
      <protection locked="0"/>
    </xf>
    <xf numFmtId="0" fontId="0" fillId="0" borderId="72" xfId="0" applyBorder="1" applyAlignment="1">
      <alignment vertical="top" wrapText="1"/>
    </xf>
    <xf numFmtId="0" fontId="9" fillId="7" borderId="43" xfId="0" applyFont="1" applyFill="1" applyBorder="1" applyAlignment="1">
      <alignment vertical="top" wrapText="1"/>
    </xf>
    <xf numFmtId="0" fontId="9" fillId="7" borderId="36" xfId="0" applyFont="1" applyFill="1" applyBorder="1" applyAlignment="1">
      <alignment vertical="top" wrapText="1"/>
    </xf>
    <xf numFmtId="0" fontId="10" fillId="0" borderId="36" xfId="0" applyFont="1" applyBorder="1" applyAlignment="1" applyProtection="1">
      <alignment vertical="top" wrapText="1"/>
      <protection locked="0"/>
    </xf>
    <xf numFmtId="0" fontId="9" fillId="7" borderId="47" xfId="0" applyFont="1" applyFill="1" applyBorder="1" applyAlignment="1">
      <alignment vertical="top" wrapText="1"/>
    </xf>
    <xf numFmtId="0" fontId="9" fillId="7" borderId="29" xfId="0" applyFont="1" applyFill="1" applyBorder="1" applyAlignment="1">
      <alignment vertical="top" wrapText="1"/>
    </xf>
    <xf numFmtId="0" fontId="9" fillId="7" borderId="18" xfId="0" applyFont="1" applyFill="1" applyBorder="1" applyAlignment="1">
      <alignment vertical="top" wrapText="1"/>
    </xf>
    <xf numFmtId="0" fontId="9" fillId="21" borderId="39" xfId="0" applyFont="1" applyFill="1" applyBorder="1" applyAlignment="1" applyProtection="1">
      <alignment vertical="top" wrapText="1"/>
      <protection locked="0"/>
    </xf>
    <xf numFmtId="0" fontId="9" fillId="21" borderId="56" xfId="0" applyFont="1" applyFill="1" applyBorder="1" applyAlignment="1" applyProtection="1">
      <alignment vertical="top" wrapText="1"/>
      <protection locked="0"/>
    </xf>
    <xf numFmtId="0" fontId="10" fillId="0" borderId="43" xfId="0" applyFont="1" applyBorder="1" applyAlignment="1" applyProtection="1">
      <alignment vertical="top" wrapText="1"/>
      <protection locked="0"/>
    </xf>
    <xf numFmtId="0" fontId="0" fillId="0" borderId="47" xfId="0" applyBorder="1" applyAlignment="1">
      <alignment vertical="top" wrapText="1"/>
    </xf>
    <xf numFmtId="0" fontId="10" fillId="0" borderId="65" xfId="0" applyFont="1" applyBorder="1" applyAlignment="1" applyProtection="1">
      <alignment vertical="top" wrapText="1"/>
      <protection locked="0"/>
    </xf>
    <xf numFmtId="0" fontId="10" fillId="0" borderId="66" xfId="0" applyFont="1" applyBorder="1" applyAlignment="1" applyProtection="1">
      <alignment vertical="top" wrapText="1"/>
      <protection locked="0"/>
    </xf>
    <xf numFmtId="0" fontId="0" fillId="0" borderId="69" xfId="0" applyBorder="1" applyAlignment="1">
      <alignment vertical="top" wrapText="1"/>
    </xf>
    <xf numFmtId="0" fontId="10" fillId="5" borderId="65" xfId="0" applyFont="1" applyFill="1" applyBorder="1" applyAlignment="1" applyProtection="1">
      <alignment vertical="top" wrapText="1"/>
      <protection locked="0"/>
    </xf>
    <xf numFmtId="0" fontId="10" fillId="5" borderId="66" xfId="0" applyFont="1" applyFill="1" applyBorder="1" applyAlignment="1" applyProtection="1">
      <alignment vertical="top" wrapText="1"/>
      <protection locked="0"/>
    </xf>
    <xf numFmtId="0" fontId="9" fillId="21" borderId="43" xfId="0" applyFont="1" applyFill="1" applyBorder="1" applyAlignment="1">
      <alignment horizontal="left" vertical="top" wrapText="1"/>
    </xf>
    <xf numFmtId="0" fontId="9" fillId="21" borderId="36" xfId="0" applyFont="1" applyFill="1" applyBorder="1" applyAlignment="1">
      <alignment horizontal="left" vertical="top" wrapText="1"/>
    </xf>
    <xf numFmtId="0" fontId="9" fillId="21" borderId="39" xfId="0" applyFont="1" applyFill="1" applyBorder="1" applyAlignment="1">
      <alignment vertical="top" wrapText="1"/>
    </xf>
    <xf numFmtId="0" fontId="9" fillId="21" borderId="56" xfId="0" applyFont="1" applyFill="1" applyBorder="1" applyAlignment="1">
      <alignment vertical="top" wrapText="1"/>
    </xf>
    <xf numFmtId="0" fontId="9" fillId="11" borderId="22" xfId="0" applyFont="1" applyFill="1" applyBorder="1" applyAlignment="1">
      <alignment horizontal="left" vertical="top" wrapText="1"/>
    </xf>
    <xf numFmtId="0" fontId="10" fillId="0" borderId="22" xfId="0" applyFont="1" applyBorder="1" applyAlignment="1" applyProtection="1">
      <alignment horizontal="left" vertical="top" wrapText="1"/>
      <protection locked="0"/>
    </xf>
    <xf numFmtId="0" fontId="9" fillId="11" borderId="64" xfId="0" applyFont="1" applyFill="1" applyBorder="1" applyAlignment="1">
      <alignment horizontal="left" vertical="top" wrapText="1"/>
    </xf>
    <xf numFmtId="0" fontId="10" fillId="0" borderId="73" xfId="0" applyFont="1" applyBorder="1" applyAlignment="1" applyProtection="1">
      <alignment horizontal="left" vertical="top" wrapText="1"/>
      <protection locked="0"/>
    </xf>
    <xf numFmtId="0" fontId="10" fillId="0" borderId="51" xfId="0" applyFont="1" applyBorder="1" applyAlignment="1" applyProtection="1">
      <alignment horizontal="left" vertical="top" wrapText="1"/>
      <protection locked="0"/>
    </xf>
    <xf numFmtId="0" fontId="10" fillId="0" borderId="72" xfId="0" applyFont="1" applyBorder="1" applyAlignment="1" applyProtection="1">
      <alignment horizontal="left" vertical="top" wrapText="1"/>
      <protection locked="0"/>
    </xf>
    <xf numFmtId="0" fontId="9" fillId="21" borderId="61" xfId="0" applyFont="1" applyFill="1" applyBorder="1" applyAlignment="1">
      <alignment horizontal="left" vertical="top" wrapText="1"/>
    </xf>
    <xf numFmtId="0" fontId="9" fillId="21" borderId="21" xfId="0" applyFont="1" applyFill="1" applyBorder="1" applyAlignment="1">
      <alignment horizontal="left" vertical="top" wrapText="1"/>
    </xf>
    <xf numFmtId="0" fontId="9" fillId="21" borderId="73" xfId="0" applyFont="1" applyFill="1" applyBorder="1" applyAlignment="1">
      <alignment horizontal="left" vertical="top" wrapText="1"/>
    </xf>
    <xf numFmtId="0" fontId="9" fillId="21" borderId="72" xfId="0" applyFont="1" applyFill="1" applyBorder="1" applyAlignment="1">
      <alignment horizontal="left" vertical="top" wrapText="1"/>
    </xf>
    <xf numFmtId="0" fontId="9" fillId="21" borderId="65" xfId="0" applyFont="1" applyFill="1" applyBorder="1" applyAlignment="1">
      <alignment horizontal="left" vertical="top" wrapText="1"/>
    </xf>
    <xf numFmtId="0" fontId="9" fillId="21" borderId="66" xfId="0" applyFont="1" applyFill="1" applyBorder="1" applyAlignment="1">
      <alignment horizontal="left" vertical="top" wrapText="1"/>
    </xf>
    <xf numFmtId="0" fontId="10" fillId="0" borderId="72" xfId="0" applyFont="1" applyBorder="1" applyAlignment="1" applyProtection="1">
      <alignment vertical="top" wrapText="1"/>
      <protection locked="0"/>
    </xf>
    <xf numFmtId="0" fontId="9" fillId="19" borderId="22" xfId="0" applyFont="1" applyFill="1" applyBorder="1" applyAlignment="1">
      <alignment horizontal="left" vertical="top" wrapText="1"/>
    </xf>
    <xf numFmtId="0" fontId="9" fillId="19" borderId="22" xfId="0" applyFont="1" applyFill="1" applyBorder="1"/>
    <xf numFmtId="0" fontId="2" fillId="19" borderId="61" xfId="0" applyFont="1" applyFill="1" applyBorder="1" applyAlignment="1">
      <alignment horizontal="center" vertical="center"/>
    </xf>
    <xf numFmtId="0" fontId="2" fillId="19" borderId="25" xfId="0" applyFont="1" applyFill="1" applyBorder="1" applyAlignment="1">
      <alignment horizontal="center" vertical="center"/>
    </xf>
    <xf numFmtId="0" fontId="10" fillId="0" borderId="43" xfId="0" applyFont="1" applyBorder="1" applyAlignment="1" applyProtection="1">
      <alignment horizontal="left" vertical="top" wrapText="1"/>
      <protection locked="0"/>
    </xf>
    <xf numFmtId="0" fontId="10" fillId="0" borderId="36" xfId="0" applyFont="1" applyBorder="1" applyAlignment="1" applyProtection="1">
      <alignment horizontal="left" vertical="top" wrapText="1"/>
      <protection locked="0"/>
    </xf>
    <xf numFmtId="0" fontId="10" fillId="0" borderId="47" xfId="0" applyFont="1" applyBorder="1" applyAlignment="1" applyProtection="1">
      <alignment horizontal="left" vertical="top" wrapText="1"/>
      <protection locked="0"/>
    </xf>
    <xf numFmtId="0" fontId="9" fillId="33" borderId="29" xfId="0" applyFont="1" applyFill="1" applyBorder="1" applyAlignment="1">
      <alignment vertical="top" wrapText="1"/>
    </xf>
    <xf numFmtId="0" fontId="9" fillId="33" borderId="18" xfId="0" applyFont="1" applyFill="1" applyBorder="1" applyAlignment="1">
      <alignment vertical="top" wrapText="1"/>
    </xf>
    <xf numFmtId="0" fontId="9" fillId="12" borderId="38" xfId="0" applyFont="1" applyFill="1" applyBorder="1" applyAlignment="1">
      <alignment horizontal="left" vertical="top" wrapText="1"/>
    </xf>
    <xf numFmtId="0" fontId="9" fillId="12" borderId="39" xfId="0" applyFont="1" applyFill="1" applyBorder="1" applyAlignment="1">
      <alignment horizontal="left" vertical="top" wrapText="1"/>
    </xf>
    <xf numFmtId="0" fontId="2" fillId="4" borderId="24" xfId="0" applyFont="1" applyFill="1" applyBorder="1" applyAlignment="1">
      <alignment horizontal="center" vertical="center"/>
    </xf>
    <xf numFmtId="0" fontId="2" fillId="4" borderId="25" xfId="0" applyFont="1" applyFill="1" applyBorder="1" applyAlignment="1">
      <alignment horizontal="center" vertical="center"/>
    </xf>
    <xf numFmtId="0" fontId="9" fillId="12" borderId="37" xfId="0" applyFont="1" applyFill="1" applyBorder="1" applyAlignment="1">
      <alignment horizontal="left" vertical="top" wrapText="1"/>
    </xf>
    <xf numFmtId="0" fontId="9" fillId="12" borderId="70" xfId="0" applyFont="1" applyFill="1" applyBorder="1" applyAlignment="1">
      <alignment horizontal="left" vertical="top" wrapText="1"/>
    </xf>
    <xf numFmtId="0" fontId="10" fillId="0" borderId="40" xfId="0" applyFont="1" applyBorder="1" applyAlignment="1" applyProtection="1">
      <alignment horizontal="left" vertical="top" wrapText="1"/>
      <protection locked="0"/>
    </xf>
    <xf numFmtId="0" fontId="2" fillId="11" borderId="61" xfId="0" applyFont="1" applyFill="1" applyBorder="1" applyAlignment="1">
      <alignment horizontal="center" vertical="center"/>
    </xf>
    <xf numFmtId="0" fontId="2" fillId="11" borderId="25" xfId="0" applyFont="1" applyFill="1" applyBorder="1" applyAlignment="1">
      <alignment horizontal="center" vertical="center"/>
    </xf>
    <xf numFmtId="0" fontId="2" fillId="11" borderId="21" xfId="0" applyFont="1" applyFill="1" applyBorder="1" applyAlignment="1">
      <alignment horizontal="center" vertical="center"/>
    </xf>
    <xf numFmtId="0" fontId="9" fillId="12" borderId="6" xfId="0" applyFont="1" applyFill="1" applyBorder="1" applyAlignment="1">
      <alignment horizontal="left" vertical="top" wrapText="1"/>
    </xf>
    <xf numFmtId="0" fontId="9" fillId="12" borderId="47" xfId="0" applyFont="1" applyFill="1" applyBorder="1" applyAlignment="1">
      <alignment horizontal="left" vertical="top" wrapText="1"/>
    </xf>
    <xf numFmtId="0" fontId="9" fillId="11" borderId="63" xfId="0" applyFont="1" applyFill="1" applyBorder="1" applyAlignment="1">
      <alignment horizontal="left" vertical="top" wrapText="1"/>
    </xf>
    <xf numFmtId="0" fontId="10" fillId="0" borderId="66" xfId="0" applyFont="1" applyBorder="1" applyAlignment="1" applyProtection="1">
      <alignment horizontal="left" vertical="top" wrapText="1"/>
      <protection locked="0"/>
    </xf>
    <xf numFmtId="0" fontId="10" fillId="0" borderId="0" xfId="0" applyFont="1" applyAlignment="1" applyProtection="1">
      <alignment horizontal="left" vertical="top" wrapText="1"/>
      <protection locked="0"/>
    </xf>
    <xf numFmtId="0" fontId="9" fillId="12" borderId="53" xfId="0" applyFont="1" applyFill="1" applyBorder="1" applyAlignment="1">
      <alignment horizontal="left" vertical="top" wrapText="1"/>
    </xf>
    <xf numFmtId="0" fontId="9" fillId="12" borderId="64" xfId="0" applyFont="1" applyFill="1" applyBorder="1" applyAlignment="1">
      <alignment horizontal="left" vertical="top" wrapText="1"/>
    </xf>
    <xf numFmtId="0" fontId="2" fillId="11" borderId="62" xfId="0" applyFont="1" applyFill="1" applyBorder="1" applyAlignment="1">
      <alignment horizontal="center" vertical="center"/>
    </xf>
    <xf numFmtId="0" fontId="2" fillId="11" borderId="27" xfId="0" applyFont="1" applyFill="1" applyBorder="1" applyAlignment="1">
      <alignment horizontal="center" vertical="center"/>
    </xf>
    <xf numFmtId="0" fontId="10" fillId="0" borderId="65" xfId="0" applyFont="1" applyBorder="1" applyAlignment="1" applyProtection="1">
      <alignment horizontal="left" vertical="top" wrapText="1"/>
      <protection locked="0"/>
    </xf>
    <xf numFmtId="0" fontId="10" fillId="0" borderId="69" xfId="0" applyFont="1" applyBorder="1" applyAlignment="1" applyProtection="1">
      <alignment horizontal="left" vertical="top" wrapText="1"/>
      <protection locked="0"/>
    </xf>
    <xf numFmtId="0" fontId="2" fillId="19" borderId="50" xfId="0" applyFont="1" applyFill="1" applyBorder="1" applyAlignment="1">
      <alignment horizontal="center" vertical="center"/>
    </xf>
    <xf numFmtId="0" fontId="9" fillId="19" borderId="65" xfId="0" applyFont="1" applyFill="1" applyBorder="1" applyAlignment="1">
      <alignment horizontal="left" vertical="top" wrapText="1"/>
    </xf>
    <xf numFmtId="0" fontId="9" fillId="19" borderId="69" xfId="0" applyFont="1" applyFill="1" applyBorder="1" applyAlignment="1">
      <alignment horizontal="left" vertical="top" wrapText="1"/>
    </xf>
    <xf numFmtId="0" fontId="9" fillId="19" borderId="43" xfId="0" applyFont="1" applyFill="1" applyBorder="1" applyAlignment="1">
      <alignment horizontal="left" vertical="top" wrapText="1"/>
    </xf>
    <xf numFmtId="0" fontId="9" fillId="19" borderId="47" xfId="0" applyFont="1" applyFill="1" applyBorder="1" applyAlignment="1">
      <alignment horizontal="left" vertical="top" wrapText="1"/>
    </xf>
    <xf numFmtId="0" fontId="10" fillId="0" borderId="71" xfId="0" applyFont="1" applyBorder="1" applyAlignment="1" applyProtection="1">
      <alignment horizontal="left" vertical="top" wrapText="1"/>
      <protection locked="0"/>
    </xf>
    <xf numFmtId="0" fontId="9" fillId="12" borderId="43" xfId="0" applyFont="1" applyFill="1" applyBorder="1" applyAlignment="1">
      <alignment horizontal="left" vertical="top" wrapText="1"/>
    </xf>
    <xf numFmtId="0" fontId="10" fillId="0" borderId="29" xfId="0" applyFont="1" applyBorder="1" applyAlignment="1" applyProtection="1">
      <alignment horizontal="left" vertical="top" wrapText="1"/>
      <protection locked="0"/>
    </xf>
    <xf numFmtId="0" fontId="10" fillId="0" borderId="41" xfId="0" applyFont="1" applyBorder="1" applyAlignment="1" applyProtection="1">
      <alignment horizontal="left" vertical="top" wrapText="1"/>
      <protection locked="0"/>
    </xf>
    <xf numFmtId="0" fontId="10" fillId="0" borderId="67" xfId="0" applyFont="1" applyBorder="1" applyAlignment="1" applyProtection="1">
      <alignment horizontal="left" vertical="top" wrapText="1"/>
      <protection locked="0"/>
    </xf>
    <xf numFmtId="0" fontId="9" fillId="12" borderId="32" xfId="0" applyFont="1" applyFill="1" applyBorder="1" applyAlignment="1">
      <alignment horizontal="left" vertical="top" wrapText="1"/>
    </xf>
    <xf numFmtId="0" fontId="10" fillId="12" borderId="72" xfId="0" applyFont="1" applyFill="1" applyBorder="1" applyAlignment="1">
      <alignment horizontal="left" vertical="top" wrapText="1"/>
    </xf>
    <xf numFmtId="0" fontId="10" fillId="0" borderId="80" xfId="0" applyFont="1" applyBorder="1" applyAlignment="1" applyProtection="1">
      <alignment horizontal="left" vertical="top" wrapText="1"/>
      <protection locked="0"/>
    </xf>
    <xf numFmtId="0" fontId="10" fillId="0" borderId="81" xfId="0" applyFont="1" applyBorder="1" applyAlignment="1" applyProtection="1">
      <alignment horizontal="left" vertical="top" wrapText="1"/>
      <protection locked="0"/>
    </xf>
    <xf numFmtId="0" fontId="10" fillId="0" borderId="64" xfId="0" applyFont="1" applyBorder="1" applyAlignment="1" applyProtection="1">
      <alignment horizontal="left" vertical="top" wrapText="1"/>
      <protection locked="0"/>
    </xf>
    <xf numFmtId="0" fontId="10" fillId="0" borderId="63" xfId="0" applyFont="1" applyBorder="1" applyAlignment="1" applyProtection="1">
      <alignment horizontal="left" vertical="top" wrapText="1"/>
      <protection locked="0"/>
    </xf>
    <xf numFmtId="0" fontId="9" fillId="19" borderId="63" xfId="0" applyFont="1" applyFill="1" applyBorder="1" applyAlignment="1">
      <alignment horizontal="left" vertical="top" wrapText="1"/>
    </xf>
    <xf numFmtId="0" fontId="10" fillId="0" borderId="39" xfId="0" applyFont="1" applyBorder="1" applyAlignment="1" applyProtection="1">
      <alignment horizontal="left" vertical="top" wrapText="1"/>
      <protection locked="0"/>
    </xf>
    <xf numFmtId="0" fontId="10" fillId="0" borderId="56" xfId="0" applyFont="1" applyBorder="1" applyAlignment="1" applyProtection="1">
      <alignment horizontal="left" vertical="top" wrapText="1"/>
      <protection locked="0"/>
    </xf>
    <xf numFmtId="0" fontId="2" fillId="12" borderId="16" xfId="0" applyFont="1" applyFill="1" applyBorder="1" applyAlignment="1">
      <alignment horizontal="center" vertical="center"/>
    </xf>
    <xf numFmtId="0" fontId="2" fillId="12" borderId="15" xfId="0" applyFont="1" applyFill="1" applyBorder="1" applyAlignment="1">
      <alignment horizontal="center" vertical="center"/>
    </xf>
    <xf numFmtId="0" fontId="10" fillId="5" borderId="29" xfId="0" applyFont="1" applyFill="1" applyBorder="1" applyAlignment="1" applyProtection="1">
      <alignment horizontal="left" vertical="top" wrapText="1"/>
      <protection locked="0"/>
    </xf>
    <xf numFmtId="0" fontId="10" fillId="5" borderId="41" xfId="0" applyFont="1" applyFill="1" applyBorder="1" applyAlignment="1" applyProtection="1">
      <alignment horizontal="left" vertical="top" wrapText="1"/>
      <protection locked="0"/>
    </xf>
    <xf numFmtId="0" fontId="10" fillId="5" borderId="67" xfId="0" applyFont="1" applyFill="1" applyBorder="1" applyAlignment="1" applyProtection="1">
      <alignment horizontal="left" vertical="top" wrapText="1"/>
      <protection locked="0"/>
    </xf>
    <xf numFmtId="0" fontId="9" fillId="12" borderId="65" xfId="0" applyFont="1" applyFill="1" applyBorder="1" applyAlignment="1">
      <alignment horizontal="left" vertical="top" wrapText="1"/>
    </xf>
    <xf numFmtId="0" fontId="9" fillId="12" borderId="69" xfId="0" applyFont="1" applyFill="1" applyBorder="1" applyAlignment="1">
      <alignment horizontal="left" vertical="top" wrapText="1"/>
    </xf>
    <xf numFmtId="0" fontId="6" fillId="19" borderId="50" xfId="0" applyFont="1" applyFill="1" applyBorder="1" applyAlignment="1">
      <alignment horizontal="center" vertical="top" wrapText="1"/>
    </xf>
    <xf numFmtId="0" fontId="6" fillId="19" borderId="61" xfId="0" applyFont="1" applyFill="1" applyBorder="1" applyAlignment="1">
      <alignment horizontal="center" vertical="top" wrapText="1"/>
    </xf>
    <xf numFmtId="0" fontId="9" fillId="21" borderId="29" xfId="0" applyFont="1" applyFill="1" applyBorder="1" applyAlignment="1">
      <alignment vertical="top" wrapText="1"/>
    </xf>
    <xf numFmtId="0" fontId="9" fillId="21" borderId="18" xfId="0" applyFont="1" applyFill="1" applyBorder="1" applyAlignment="1">
      <alignment vertical="top" wrapText="1"/>
    </xf>
    <xf numFmtId="0" fontId="9" fillId="21" borderId="65" xfId="0" applyFont="1" applyFill="1" applyBorder="1" applyAlignment="1" applyProtection="1">
      <alignment horizontal="left" vertical="top" wrapText="1"/>
      <protection locked="0"/>
    </xf>
    <xf numFmtId="0" fontId="9" fillId="21" borderId="69" xfId="0" applyFont="1" applyFill="1" applyBorder="1" applyAlignment="1" applyProtection="1">
      <alignment horizontal="left" vertical="top" wrapText="1"/>
      <protection locked="0"/>
    </xf>
    <xf numFmtId="0" fontId="10" fillId="0" borderId="0" xfId="0" applyFont="1" applyAlignment="1" applyProtection="1">
      <alignment vertical="top" wrapText="1"/>
      <protection locked="0"/>
    </xf>
    <xf numFmtId="0" fontId="2" fillId="21" borderId="24" xfId="0" applyFont="1" applyFill="1" applyBorder="1" applyAlignment="1">
      <alignment horizontal="center" vertical="top"/>
    </xf>
    <xf numFmtId="0" fontId="2" fillId="21" borderId="21" xfId="0" applyFont="1" applyFill="1" applyBorder="1" applyAlignment="1">
      <alignment horizontal="center" vertical="top"/>
    </xf>
    <xf numFmtId="0" fontId="2" fillId="33" borderId="24" xfId="0" applyFont="1" applyFill="1" applyBorder="1" applyAlignment="1">
      <alignment horizontal="center" vertical="top"/>
    </xf>
    <xf numFmtId="0" fontId="2" fillId="33" borderId="21" xfId="0" applyFont="1" applyFill="1" applyBorder="1" applyAlignment="1">
      <alignment horizontal="center" vertical="top"/>
    </xf>
    <xf numFmtId="0" fontId="9" fillId="7" borderId="39" xfId="0" applyFont="1" applyFill="1" applyBorder="1" applyAlignment="1">
      <alignment vertical="top" wrapText="1"/>
    </xf>
    <xf numFmtId="0" fontId="9" fillId="7" borderId="71" xfId="0" applyFont="1" applyFill="1" applyBorder="1" applyAlignment="1">
      <alignment vertical="top" wrapText="1"/>
    </xf>
    <xf numFmtId="0" fontId="9" fillId="19" borderId="6" xfId="0" applyFont="1" applyFill="1" applyBorder="1" applyAlignment="1">
      <alignment horizontal="left" vertical="top" wrapText="1"/>
    </xf>
    <xf numFmtId="0" fontId="2" fillId="19" borderId="24" xfId="0" applyFont="1" applyFill="1" applyBorder="1" applyAlignment="1">
      <alignment horizontal="center" vertical="center"/>
    </xf>
    <xf numFmtId="0" fontId="2" fillId="19" borderId="21" xfId="0" applyFont="1" applyFill="1" applyBorder="1" applyAlignment="1">
      <alignment horizontal="center" vertical="center"/>
    </xf>
    <xf numFmtId="0" fontId="9" fillId="19" borderId="68" xfId="0" applyFont="1" applyFill="1" applyBorder="1" applyAlignment="1">
      <alignment horizontal="left" vertical="top" wrapText="1"/>
    </xf>
    <xf numFmtId="0" fontId="9" fillId="19" borderId="66" xfId="0" applyFont="1" applyFill="1" applyBorder="1" applyAlignment="1">
      <alignment horizontal="left" vertical="top" wrapText="1"/>
    </xf>
    <xf numFmtId="0" fontId="9" fillId="7" borderId="61" xfId="0" applyFont="1" applyFill="1" applyBorder="1" applyAlignment="1">
      <alignment vertical="top" wrapText="1"/>
    </xf>
    <xf numFmtId="0" fontId="9" fillId="7" borderId="21" xfId="0" applyFont="1" applyFill="1" applyBorder="1" applyAlignment="1">
      <alignment vertical="top" wrapText="1"/>
    </xf>
    <xf numFmtId="0" fontId="2" fillId="19" borderId="75" xfId="0" applyFont="1" applyFill="1" applyBorder="1" applyAlignment="1">
      <alignment horizontal="center" vertical="center"/>
    </xf>
    <xf numFmtId="0" fontId="2" fillId="19" borderId="40" xfId="0" applyFont="1" applyFill="1" applyBorder="1" applyAlignment="1">
      <alignment horizontal="center" vertical="center"/>
    </xf>
    <xf numFmtId="0" fontId="33" fillId="2" borderId="24" xfId="0" applyFont="1" applyFill="1" applyBorder="1" applyAlignment="1">
      <alignment horizontal="center" vertical="center"/>
    </xf>
    <xf numFmtId="0" fontId="33" fillId="2" borderId="21" xfId="0" applyFont="1" applyFill="1" applyBorder="1" applyAlignment="1">
      <alignment horizontal="center" vertical="center"/>
    </xf>
    <xf numFmtId="0" fontId="5" fillId="31" borderId="23" xfId="0" applyFont="1" applyFill="1" applyBorder="1" applyAlignment="1">
      <alignment horizontal="left" vertical="top"/>
    </xf>
    <xf numFmtId="0" fontId="5" fillId="31" borderId="10" xfId="0" applyFont="1" applyFill="1" applyBorder="1" applyAlignment="1">
      <alignment horizontal="left" vertical="top"/>
    </xf>
    <xf numFmtId="0" fontId="4" fillId="31" borderId="23" xfId="0" applyFont="1" applyFill="1" applyBorder="1" applyAlignment="1">
      <alignment horizontal="left" vertical="top"/>
    </xf>
    <xf numFmtId="0" fontId="4" fillId="31" borderId="10" xfId="0" applyFont="1" applyFill="1" applyBorder="1" applyAlignment="1">
      <alignment horizontal="left" vertical="top"/>
    </xf>
  </cellXfs>
  <cellStyles count="1">
    <cellStyle name="Normal" xfId="0" builtinId="0"/>
  </cellStyles>
  <dxfs count="96">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92D050"/>
        </patternFill>
      </fill>
    </dxf>
    <dxf>
      <fill>
        <patternFill>
          <bgColor rgb="FF00B05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92D050"/>
        </patternFill>
      </fill>
    </dxf>
    <dxf>
      <fill>
        <patternFill>
          <bgColor rgb="FF00B05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92D05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s>
  <tableStyles count="0" defaultTableStyle="TableStyleMedium9" defaultPivotStyle="PivotStyleLight16"/>
  <colors>
    <mruColors>
      <color rgb="FF785B97"/>
      <color rgb="FFB1A0C7"/>
      <color rgb="FF72569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80074074074074"/>
          <c:y val="0.19215092592592592"/>
          <c:w val="0.50986481481481483"/>
          <c:h val="0.50986481481481483"/>
        </c:manualLayout>
      </c:layout>
      <c:radarChart>
        <c:radarStyle val="marker"/>
        <c:varyColors val="0"/>
        <c:ser>
          <c:idx val="0"/>
          <c:order val="0"/>
          <c:tx>
            <c:v>Present profile</c:v>
          </c:tx>
          <c:spPr>
            <a:ln>
              <a:solidFill>
                <a:srgbClr val="C00000"/>
              </a:solidFill>
            </a:ln>
          </c:spPr>
          <c:marker>
            <c:symbol val="diamond"/>
            <c:size val="7"/>
            <c:spPr>
              <a:solidFill>
                <a:srgbClr val="C00000"/>
              </a:solidFill>
              <a:ln cmpd="sng">
                <a:solidFill>
                  <a:srgbClr val="C00000"/>
                </a:solidFill>
              </a:ln>
            </c:spPr>
          </c:marker>
          <c:cat>
            <c:strRef>
              <c:f>Profile!$A$14:$B$19</c:f>
              <c:strCache>
                <c:ptCount val="6"/>
                <c:pt idx="0">
                  <c:v>1. WORKING CONDITIONS</c:v>
                </c:pt>
                <c:pt idx="1">
                  <c:v>2. LAND &amp; WATER RIGHTS</c:v>
                </c:pt>
                <c:pt idx="2">
                  <c:v>3. GENDER EQUALITY</c:v>
                </c:pt>
                <c:pt idx="3">
                  <c:v>4. FOOD AND NUTRITION SECURITY</c:v>
                </c:pt>
                <c:pt idx="4">
                  <c:v>5. SOCIAL CAPITAL</c:v>
                </c:pt>
                <c:pt idx="5">
                  <c:v>6. LIVING CONDITIONS</c:v>
                </c:pt>
              </c:strCache>
            </c:strRef>
          </c:cat>
          <c:val>
            <c:numRef>
              <c:f>Profile!$D$14:$D$19</c:f>
              <c:numCache>
                <c:formatCode>0.00</c:formatCode>
                <c:ptCount val="6"/>
                <c:pt idx="0">
                  <c:v>2</c:v>
                </c:pt>
                <c:pt idx="1">
                  <c:v>1.5555555555555556</c:v>
                </c:pt>
                <c:pt idx="2">
                  <c:v>2.19</c:v>
                </c:pt>
                <c:pt idx="3">
                  <c:v>1.875</c:v>
                </c:pt>
                <c:pt idx="4">
                  <c:v>2.0833333333333335</c:v>
                </c:pt>
                <c:pt idx="5">
                  <c:v>1.9166666666666667</c:v>
                </c:pt>
              </c:numCache>
            </c:numRef>
          </c:val>
          <c:extLst>
            <c:ext xmlns:c16="http://schemas.microsoft.com/office/drawing/2014/chart" uri="{C3380CC4-5D6E-409C-BE32-E72D297353CC}">
              <c16:uniqueId val="{00000000-EC77-4D55-B4F3-380CA279C20A}"/>
            </c:ext>
          </c:extLst>
        </c:ser>
        <c:ser>
          <c:idx val="2"/>
          <c:order val="1"/>
          <c:tx>
            <c:strRef>
              <c:f>Profile!$F$12</c:f>
              <c:strCache>
                <c:ptCount val="1"/>
                <c:pt idx="0">
                  <c:v>Previous profile</c:v>
                </c:pt>
              </c:strCache>
            </c:strRef>
          </c:tx>
          <c:marker>
            <c:symbol val="none"/>
          </c:marker>
          <c:cat>
            <c:strRef>
              <c:f>Profile!$A$14:$B$19</c:f>
              <c:strCache>
                <c:ptCount val="6"/>
                <c:pt idx="0">
                  <c:v>1. WORKING CONDITIONS</c:v>
                </c:pt>
                <c:pt idx="1">
                  <c:v>2. LAND &amp; WATER RIGHTS</c:v>
                </c:pt>
                <c:pt idx="2">
                  <c:v>3. GENDER EQUALITY</c:v>
                </c:pt>
                <c:pt idx="3">
                  <c:v>4. FOOD AND NUTRITION SECURITY</c:v>
                </c:pt>
                <c:pt idx="4">
                  <c:v>5. SOCIAL CAPITAL</c:v>
                </c:pt>
                <c:pt idx="5">
                  <c:v>6. LIVING CONDITIONS</c:v>
                </c:pt>
              </c:strCache>
            </c:strRef>
          </c:cat>
          <c:val>
            <c:numRef>
              <c:f>Profile!$G$14:$G$19</c:f>
              <c:numCache>
                <c:formatCode>0.00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EC77-4D55-B4F3-380CA279C20A}"/>
            </c:ext>
          </c:extLst>
        </c:ser>
        <c:dLbls>
          <c:showLegendKey val="0"/>
          <c:showVal val="0"/>
          <c:showCatName val="0"/>
          <c:showSerName val="0"/>
          <c:showPercent val="0"/>
          <c:showBubbleSize val="0"/>
        </c:dLbls>
        <c:axId val="113745920"/>
        <c:axId val="113747840"/>
      </c:radarChart>
      <c:catAx>
        <c:axId val="113745920"/>
        <c:scaling>
          <c:orientation val="minMax"/>
        </c:scaling>
        <c:delete val="0"/>
        <c:axPos val="b"/>
        <c:majorGridlines/>
        <c:numFmt formatCode="@" sourceLinked="0"/>
        <c:majorTickMark val="none"/>
        <c:minorTickMark val="none"/>
        <c:tickLblPos val="nextTo"/>
        <c:spPr>
          <a:ln w="9525">
            <a:noFill/>
          </a:ln>
        </c:spPr>
        <c:txPr>
          <a:bodyPr rot="0" vert="horz"/>
          <a:lstStyle/>
          <a:p>
            <a:pPr>
              <a:defRPr b="1"/>
            </a:pPr>
            <a:endParaRPr lang="en-US"/>
          </a:p>
        </c:txPr>
        <c:crossAx val="113747840"/>
        <c:crosses val="autoZero"/>
        <c:auto val="0"/>
        <c:lblAlgn val="ctr"/>
        <c:lblOffset val="100"/>
        <c:noMultiLvlLbl val="0"/>
      </c:catAx>
      <c:valAx>
        <c:axId val="113747840"/>
        <c:scaling>
          <c:orientation val="minMax"/>
          <c:max val="4"/>
          <c:min val="0"/>
        </c:scaling>
        <c:delete val="0"/>
        <c:axPos val="l"/>
        <c:majorGridlines/>
        <c:numFmt formatCode="@" sourceLinked="0"/>
        <c:majorTickMark val="out"/>
        <c:minorTickMark val="none"/>
        <c:tickLblPos val="nextTo"/>
        <c:txPr>
          <a:bodyPr rot="0" vert="horz"/>
          <a:lstStyle/>
          <a:p>
            <a:pPr>
              <a:defRPr/>
            </a:pPr>
            <a:endParaRPr lang="en-US"/>
          </a:p>
        </c:txPr>
        <c:crossAx val="113745920"/>
        <c:crosses val="autoZero"/>
        <c:crossBetween val="between"/>
      </c:valAx>
    </c:plotArea>
    <c:legend>
      <c:legendPos val="b"/>
      <c:overlay val="1"/>
    </c:legend>
    <c:plotVisOnly val="1"/>
    <c:dispBlanksAs val="gap"/>
    <c:showDLblsOverMax val="0"/>
  </c:chart>
  <c:spPr>
    <a:solidFill>
      <a:schemeClr val="bg1"/>
    </a:solidFill>
  </c:spPr>
  <c:printSettings>
    <c:headerFooter alignWithMargins="0"/>
    <c:pageMargins b="1" l="0.750000000000003" r="0.750000000000003" t="1" header="0.5" footer="0.5"/>
    <c:pageSetup paperSize="9" orientation="landscape"/>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7</xdr:col>
      <xdr:colOff>134992</xdr:colOff>
      <xdr:row>3</xdr:row>
      <xdr:rowOff>99520</xdr:rowOff>
    </xdr:from>
    <xdr:to>
      <xdr:col>15</xdr:col>
      <xdr:colOff>300626</xdr:colOff>
      <xdr:row>21</xdr:row>
      <xdr:rowOff>1241101</xdr:rowOff>
    </xdr:to>
    <xdr:graphicFrame macro="">
      <xdr:nvGraphicFramePr>
        <xdr:cNvPr id="4097" name="Chart 1">
          <a:extLst>
            <a:ext uri="{FF2B5EF4-FFF2-40B4-BE49-F238E27FC236}">
              <a16:creationId xmlns:a16="http://schemas.microsoft.com/office/drawing/2014/main" id="{00000000-0008-0000-0000-0000011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29"/>
  <sheetViews>
    <sheetView tabSelected="1" view="pageBreakPreview" zoomScaleNormal="100" zoomScaleSheetLayoutView="100" workbookViewId="0">
      <pane ySplit="3" topLeftCell="A4" activePane="bottomLeft" state="frozen"/>
      <selection pane="bottomLeft" activeCell="F3" sqref="F3"/>
    </sheetView>
  </sheetViews>
  <sheetFormatPr defaultColWidth="8.81640625" defaultRowHeight="12.5" x14ac:dyDescent="0.25"/>
  <cols>
    <col min="1" max="1" width="20" customWidth="1"/>
    <col min="2" max="2" width="13.1796875" customWidth="1"/>
    <col min="3" max="3" width="14.1796875" customWidth="1"/>
    <col min="4" max="4" width="10.36328125" customWidth="1"/>
    <col min="5" max="5" width="8.36328125" customWidth="1"/>
    <col min="6" max="6" width="13.36328125" customWidth="1"/>
    <col min="7" max="7" width="11.1796875" customWidth="1"/>
    <col min="9" max="9" width="10.81640625" hidden="1" customWidth="1"/>
  </cols>
  <sheetData>
    <row r="1" spans="1:10" ht="22.5" customHeight="1" thickBot="1" x14ac:dyDescent="0.35">
      <c r="A1" s="440" t="s">
        <v>210</v>
      </c>
      <c r="B1" s="441"/>
      <c r="C1" s="442"/>
      <c r="D1" s="396" t="s">
        <v>27</v>
      </c>
      <c r="E1" s="326"/>
      <c r="F1" s="411" t="s">
        <v>352</v>
      </c>
      <c r="G1" s="412"/>
      <c r="I1" s="217"/>
    </row>
    <row r="2" spans="1:10" ht="16.5" customHeight="1" thickBot="1" x14ac:dyDescent="0.35">
      <c r="A2" s="398"/>
      <c r="B2" s="112"/>
      <c r="C2" s="112"/>
      <c r="D2" s="327" t="s">
        <v>124</v>
      </c>
      <c r="E2" s="413" t="s">
        <v>353</v>
      </c>
      <c r="F2" s="413"/>
      <c r="G2" s="414"/>
    </row>
    <row r="3" spans="1:10" ht="18" customHeight="1" thickBot="1" x14ac:dyDescent="0.35">
      <c r="A3" s="15" t="s">
        <v>25</v>
      </c>
      <c r="B3" s="415" t="s">
        <v>243</v>
      </c>
      <c r="C3" s="416"/>
      <c r="D3" s="16"/>
      <c r="G3" s="14"/>
      <c r="J3" s="283"/>
    </row>
    <row r="4" spans="1:10" ht="13.5" customHeight="1" x14ac:dyDescent="0.25">
      <c r="A4" s="13"/>
      <c r="G4" s="14"/>
    </row>
    <row r="5" spans="1:10" ht="20.25" customHeight="1" x14ac:dyDescent="0.25">
      <c r="G5" s="14"/>
    </row>
    <row r="6" spans="1:10" ht="18" customHeight="1" x14ac:dyDescent="0.25">
      <c r="G6" s="14"/>
    </row>
    <row r="7" spans="1:10" ht="18" customHeight="1" x14ac:dyDescent="0.25">
      <c r="G7" s="14"/>
    </row>
    <row r="8" spans="1:10" ht="18" customHeight="1" x14ac:dyDescent="0.25">
      <c r="G8" s="14"/>
    </row>
    <row r="9" spans="1:10" ht="18" customHeight="1" x14ac:dyDescent="0.25">
      <c r="G9" s="14"/>
    </row>
    <row r="10" spans="1:10" ht="6" customHeight="1" thickBot="1" x14ac:dyDescent="0.3">
      <c r="A10" s="13"/>
      <c r="G10" s="14"/>
    </row>
    <row r="11" spans="1:10" ht="13" hidden="1" thickBot="1" x14ac:dyDescent="0.3">
      <c r="A11" s="13"/>
      <c r="G11" s="14"/>
    </row>
    <row r="12" spans="1:10" ht="13.5" thickBot="1" x14ac:dyDescent="0.35">
      <c r="A12" s="432" t="s">
        <v>83</v>
      </c>
      <c r="B12" s="433"/>
      <c r="C12" s="436" t="s">
        <v>84</v>
      </c>
      <c r="D12" s="437"/>
      <c r="E12" s="417" t="s">
        <v>7</v>
      </c>
      <c r="F12" s="17" t="s">
        <v>85</v>
      </c>
      <c r="G12" s="18" t="str">
        <f>Register!H3</f>
        <v>../../20..</v>
      </c>
    </row>
    <row r="13" spans="1:10" ht="13.5" thickBot="1" x14ac:dyDescent="0.35">
      <c r="A13" s="434"/>
      <c r="B13" s="435"/>
      <c r="C13" s="85" t="s">
        <v>87</v>
      </c>
      <c r="D13" s="86" t="s">
        <v>88</v>
      </c>
      <c r="E13" s="418"/>
      <c r="F13" s="19" t="s">
        <v>87</v>
      </c>
      <c r="G13" s="20" t="s">
        <v>88</v>
      </c>
      <c r="I13" s="218" t="s">
        <v>15</v>
      </c>
    </row>
    <row r="14" spans="1:10" ht="14" x14ac:dyDescent="0.25">
      <c r="A14" s="422" t="str">
        <f>Register!A5</f>
        <v>1. WORKING CONDITIONS</v>
      </c>
      <c r="B14" s="423"/>
      <c r="C14" s="328" t="str">
        <f>Register!C10</f>
        <v>Moderate/Low</v>
      </c>
      <c r="D14" s="312">
        <f>Register!B10</f>
        <v>2</v>
      </c>
      <c r="E14" s="313" t="str">
        <f>Register!D10</f>
        <v>↑</v>
      </c>
      <c r="F14" s="21" t="str">
        <f>Register!I10</f>
        <v>Not at all</v>
      </c>
      <c r="G14" s="319">
        <f>Register!H10</f>
        <v>0</v>
      </c>
      <c r="I14" s="219" t="e">
        <f>Register!#REF!</f>
        <v>#REF!</v>
      </c>
    </row>
    <row r="15" spans="1:10" ht="14" x14ac:dyDescent="0.25">
      <c r="A15" s="424" t="str">
        <f>Register!A11</f>
        <v>2. LAND &amp; WATER RIGHTS</v>
      </c>
      <c r="B15" s="425"/>
      <c r="C15" s="329" t="str">
        <f>Register!C15</f>
        <v>Moderate/Low</v>
      </c>
      <c r="D15" s="314">
        <f>Register!B15</f>
        <v>1.5555555555555556</v>
      </c>
      <c r="E15" s="315" t="str">
        <f>Register!D15</f>
        <v>↑</v>
      </c>
      <c r="F15" s="22" t="str">
        <f>Register!I15</f>
        <v>Not at all</v>
      </c>
      <c r="G15" s="320">
        <f>Register!H15</f>
        <v>0</v>
      </c>
      <c r="I15" s="220" t="e">
        <f>Register!#REF!</f>
        <v>#REF!</v>
      </c>
    </row>
    <row r="16" spans="1:10" ht="14" x14ac:dyDescent="0.25">
      <c r="A16" s="426" t="str">
        <f>Register!A16</f>
        <v>3. GENDER EQUALITY</v>
      </c>
      <c r="B16" s="427"/>
      <c r="C16" s="329" t="str">
        <f>Register!C22</f>
        <v>Moderate/Low</v>
      </c>
      <c r="D16" s="314">
        <f>Register!B22</f>
        <v>2.19</v>
      </c>
      <c r="E16" s="315" t="str">
        <f>Register!D22</f>
        <v>↑</v>
      </c>
      <c r="F16" s="22" t="str">
        <f>Register!I22</f>
        <v>Not at all</v>
      </c>
      <c r="G16" s="320">
        <f>Register!H22</f>
        <v>0</v>
      </c>
      <c r="I16" s="220" t="e">
        <f>Register!#REF!</f>
        <v>#REF!</v>
      </c>
    </row>
    <row r="17" spans="1:9" ht="14" x14ac:dyDescent="0.25">
      <c r="A17" s="428" t="str">
        <f>Register!A23</f>
        <v>4. FOOD AND NUTRITION SECURITY</v>
      </c>
      <c r="B17" s="429"/>
      <c r="C17" s="329" t="str">
        <f>Register!C28</f>
        <v>Moderate/Low</v>
      </c>
      <c r="D17" s="314">
        <f>Register!B28</f>
        <v>1.875</v>
      </c>
      <c r="E17" s="315" t="str">
        <f>Register!D28</f>
        <v>↑</v>
      </c>
      <c r="F17" s="22" t="str">
        <f>Register!I28</f>
        <v>Not at all</v>
      </c>
      <c r="G17" s="320">
        <f>Register!H28</f>
        <v>0</v>
      </c>
      <c r="I17" s="220" t="e">
        <f>Register!#REF!</f>
        <v>#REF!</v>
      </c>
    </row>
    <row r="18" spans="1:9" ht="14" x14ac:dyDescent="0.25">
      <c r="A18" s="438" t="str">
        <f>Register!A29</f>
        <v>5. SOCIAL CAPITAL</v>
      </c>
      <c r="B18" s="439"/>
      <c r="C18" s="329" t="str">
        <f>Register!C33</f>
        <v>Moderate/Low</v>
      </c>
      <c r="D18" s="316">
        <f>Register!B33</f>
        <v>2.0833333333333335</v>
      </c>
      <c r="E18" s="315" t="str">
        <f>Register!D33</f>
        <v>↑</v>
      </c>
      <c r="F18" s="306" t="str">
        <f>Register!I33</f>
        <v>Not at all</v>
      </c>
      <c r="G18" s="320">
        <f>Register!H33</f>
        <v>0</v>
      </c>
      <c r="I18" s="305"/>
    </row>
    <row r="19" spans="1:9" ht="14.5" thickBot="1" x14ac:dyDescent="0.3">
      <c r="A19" s="430" t="str">
        <f>Register!A34</f>
        <v>6. LIVING CONDITIONS</v>
      </c>
      <c r="B19" s="431"/>
      <c r="C19" s="330" t="str">
        <f>Register!C39</f>
        <v>Moderate/Low</v>
      </c>
      <c r="D19" s="317">
        <f>Register!B39</f>
        <v>1.9166666666666667</v>
      </c>
      <c r="E19" s="318" t="str">
        <f>Register!D39</f>
        <v>↑</v>
      </c>
      <c r="F19" s="23" t="str">
        <f>Register!I39</f>
        <v>Not at all</v>
      </c>
      <c r="G19" s="321">
        <f>Register!H39</f>
        <v>0</v>
      </c>
      <c r="I19" s="221" t="e">
        <f>Register!#REF!</f>
        <v>#REF!</v>
      </c>
    </row>
    <row r="20" spans="1:9" s="25" customFormat="1" ht="9" customHeight="1" thickBot="1" x14ac:dyDescent="0.3">
      <c r="A20" s="24"/>
      <c r="E20"/>
      <c r="F20"/>
      <c r="G20" s="14"/>
      <c r="I20" s="222" t="e">
        <f>AVERAGE(I14:I19)</f>
        <v>#REF!</v>
      </c>
    </row>
    <row r="21" spans="1:9" ht="13.5" thickBot="1" x14ac:dyDescent="0.35">
      <c r="A21" s="419" t="s">
        <v>8</v>
      </c>
      <c r="B21" s="420"/>
      <c r="C21" s="420"/>
      <c r="D21" s="420"/>
      <c r="E21" s="420"/>
      <c r="F21" s="420"/>
      <c r="G21" s="421"/>
    </row>
    <row r="22" spans="1:9" ht="107.25" customHeight="1" thickBot="1" x14ac:dyDescent="0.3">
      <c r="A22" s="443" t="s">
        <v>343</v>
      </c>
      <c r="B22" s="444"/>
      <c r="C22" s="444"/>
      <c r="D22" s="444"/>
      <c r="E22" s="444"/>
      <c r="F22" s="444"/>
      <c r="G22" s="445"/>
    </row>
    <row r="23" spans="1:9" ht="7.5" customHeight="1" thickBot="1" x14ac:dyDescent="0.3">
      <c r="A23" s="13"/>
      <c r="G23" s="14"/>
    </row>
    <row r="24" spans="1:9" ht="13.5" thickBot="1" x14ac:dyDescent="0.35">
      <c r="A24" s="446" t="s">
        <v>89</v>
      </c>
      <c r="B24" s="447"/>
      <c r="C24" s="447"/>
      <c r="D24" s="454"/>
      <c r="E24" s="454"/>
      <c r="F24" s="454"/>
      <c r="G24" s="455"/>
    </row>
    <row r="25" spans="1:9" ht="119" customHeight="1" thickBot="1" x14ac:dyDescent="0.3">
      <c r="A25" s="443" t="s">
        <v>340</v>
      </c>
      <c r="B25" s="449"/>
      <c r="C25" s="449"/>
      <c r="D25" s="449"/>
      <c r="E25" s="449"/>
      <c r="F25" s="449"/>
      <c r="G25" s="450"/>
    </row>
    <row r="26" spans="1:9" ht="13.5" thickBot="1" x14ac:dyDescent="0.35">
      <c r="A26" s="446" t="s">
        <v>90</v>
      </c>
      <c r="B26" s="447"/>
      <c r="C26" s="447"/>
      <c r="D26" s="447"/>
      <c r="E26" s="447"/>
      <c r="F26" s="447"/>
      <c r="G26" s="448"/>
    </row>
    <row r="27" spans="1:9" ht="83.25" customHeight="1" thickBot="1" x14ac:dyDescent="0.3">
      <c r="A27" s="451" t="s">
        <v>341</v>
      </c>
      <c r="B27" s="452"/>
      <c r="C27" s="452"/>
      <c r="D27" s="452"/>
      <c r="E27" s="452"/>
      <c r="F27" s="452"/>
      <c r="G27" s="453"/>
    </row>
    <row r="28" spans="1:9" ht="13.5" thickBot="1" x14ac:dyDescent="0.35">
      <c r="A28" s="446" t="s">
        <v>17</v>
      </c>
      <c r="B28" s="447"/>
      <c r="C28" s="447"/>
      <c r="D28" s="447"/>
      <c r="E28" s="447"/>
      <c r="F28" s="447"/>
      <c r="G28" s="448"/>
    </row>
    <row r="29" spans="1:9" ht="95.5" customHeight="1" thickBot="1" x14ac:dyDescent="0.3">
      <c r="A29" s="443" t="s">
        <v>342</v>
      </c>
      <c r="B29" s="444"/>
      <c r="C29" s="444"/>
      <c r="D29" s="444"/>
      <c r="E29" s="444"/>
      <c r="F29" s="444"/>
      <c r="G29" s="445"/>
    </row>
  </sheetData>
  <sheetProtection password="CC15" sheet="1" objects="1" scenarios="1" formatRows="0"/>
  <mergeCells count="21">
    <mergeCell ref="A29:G29"/>
    <mergeCell ref="A28:G28"/>
    <mergeCell ref="A22:G22"/>
    <mergeCell ref="A25:G25"/>
    <mergeCell ref="A26:G26"/>
    <mergeCell ref="A27:G27"/>
    <mergeCell ref="A24:G24"/>
    <mergeCell ref="F1:G1"/>
    <mergeCell ref="E2:G2"/>
    <mergeCell ref="B3:C3"/>
    <mergeCell ref="E12:E13"/>
    <mergeCell ref="A21:G21"/>
    <mergeCell ref="A14:B14"/>
    <mergeCell ref="A15:B15"/>
    <mergeCell ref="A16:B16"/>
    <mergeCell ref="A17:B17"/>
    <mergeCell ref="A19:B19"/>
    <mergeCell ref="A12:B13"/>
    <mergeCell ref="C12:D12"/>
    <mergeCell ref="A18:B18"/>
    <mergeCell ref="A1:C1"/>
  </mergeCells>
  <phoneticPr fontId="1" type="noConversion"/>
  <conditionalFormatting sqref="A8:G9">
    <cfRule type="cellIs" dxfId="91" priority="1" operator="equal">
      <formula>"High"</formula>
    </cfRule>
    <cfRule type="cellIs" dxfId="90" priority="2" operator="equal">
      <formula>"Substantial"</formula>
    </cfRule>
    <cfRule type="cellIs" dxfId="89" priority="3" operator="equal">
      <formula>"Moderate"</formula>
    </cfRule>
    <cfRule type="cellIs" dxfId="88" priority="4" operator="equal">
      <formula>"Low"</formula>
    </cfRule>
  </conditionalFormatting>
  <pageMargins left="0.70866141732283472" right="0.70866141732283472" top="0.74803149606299213" bottom="0.74803149606299213" header="0.31496062992125984" footer="0.31496062992125984"/>
  <pageSetup paperSize="9" scale="97" orientation="portrait" r:id="rId1"/>
  <headerFooter alignWithMargins="0"/>
  <colBreaks count="1" manualBreakCount="1">
    <brk id="7" max="1048575" man="1"/>
  </colBreaks>
  <drawing r:id="rId2"/>
  <extLst>
    <ext xmlns:x14="http://schemas.microsoft.com/office/spreadsheetml/2009/9/main" uri="{78C0D931-6437-407d-A8EE-F0AAD7539E65}">
      <x14:conditionalFormattings>
        <x14:conditionalFormatting xmlns:xm="http://schemas.microsoft.com/office/excel/2006/main">
          <x14:cfRule type="cellIs" priority="9" operator="equal" id="{34BB3A6B-5693-4104-B882-7EC3C2744687}">
            <xm:f>Register!$L$6</xm:f>
            <x14:dxf>
              <fill>
                <patternFill>
                  <bgColor rgb="FFFF0000"/>
                </patternFill>
              </fill>
            </x14:dxf>
          </x14:cfRule>
          <x14:cfRule type="cellIs" priority="10" operator="equal" id="{92867827-A734-4EBD-859A-FC93914BAC5D}">
            <xm:f>Register!$L$5</xm:f>
            <x14:dxf>
              <fill>
                <patternFill>
                  <bgColor rgb="FFFFC000"/>
                </patternFill>
              </fill>
            </x14:dxf>
          </x14:cfRule>
          <x14:cfRule type="cellIs" priority="11" operator="equal" id="{F24A8D15-038A-4A74-8DFE-EBD1E2C1A6B6}">
            <xm:f>Register!$L$4</xm:f>
            <x14:dxf>
              <fill>
                <patternFill>
                  <bgColor rgb="FF92D050"/>
                </patternFill>
              </fill>
            </x14:dxf>
          </x14:cfRule>
          <x14:cfRule type="cellIs" priority="12" operator="equal" id="{4E30DD93-1A47-4844-9856-E0E8EBD88FFA}">
            <xm:f>Register!$L$3</xm:f>
            <x14:dxf>
              <fill>
                <patternFill>
                  <bgColor rgb="FF00B050"/>
                </patternFill>
              </fill>
            </x14:dxf>
          </x14:cfRule>
          <xm:sqref>A5:G17 A18 C18:G18 A19:G19</xm:sqref>
        </x14:conditionalFormatting>
      </x14:conditionalFormatting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46"/>
  <sheetViews>
    <sheetView zoomScaleNormal="100" zoomScaleSheetLayoutView="100" workbookViewId="0">
      <pane ySplit="4" topLeftCell="A12" activePane="bottomLeft" state="frozen"/>
      <selection pane="bottomLeft" sqref="A1:B1"/>
    </sheetView>
  </sheetViews>
  <sheetFormatPr defaultColWidth="8.81640625" defaultRowHeight="12.5" x14ac:dyDescent="0.25"/>
  <cols>
    <col min="1" max="1" width="36.81640625" customWidth="1"/>
    <col min="2" max="2" width="10.1796875" style="273" customWidth="1"/>
    <col min="3" max="3" width="15.1796875" style="25" customWidth="1"/>
    <col min="4" max="4" width="6.1796875" style="25" customWidth="1"/>
    <col min="5" max="5" width="66.36328125" customWidth="1"/>
    <col min="6" max="7" width="39.1796875" customWidth="1"/>
    <col min="8" max="8" width="6" style="273" customWidth="1"/>
    <col min="9" max="9" width="14.1796875" style="25" customWidth="1"/>
    <col min="10" max="10" width="8.81640625" hidden="1" customWidth="1"/>
    <col min="11" max="11" width="9.1796875" hidden="1" customWidth="1"/>
    <col min="12" max="12" width="14.81640625" hidden="1" customWidth="1"/>
    <col min="13" max="13" width="9.1796875" hidden="1" customWidth="1"/>
    <col min="14" max="14" width="9.1796875" customWidth="1"/>
  </cols>
  <sheetData>
    <row r="1" spans="1:15" s="104" customFormat="1" ht="27.75" customHeight="1" thickBot="1" x14ac:dyDescent="0.4">
      <c r="A1" s="460" t="str">
        <f>Profile!F1</f>
        <v>Groundnut</v>
      </c>
      <c r="B1" s="461"/>
      <c r="C1" s="365" t="s">
        <v>22</v>
      </c>
      <c r="D1" s="456" t="str">
        <f>Profile!E2</f>
        <v>madagascar</v>
      </c>
      <c r="E1" s="457"/>
      <c r="F1" s="363" t="s">
        <v>26</v>
      </c>
      <c r="G1" s="364" t="str">
        <f>Profile!B3</f>
        <v xml:space="preserve"> 05 / 01/ 20 .26</v>
      </c>
      <c r="H1" s="458" t="s">
        <v>80</v>
      </c>
      <c r="I1" s="459"/>
      <c r="M1" s="105"/>
    </row>
    <row r="2" spans="1:15" s="104" customFormat="1" ht="10.5" customHeight="1" x14ac:dyDescent="0.25">
      <c r="A2" s="464" t="s">
        <v>9</v>
      </c>
      <c r="B2" s="476" t="s">
        <v>88</v>
      </c>
      <c r="C2" s="479" t="s">
        <v>87</v>
      </c>
      <c r="D2" s="467" t="s">
        <v>7</v>
      </c>
      <c r="E2" s="473" t="s">
        <v>10</v>
      </c>
      <c r="F2" s="467" t="s">
        <v>18</v>
      </c>
      <c r="G2" s="470" t="s">
        <v>86</v>
      </c>
      <c r="H2" s="458" t="s">
        <v>82</v>
      </c>
      <c r="I2" s="459"/>
      <c r="M2" s="105"/>
    </row>
    <row r="3" spans="1:15" s="105" customFormat="1" ht="13.5" customHeight="1" thickBot="1" x14ac:dyDescent="0.3">
      <c r="A3" s="465"/>
      <c r="B3" s="477"/>
      <c r="C3" s="480"/>
      <c r="D3" s="468"/>
      <c r="E3" s="474"/>
      <c r="F3" s="468"/>
      <c r="G3" s="471"/>
      <c r="H3" s="462" t="s">
        <v>81</v>
      </c>
      <c r="I3" s="463"/>
      <c r="L3" s="106" t="str">
        <f>Questionnaire!$N$3</f>
        <v>High</v>
      </c>
      <c r="M3" s="105" t="s">
        <v>20</v>
      </c>
    </row>
    <row r="4" spans="1:15" s="107" customFormat="1" ht="13.5" thickBot="1" x14ac:dyDescent="0.3">
      <c r="A4" s="466"/>
      <c r="B4" s="478"/>
      <c r="C4" s="481"/>
      <c r="D4" s="469"/>
      <c r="E4" s="475"/>
      <c r="F4" s="469"/>
      <c r="G4" s="472"/>
      <c r="H4" s="83" t="s">
        <v>1</v>
      </c>
      <c r="I4" s="84" t="s">
        <v>6</v>
      </c>
      <c r="L4" s="106" t="str">
        <f>Questionnaire!$N$4</f>
        <v>Substantial</v>
      </c>
      <c r="M4" s="105" t="s">
        <v>3</v>
      </c>
    </row>
    <row r="5" spans="1:15" s="105" customFormat="1" ht="15" customHeight="1" thickBot="1" x14ac:dyDescent="0.3">
      <c r="A5" s="53" t="str">
        <f>Questionnaire!$A$3</f>
        <v>1. WORKING CONDITIONS</v>
      </c>
      <c r="B5" s="54"/>
      <c r="C5" s="54"/>
      <c r="D5" s="54"/>
      <c r="E5" s="55"/>
      <c r="F5" s="55"/>
      <c r="G5" s="55"/>
      <c r="H5" s="55"/>
      <c r="I5" s="277"/>
      <c r="L5" s="106" t="str">
        <f>Questionnaire!$N$5</f>
        <v>Moderate/Low</v>
      </c>
      <c r="M5" s="105" t="s">
        <v>21</v>
      </c>
    </row>
    <row r="6" spans="1:15" s="108" customFormat="1" ht="42" x14ac:dyDescent="0.25">
      <c r="A6" s="56" t="str">
        <f>Questionnaire!$A$4</f>
        <v>1.1 Respect of labour rights</v>
      </c>
      <c r="B6" s="331">
        <f>Questionnaire!J10</f>
        <v>2</v>
      </c>
      <c r="C6" s="332" t="str">
        <f>IF(B6&lt;1.5,$L$6,IF(B6&lt;2.5,$L$5,IF(B6&lt;3.5,$L$4,IF(B6&lt;4.5,$L$3,"n/a"))))</f>
        <v>Moderate/Low</v>
      </c>
      <c r="D6" s="333" t="str">
        <f>IF(H6&lt;B6,"↑",IF(H6&gt;B6,"↓","↔"))</f>
        <v>↑</v>
      </c>
      <c r="E6" s="2" t="s">
        <v>305</v>
      </c>
      <c r="F6" s="1" t="s">
        <v>308</v>
      </c>
      <c r="G6" s="1"/>
      <c r="H6" s="235">
        <v>0</v>
      </c>
      <c r="I6" s="276" t="str">
        <f>IF(H6&lt;1.5,$L$6,IF(H6&lt;2.5,$L$5,IF(H6&lt;3.5,$L$4,IF(H6&lt;4.5,$L$3,"n/a"))))</f>
        <v>Not at all</v>
      </c>
      <c r="K6" s="108" t="s">
        <v>11</v>
      </c>
      <c r="L6" s="106" t="str">
        <f>Questionnaire!$N$6</f>
        <v>Not at all</v>
      </c>
      <c r="M6" s="108" t="s">
        <v>4</v>
      </c>
    </row>
    <row r="7" spans="1:15" s="108" customFormat="1" ht="84" x14ac:dyDescent="0.25">
      <c r="A7" s="57" t="str">
        <f>Questionnaire!$A$11</f>
        <v>1.2 Child Labour</v>
      </c>
      <c r="B7" s="334">
        <f>Questionnaire!J14</f>
        <v>2</v>
      </c>
      <c r="C7" s="335" t="str">
        <f>IF(B7&lt;1.5,$L$6,IF(B7&lt;2.5,$L$5,IF(B7&lt;3.5,$L$4,IF(B7&lt;4.5,$L$3,"n/a"))))</f>
        <v>Moderate/Low</v>
      </c>
      <c r="D7" s="336" t="str">
        <f>IF(H7&lt;B7,"↑",IF(H7&gt;B7,"↓","↔"))</f>
        <v>↑</v>
      </c>
      <c r="E7" s="3" t="s">
        <v>306</v>
      </c>
      <c r="F7" s="3" t="s">
        <v>309</v>
      </c>
      <c r="G7" s="3"/>
      <c r="H7" s="236">
        <v>0</v>
      </c>
      <c r="I7" s="276" t="str">
        <f>IF(H7&lt;1.5,$L$6,IF(H7&lt;2.5,$L$5,IF(H7&lt;3.5,$L$4,IF(H7&lt;4.5,$L$3,"n/a"))))</f>
        <v>Not at all</v>
      </c>
      <c r="K7" s="108" t="s">
        <v>12</v>
      </c>
      <c r="L7" s="106" t="str">
        <f>Questionnaire!$N$7</f>
        <v>n/a</v>
      </c>
    </row>
    <row r="8" spans="1:15" s="108" customFormat="1" ht="126" x14ac:dyDescent="0.25">
      <c r="A8" s="57" t="str">
        <f>Questionnaire!$A$15</f>
        <v>1.3 Job safety</v>
      </c>
      <c r="B8" s="334">
        <f>Questionnaire!J17</f>
        <v>2</v>
      </c>
      <c r="C8" s="337" t="str">
        <f>IF(B8&lt;1.5,$L$6,IF(B8&lt;2.5,$L$5,IF(B8&lt;3.5,$L$4,IF(B8&lt;4.5,$L$3,"n/a"))))</f>
        <v>Moderate/Low</v>
      </c>
      <c r="D8" s="336" t="str">
        <f>IF(H8&lt;B8,"↑",IF(H8&gt;B8,"↓","↔"))</f>
        <v>↑</v>
      </c>
      <c r="E8" s="3" t="s">
        <v>307</v>
      </c>
      <c r="F8" s="3" t="s">
        <v>310</v>
      </c>
      <c r="G8" s="3"/>
      <c r="H8" s="236">
        <v>0</v>
      </c>
      <c r="I8" s="276" t="str">
        <f>IF(H8&lt;1.5,$L$6,IF(H8&lt;2.5,$L$5,IF(H8&lt;3.5,$L$4,IF(H8&lt;4.5,$L$3,"n/a"))))</f>
        <v>Not at all</v>
      </c>
      <c r="K8" s="108" t="s">
        <v>13</v>
      </c>
      <c r="L8" s="106"/>
    </row>
    <row r="9" spans="1:15" s="108" customFormat="1" ht="14.5" thickBot="1" x14ac:dyDescent="0.3">
      <c r="A9" s="58" t="str">
        <f>Questionnaire!$A$18</f>
        <v>1.4 Attractiveness</v>
      </c>
      <c r="B9" s="338">
        <f>Questionnaire!J21</f>
        <v>2</v>
      </c>
      <c r="C9" s="335" t="str">
        <f>IF(B9&lt;1.5,$L$6,IF(B9&lt;2.5,$L$5,IF(B9&lt;3.5,$L$4,IF(B9&lt;4.5,$L$3,"n/a"))))</f>
        <v>Moderate/Low</v>
      </c>
      <c r="D9" s="339" t="str">
        <f>IF(H9&lt;B9,"↑",IF(H9&gt;B9,"↓","↔"))</f>
        <v>↑</v>
      </c>
      <c r="E9" s="4"/>
      <c r="F9" s="4"/>
      <c r="G9" s="4"/>
      <c r="H9" s="237">
        <v>0</v>
      </c>
      <c r="I9" s="247" t="str">
        <f>IF(H9&lt;1.5,$L$6,IF(H9&lt;2.5,$L$5,IF(H9&lt;3.5,$L$4,IF(H9&lt;4.5,$L$3,"n/a"))))</f>
        <v>Not at all</v>
      </c>
      <c r="L9" s="106"/>
    </row>
    <row r="10" spans="1:15" s="108" customFormat="1" ht="18" customHeight="1" thickTop="1" thickBot="1" x14ac:dyDescent="0.35">
      <c r="A10" s="59" t="s">
        <v>14</v>
      </c>
      <c r="B10" s="340">
        <f>IF(COUNT(B6:B9)=0,"n/a",(AVERAGE(B6:B9)))</f>
        <v>2</v>
      </c>
      <c r="C10" s="397" t="str">
        <f>IF(B10&lt;1.5,$L$6,IF(B10&lt;2.5,$L$5,IF(B10&lt;3.5,$L$4,IF(B10&lt;4.5,$L$3,"n/a"))))</f>
        <v>Moderate/Low</v>
      </c>
      <c r="D10" s="341" t="str">
        <f>IF(H10&lt;B10,"↑",IF(H10&gt;B10,"↓","↔"))</f>
        <v>↑</v>
      </c>
      <c r="E10" s="11"/>
      <c r="F10" s="109"/>
      <c r="G10" s="109"/>
      <c r="H10" s="12">
        <f>AVERAGE(H6:H9)</f>
        <v>0</v>
      </c>
      <c r="I10" s="275" t="str">
        <f>IF(H10&lt;1.5,$L$6,IF(H10&lt;2.5,$L$5,IF(H10&lt;3.5,$L$4,IF(H10&lt;4.5,$L$3,"n/a"))))</f>
        <v>Not at all</v>
      </c>
      <c r="O10" s="283"/>
    </row>
    <row r="11" spans="1:15" s="108" customFormat="1" ht="15" customHeight="1" thickBot="1" x14ac:dyDescent="0.3">
      <c r="A11" s="60" t="str">
        <f>Questionnaire!$A$22</f>
        <v>2. LAND &amp; WATER RIGHTS</v>
      </c>
      <c r="B11" s="342"/>
      <c r="C11" s="342"/>
      <c r="D11" s="343"/>
      <c r="E11" s="61"/>
      <c r="F11" s="61"/>
      <c r="G11" s="61"/>
      <c r="H11" s="61"/>
      <c r="I11" s="278"/>
    </row>
    <row r="12" spans="1:15" s="108" customFormat="1" ht="197" customHeight="1" x14ac:dyDescent="0.25">
      <c r="A12" s="62" t="str">
        <f>Questionnaire!$A$23</f>
        <v xml:space="preserve">2.1 Adherence to VGGT </v>
      </c>
      <c r="B12" s="344">
        <f>Questionnaire!J26</f>
        <v>1</v>
      </c>
      <c r="C12" s="345" t="str">
        <f>IF(B12&lt;1.5,$L$6,IF(B12&lt;2.5,$L$5,IF(B12&lt;3.5,$L$4,IF(B12&lt;4.5,$L$3,"n/a"))))</f>
        <v>Not at all</v>
      </c>
      <c r="D12" s="336" t="str">
        <f>IF(H12&lt;B12,"↑",IF(H12&gt;B12,"↓","↔"))</f>
        <v>↑</v>
      </c>
      <c r="E12" s="5" t="s">
        <v>311</v>
      </c>
      <c r="F12" s="1" t="s">
        <v>312</v>
      </c>
      <c r="G12" s="1"/>
      <c r="H12" s="235">
        <v>0</v>
      </c>
      <c r="I12" s="276" t="str">
        <f>IF(H12&lt;1.5,$L$6,IF(H12&lt;2.5,$L$5,IF(H12&lt;3.5,$L$4,IF(H12&lt;4.5,$L$3,"n/a"))))</f>
        <v>Not at all</v>
      </c>
    </row>
    <row r="13" spans="1:15" s="108" customFormat="1" ht="85" customHeight="1" x14ac:dyDescent="0.25">
      <c r="A13" s="63" t="str">
        <f>Questionnaire!$A$27</f>
        <v>2.2 Transparency, participation and consultation</v>
      </c>
      <c r="B13" s="346">
        <f>Questionnaire!J32</f>
        <v>1.6666666666666667</v>
      </c>
      <c r="C13" s="337" t="str">
        <f>IF(B13&lt;1.5,$L$6,IF(B13&lt;2.5,$L$5,IF(B13&lt;3.5,$L$4,IF(B13&lt;4.5,$L$3,"n/a"))))</f>
        <v>Moderate/Low</v>
      </c>
      <c r="D13" s="336" t="str">
        <f>IF(H13&lt;B13,"↑",IF(H13&gt;B13,"↓","↔"))</f>
        <v>↑</v>
      </c>
      <c r="E13" s="6" t="s">
        <v>313</v>
      </c>
      <c r="F13" s="3" t="s">
        <v>314</v>
      </c>
      <c r="G13" s="3"/>
      <c r="H13" s="236">
        <v>0</v>
      </c>
      <c r="I13" s="276" t="str">
        <f>IF(H13&lt;1.5,$L$6,IF(H13&lt;2.5,$L$5,IF(H13&lt;3.5,$L$4,IF(H13&lt;4.5,$L$3,"n/a"))))</f>
        <v>Not at all</v>
      </c>
    </row>
    <row r="14" spans="1:15" s="108" customFormat="1" ht="27.5" customHeight="1" thickBot="1" x14ac:dyDescent="0.3">
      <c r="A14" s="64" t="str">
        <f>Questionnaire!$A$33</f>
        <v>2.3  Equity,compensation and justice</v>
      </c>
      <c r="B14" s="347">
        <f>Questionnaire!J38</f>
        <v>2</v>
      </c>
      <c r="C14" s="335" t="str">
        <f>IF(B14&lt;1.5,$L$6,IF(B14&lt;2.5,$L$5,IF(B14&lt;3.5,$L$4,IF(B14&lt;4.5,$L$3,"n/a"))))</f>
        <v>Moderate/Low</v>
      </c>
      <c r="D14" s="339" t="str">
        <f>IF(H14&lt;B14,"↑",IF(H14&gt;B14,"↓","↔"))</f>
        <v>↑</v>
      </c>
      <c r="E14" s="7" t="s">
        <v>315</v>
      </c>
      <c r="F14" s="4" t="s">
        <v>316</v>
      </c>
      <c r="G14" s="4"/>
      <c r="H14" s="237">
        <v>0</v>
      </c>
      <c r="I14" s="247" t="str">
        <f>IF(H14&lt;1.5,$L$6,IF(H14&lt;2.5,$L$5,IF(H14&lt;3.5,$L$4,IF(H14&lt;4.5,$L$3,"n/a"))))</f>
        <v>Not at all</v>
      </c>
    </row>
    <row r="15" spans="1:15" s="105" customFormat="1" ht="13.5" thickTop="1" thickBot="1" x14ac:dyDescent="0.3">
      <c r="A15" s="65" t="s">
        <v>14</v>
      </c>
      <c r="B15" s="348">
        <f>IF(COUNT(B12:B14)=0,"n/a",(AVERAGE(B12:B14)))</f>
        <v>1.5555555555555556</v>
      </c>
      <c r="C15" s="349" t="str">
        <f>IF(B15&lt;1.5,$L$6,IF(B15&lt;2.5,$L$5,IF(B15&lt;3.5,$L$4,IF(B15&lt;4.5,$L$3,"n/a"))))</f>
        <v>Moderate/Low</v>
      </c>
      <c r="D15" s="341" t="str">
        <f>IF(H15&lt;B15,"↑",IF(H15&gt;B15,"↓","↔"))</f>
        <v>↑</v>
      </c>
      <c r="E15" s="109"/>
      <c r="F15" s="109"/>
      <c r="G15" s="109"/>
      <c r="H15" s="10">
        <f>AVERAGE(H12:H14)</f>
        <v>0</v>
      </c>
      <c r="I15" s="275" t="str">
        <f>IF(H15&lt;1.5,$L$6,IF(H15&lt;2.5,$L$5,IF(H15&lt;3.5,$L$4,IF(H15&lt;4.5,$L$3,"n/a"))))</f>
        <v>Not at all</v>
      </c>
    </row>
    <row r="16" spans="1:15" s="108" customFormat="1" ht="15" customHeight="1" thickBot="1" x14ac:dyDescent="0.3">
      <c r="A16" s="66" t="str">
        <f>Questionnaire!$A$39</f>
        <v>3. GENDER EQUALITY</v>
      </c>
      <c r="B16" s="342"/>
      <c r="C16" s="342"/>
      <c r="D16" s="342"/>
      <c r="E16" s="67"/>
      <c r="F16" s="67"/>
      <c r="G16" s="67"/>
      <c r="H16" s="67"/>
      <c r="I16" s="279"/>
    </row>
    <row r="17" spans="1:9" s="108" customFormat="1" ht="73" customHeight="1" x14ac:dyDescent="0.25">
      <c r="A17" s="68" t="str">
        <f>Questionnaire!$A$40</f>
        <v>3.1 Economic activities</v>
      </c>
      <c r="B17" s="344">
        <f>Questionnaire!J43</f>
        <v>2.5</v>
      </c>
      <c r="C17" s="345" t="str">
        <f t="shared" ref="C17:C22" si="0">IF(B17&lt;1.5,$L$6,IF(B17&lt;2.5,$L$5,IF(B17&lt;3.5,$L$4,IF(B17&lt;4.5,$L$3,"n/a"))))</f>
        <v>Substantial</v>
      </c>
      <c r="D17" s="336" t="str">
        <f>IF(H17&lt;B17,"↑",IF(H17&gt;B17,"↓","↔"))</f>
        <v>↑</v>
      </c>
      <c r="E17" s="5" t="s">
        <v>318</v>
      </c>
      <c r="F17" s="1" t="s">
        <v>317</v>
      </c>
      <c r="G17" s="1"/>
      <c r="H17" s="235">
        <v>0</v>
      </c>
      <c r="I17" s="276" t="str">
        <f t="shared" ref="I17:I22" si="1">IF(H17&lt;1.5,$L$6,IF(H17&lt;2.5,$L$5,IF(H17&lt;3.5,$L$4,IF(H17&lt;4.5,$L$3,"n/a"))))</f>
        <v>Not at all</v>
      </c>
    </row>
    <row r="18" spans="1:9" s="108" customFormat="1" ht="72" customHeight="1" x14ac:dyDescent="0.25">
      <c r="A18" s="68" t="str">
        <f>Questionnaire!$A$44</f>
        <v>3.2 Access to resources and services</v>
      </c>
      <c r="B18" s="346">
        <f>Questionnaire!J49</f>
        <v>2</v>
      </c>
      <c r="C18" s="350" t="str">
        <f t="shared" si="0"/>
        <v>Moderate/Low</v>
      </c>
      <c r="D18" s="336" t="str">
        <f t="shared" ref="D18:D20" si="2">IF(H18&lt;B18,"↑",IF(H18&gt;B18,"↓","↔"))</f>
        <v>↑</v>
      </c>
      <c r="E18" s="6" t="s">
        <v>318</v>
      </c>
      <c r="F18" s="3" t="s">
        <v>319</v>
      </c>
      <c r="G18" s="3"/>
      <c r="H18" s="236">
        <v>0</v>
      </c>
      <c r="I18" s="276" t="str">
        <f t="shared" si="1"/>
        <v>Not at all</v>
      </c>
    </row>
    <row r="19" spans="1:9" s="108" customFormat="1" ht="70" x14ac:dyDescent="0.25">
      <c r="A19" s="68" t="str">
        <f>Questionnaire!$A$50</f>
        <v>3.3 Decision making</v>
      </c>
      <c r="B19" s="346">
        <f>Questionnaire!J56</f>
        <v>2.2000000000000002</v>
      </c>
      <c r="C19" s="337" t="str">
        <f t="shared" si="0"/>
        <v>Moderate/Low</v>
      </c>
      <c r="D19" s="351" t="str">
        <f t="shared" si="2"/>
        <v>↑</v>
      </c>
      <c r="E19" s="409" t="s">
        <v>320</v>
      </c>
      <c r="F19" s="3" t="s">
        <v>317</v>
      </c>
      <c r="G19" s="241"/>
      <c r="H19" s="239">
        <v>0</v>
      </c>
      <c r="I19" s="276" t="str">
        <f t="shared" si="1"/>
        <v>Not at all</v>
      </c>
    </row>
    <row r="20" spans="1:9" s="108" customFormat="1" ht="56" x14ac:dyDescent="0.25">
      <c r="A20" s="68" t="str">
        <f>Questionnaire!$A$57</f>
        <v>3.4 Leadership and empowerment</v>
      </c>
      <c r="B20" s="346">
        <f>Questionnaire!J62</f>
        <v>2.25</v>
      </c>
      <c r="C20" s="335" t="str">
        <f t="shared" si="0"/>
        <v>Moderate/Low</v>
      </c>
      <c r="D20" s="336" t="str">
        <f t="shared" si="2"/>
        <v>↑</v>
      </c>
      <c r="E20" s="240" t="s">
        <v>321</v>
      </c>
      <c r="F20" s="82" t="s">
        <v>325</v>
      </c>
      <c r="G20" s="82"/>
      <c r="H20" s="236">
        <v>0</v>
      </c>
      <c r="I20" s="276" t="str">
        <f t="shared" si="1"/>
        <v>Not at all</v>
      </c>
    </row>
    <row r="21" spans="1:9" s="108" customFormat="1" ht="84.5" thickBot="1" x14ac:dyDescent="0.3">
      <c r="A21" s="69" t="str">
        <f>Questionnaire!$A$63</f>
        <v>3.5 Hardship and division of labour</v>
      </c>
      <c r="B21" s="347">
        <f>Questionnaire!J66</f>
        <v>2</v>
      </c>
      <c r="C21" s="352" t="str">
        <f t="shared" si="0"/>
        <v>Moderate/Low</v>
      </c>
      <c r="D21" s="339" t="str">
        <f>IF(H21&lt;B21,"↑",IF(H21&gt;B21,"↓","↔"))</f>
        <v>↑</v>
      </c>
      <c r="E21" s="7" t="s">
        <v>322</v>
      </c>
      <c r="F21" s="4" t="s">
        <v>326</v>
      </c>
      <c r="G21" s="4"/>
      <c r="H21" s="237">
        <v>0</v>
      </c>
      <c r="I21" s="247" t="str">
        <f t="shared" si="1"/>
        <v>Not at all</v>
      </c>
    </row>
    <row r="22" spans="1:9" s="105" customFormat="1" ht="13.5" thickTop="1" thickBot="1" x14ac:dyDescent="0.3">
      <c r="A22" s="81" t="s">
        <v>14</v>
      </c>
      <c r="B22" s="348">
        <f>IF(COUNT(B17:B21)=0,"n/a",(AVERAGE(B17:B21)))</f>
        <v>2.19</v>
      </c>
      <c r="C22" s="353" t="str">
        <f t="shared" si="0"/>
        <v>Moderate/Low</v>
      </c>
      <c r="D22" s="341" t="str">
        <f>IF(H22&lt;B22,"↑",IF(H22&gt;B22,"↓","↔"))</f>
        <v>↑</v>
      </c>
      <c r="E22" s="109"/>
      <c r="F22" s="109"/>
      <c r="G22" s="109"/>
      <c r="H22" s="10">
        <f>AVERAGE(H17:H21)</f>
        <v>0</v>
      </c>
      <c r="I22" s="275" t="str">
        <f t="shared" si="1"/>
        <v>Not at all</v>
      </c>
    </row>
    <row r="23" spans="1:9" s="108" customFormat="1" ht="15" customHeight="1" thickBot="1" x14ac:dyDescent="0.3">
      <c r="A23" s="52" t="str">
        <f>Questionnaire!$A$67</f>
        <v>4. FOOD AND NUTRITION SECURITY</v>
      </c>
      <c r="B23" s="342"/>
      <c r="C23" s="342"/>
      <c r="D23" s="342"/>
      <c r="E23" s="70"/>
      <c r="F23" s="70"/>
      <c r="G23" s="70"/>
      <c r="H23" s="70"/>
      <c r="I23" s="280"/>
    </row>
    <row r="24" spans="1:9" s="108" customFormat="1" ht="102" customHeight="1" x14ac:dyDescent="0.25">
      <c r="A24" s="71" t="str">
        <f>Questionnaire!$A$68</f>
        <v xml:space="preserve">4.1 Availability of food </v>
      </c>
      <c r="B24" s="344">
        <f>Questionnaire!J71</f>
        <v>2</v>
      </c>
      <c r="C24" s="345" t="str">
        <f>IF(B24&lt;1.5,$L$6,IF(B24&lt;2.5,$L$5,IF(B24&lt;3.5,$L$4,IF(B24&lt;4.5,$L$3,"n/a"))))</f>
        <v>Moderate/Low</v>
      </c>
      <c r="D24" s="333" t="str">
        <f>IF(H24&lt;B24,"↑",IF(H24&gt;B24,"↓","↔"))</f>
        <v>↑</v>
      </c>
      <c r="E24" s="5" t="s">
        <v>323</v>
      </c>
      <c r="F24" s="1" t="s">
        <v>324</v>
      </c>
      <c r="G24" s="1"/>
      <c r="H24" s="235">
        <v>0</v>
      </c>
      <c r="I24" s="276" t="str">
        <f>IF(H24&lt;1.5,$L$6,IF(H24&lt;2.5,$L$5,IF(H24&lt;3.5,$L$4,IF(H24&lt;4.5,$L$3,"n/a"))))</f>
        <v>Not at all</v>
      </c>
    </row>
    <row r="25" spans="1:9" s="108" customFormat="1" ht="46.5" customHeight="1" x14ac:dyDescent="0.25">
      <c r="A25" s="72" t="str">
        <f>Questionnaire!$A$72</f>
        <v xml:space="preserve">4.2 Accessibility of food </v>
      </c>
      <c r="B25" s="346">
        <f>Questionnaire!J75</f>
        <v>1.5</v>
      </c>
      <c r="C25" s="337" t="str">
        <f>IF(B25&lt;1.5,$L$6,IF(B25&lt;2.5,$L$5,IF(B25&lt;3.5,$L$4,IF(B25&lt;4.5,$L$3,"n/a"))))</f>
        <v>Moderate/Low</v>
      </c>
      <c r="D25" s="336" t="str">
        <f>IF(H25&lt;B25,"↑",IF(H25&gt;B25,"↓","↔"))</f>
        <v>↑</v>
      </c>
      <c r="E25" s="6" t="s">
        <v>327</v>
      </c>
      <c r="F25" s="409" t="s">
        <v>328</v>
      </c>
      <c r="G25" s="3"/>
      <c r="H25" s="236">
        <v>0</v>
      </c>
      <c r="I25" s="276" t="str">
        <f>IF(H25&lt;1.5,$L$6,IF(H25&lt;2.5,$L$5,IF(H25&lt;3.5,$L$4,IF(H25&lt;4.5,$L$3,"n/a"))))</f>
        <v>Not at all</v>
      </c>
    </row>
    <row r="26" spans="1:9" s="108" customFormat="1" ht="112" x14ac:dyDescent="0.25">
      <c r="A26" s="73" t="str">
        <f>Questionnaire!$A$76</f>
        <v xml:space="preserve">4.3 Utilisation and nutritional adequacy </v>
      </c>
      <c r="B26" s="346">
        <f>Questionnaire!J80</f>
        <v>2</v>
      </c>
      <c r="C26" s="337" t="str">
        <f>IF(B26&lt;1.5,$L$6,IF(B26&lt;2.5,$L$5,IF(B26&lt;3.5,$L$4,IF(B26&lt;4.5,$L$3,"n/a"))))</f>
        <v>Moderate/Low</v>
      </c>
      <c r="D26" s="336" t="str">
        <f>IF(H26&lt;B26,"↑",IF(H26&gt;B26,"↓","↔"))</f>
        <v>↑</v>
      </c>
      <c r="E26" s="6" t="s">
        <v>329</v>
      </c>
      <c r="F26" s="3" t="s">
        <v>330</v>
      </c>
      <c r="G26" s="3"/>
      <c r="H26" s="236">
        <v>0</v>
      </c>
      <c r="I26" s="276" t="str">
        <f>IF(H26&lt;1.5,$L$6,IF(H26&lt;2.5,$L$5,IF(H26&lt;3.5,$L$4,IF(H26&lt;4.5,$L$3,"n/a"))))</f>
        <v>Not at all</v>
      </c>
    </row>
    <row r="27" spans="1:9" s="108" customFormat="1" ht="14.5" thickBot="1" x14ac:dyDescent="0.3">
      <c r="A27" s="74" t="str">
        <f>Questionnaire!$A$81</f>
        <v xml:space="preserve">4.4 Stability </v>
      </c>
      <c r="B27" s="347">
        <f>Questionnaire!J84</f>
        <v>2</v>
      </c>
      <c r="C27" s="335" t="str">
        <f>IF(B27&lt;1.5,$L$6,IF(B27&lt;2.5,$L$5,IF(B27&lt;3.5,$L$4,IF(B27&lt;4.5,$L$3,"n/a"))))</f>
        <v>Moderate/Low</v>
      </c>
      <c r="D27" s="339" t="str">
        <f>IF(H27&lt;B27,"↑",IF(H27&gt;B27,"↓","↔"))</f>
        <v>↑</v>
      </c>
      <c r="E27" s="7"/>
      <c r="F27" s="4"/>
      <c r="G27" s="4"/>
      <c r="H27" s="237">
        <v>0</v>
      </c>
      <c r="I27" s="247" t="str">
        <f>IF(H27&lt;1.5,$L$6,IF(H27&lt;2.5,$L$5,IF(H27&lt;3.5,$L$4,IF(H27&lt;4.5,$L$3,"n/a"))))</f>
        <v>Not at all</v>
      </c>
    </row>
    <row r="28" spans="1:9" s="105" customFormat="1" ht="13.5" thickTop="1" thickBot="1" x14ac:dyDescent="0.3">
      <c r="A28" s="75" t="s">
        <v>14</v>
      </c>
      <c r="B28" s="348">
        <f>IF(COUNT(B24:B27)=0,"n/a",(AVERAGE(B24:B27)))</f>
        <v>1.875</v>
      </c>
      <c r="C28" s="349" t="str">
        <f>IF(B28&lt;1.5,$L$6,IF(B28&lt;2.5,$L$5,IF(B28&lt;3.5,$L$4,IF(B28&lt;4.5,$L$3,"n/a"))))</f>
        <v>Moderate/Low</v>
      </c>
      <c r="D28" s="341" t="str">
        <f>IF(H28&lt;B28,"↑",IF(H28&gt;B28,"↓","↔"))</f>
        <v>↑</v>
      </c>
      <c r="E28" s="109"/>
      <c r="F28" s="109"/>
      <c r="G28" s="109"/>
      <c r="H28" s="10">
        <f>AVERAGE(H24:H27)</f>
        <v>0</v>
      </c>
      <c r="I28" s="275" t="str">
        <f>IF(H28&lt;1.5,$L$6,IF(H28&lt;2.5,$L$5,IF(H28&lt;3.5,$L$4,IF(H28&lt;4.5,$L$3,"n/a"))))</f>
        <v>Not at all</v>
      </c>
    </row>
    <row r="29" spans="1:9" s="105" customFormat="1" ht="13.5" thickBot="1" x14ac:dyDescent="0.3">
      <c r="A29" s="304" t="str">
        <f>Questionnaire!$A$85</f>
        <v>5. SOCIAL CAPITAL</v>
      </c>
      <c r="B29" s="354"/>
      <c r="C29" s="355"/>
      <c r="D29" s="355"/>
      <c r="E29" s="296"/>
      <c r="F29" s="296"/>
      <c r="G29" s="296"/>
      <c r="H29" s="297"/>
      <c r="I29" s="298"/>
    </row>
    <row r="30" spans="1:9" s="105" customFormat="1" ht="22.5" customHeight="1" x14ac:dyDescent="0.25">
      <c r="A30" s="301" t="str">
        <f>Questionnaire!$A$86</f>
        <v>5.1 Strength of producer organisations</v>
      </c>
      <c r="B30" s="356">
        <f>Questionnaire!J91</f>
        <v>2.25</v>
      </c>
      <c r="C30" s="332" t="str">
        <f>IF(B30&lt;1.5,$L$6,IF(B30&lt;2.5,$L$5,IF(B30&lt;3.5,$L$4,IF(B30&lt;4.5,$L$3,"n/a"))))</f>
        <v>Moderate/Low</v>
      </c>
      <c r="D30" s="333" t="str">
        <f t="shared" ref="D30:D32" si="3">IF(H30&lt;B30,"↑",IF(H30&gt;B30,"↓","↔"))</f>
        <v>↑</v>
      </c>
      <c r="E30" s="399" t="s">
        <v>331</v>
      </c>
      <c r="F30" s="400" t="s">
        <v>332</v>
      </c>
      <c r="G30" s="401"/>
      <c r="H30" s="235">
        <v>0</v>
      </c>
      <c r="I30" s="276" t="str">
        <f>IF(H30&lt;1.5,$L$6,IF(H30&lt;2.5,$L$5,IF(H30&lt;3.5,$L$4,IF(H30&lt;4.5,$L$3,"n/a"))))</f>
        <v>Not at all</v>
      </c>
    </row>
    <row r="31" spans="1:9" s="105" customFormat="1" x14ac:dyDescent="0.25">
      <c r="A31" s="302" t="str">
        <f>Questionnaire!$A$92</f>
        <v>5.2 Information and confidence</v>
      </c>
      <c r="B31" s="357">
        <f>Questionnaire!J95</f>
        <v>2</v>
      </c>
      <c r="C31" s="337" t="str">
        <f>IF(B31&lt;1.5,$L$6,IF(B31&lt;2.5,$L$5,IF(B31&lt;3.5,$L$4,IF(B31&lt;4.5,$L$3,"n/a"))))</f>
        <v>Moderate/Low</v>
      </c>
      <c r="D31" s="350" t="str">
        <f t="shared" si="3"/>
        <v>↑</v>
      </c>
      <c r="E31" s="402" t="s">
        <v>333</v>
      </c>
      <c r="F31" s="403"/>
      <c r="G31" s="404"/>
      <c r="H31" s="235">
        <v>0</v>
      </c>
      <c r="I31" s="276" t="str">
        <f>IF(H31&lt;1.5,$L$6,IF(H31&lt;2.5,$L$5,IF(H31&lt;3.5,$L$4,IF(H31&lt;4.5,$L$3,"n/a"))))</f>
        <v>Not at all</v>
      </c>
    </row>
    <row r="32" spans="1:9" s="105" customFormat="1" ht="13" thickBot="1" x14ac:dyDescent="0.3">
      <c r="A32" s="303" t="str">
        <f>Questionnaire!$A$96</f>
        <v>5.3 Social involvement</v>
      </c>
      <c r="B32" s="358">
        <f>Questionnaire!J100</f>
        <v>2</v>
      </c>
      <c r="C32" s="335" t="str">
        <f>IF(B32&lt;1.5,$L$6,IF(B32&lt;2.5,$L$5,IF(B32&lt;3.5,$L$4,IF(B32&lt;4.5,$L$3,"n/a"))))</f>
        <v>Moderate/Low</v>
      </c>
      <c r="D32" s="352" t="str">
        <f t="shared" si="3"/>
        <v>↑</v>
      </c>
      <c r="E32" s="405" t="s">
        <v>334</v>
      </c>
      <c r="F32" s="406"/>
      <c r="G32" s="407"/>
      <c r="H32" s="237">
        <v>0</v>
      </c>
      <c r="I32" s="243" t="str">
        <f>IF(H32&lt;1.5,$L$6,IF(H32&lt;2.5,$L$5,IF(H32&lt;3.5,$L$4,IF(H32&lt;4.5,$L$3,"n/a"))))</f>
        <v>Not at all</v>
      </c>
    </row>
    <row r="33" spans="1:9" s="105" customFormat="1" ht="13.5" thickTop="1" thickBot="1" x14ac:dyDescent="0.3">
      <c r="A33" s="299" t="s">
        <v>14</v>
      </c>
      <c r="B33" s="348">
        <f>IF(COUNT(B30:B32)=0,"n/a",(AVERAGE(B30:B32)))</f>
        <v>2.0833333333333335</v>
      </c>
      <c r="C33" s="349" t="str">
        <f>IF(B33&lt;1.5,$L$6,IF(B33&lt;2.5,$L$5,IF(B33&lt;3.5,$L$4,IF(B33&lt;4.5,$L$3,"n/a"))))</f>
        <v>Moderate/Low</v>
      </c>
      <c r="D33" s="341" t="str">
        <f>IF(H33&lt;B33,"↑",IF(H33&gt;B33,"↓","↔"))</f>
        <v>↑</v>
      </c>
      <c r="E33" s="109"/>
      <c r="F33" s="300"/>
      <c r="G33" s="109"/>
      <c r="H33" s="10">
        <f>AVERAGE(H30:H32)</f>
        <v>0</v>
      </c>
      <c r="I33" s="284" t="str">
        <f>IF(H33&lt;1.5,$L$6,IF(H33&lt;2.5,$L$5,IF(H33&lt;3.5,$L$4,IF(H33&lt;4.5,$L$3,"n/a"))))</f>
        <v>Not at all</v>
      </c>
    </row>
    <row r="34" spans="1:9" s="108" customFormat="1" ht="15" customHeight="1" thickBot="1" x14ac:dyDescent="0.3">
      <c r="A34" s="76" t="str">
        <f>Questionnaire!$A$101</f>
        <v>6. LIVING CONDITIONS</v>
      </c>
      <c r="B34" s="359"/>
      <c r="C34" s="360"/>
      <c r="D34" s="360"/>
      <c r="E34" s="78"/>
      <c r="F34" s="78"/>
      <c r="G34" s="78"/>
      <c r="H34" s="77"/>
      <c r="I34" s="281"/>
    </row>
    <row r="35" spans="1:9" s="108" customFormat="1" ht="58" customHeight="1" thickBot="1" x14ac:dyDescent="0.3">
      <c r="A35" s="244" t="str">
        <f>Questionnaire!$A$102</f>
        <v>6.1 Health services</v>
      </c>
      <c r="B35" s="361">
        <f>Questionnaire!J106</f>
        <v>2</v>
      </c>
      <c r="C35" s="345" t="str">
        <f>IF(B35&lt;1.5,$L$6,IF(B35&lt;2.5,$L$5,IF(B35&lt;3.5,$L$4,IF(B35&lt;4.5,$L$3,"n/a"))))</f>
        <v>Moderate/Low</v>
      </c>
      <c r="D35" s="362" t="str">
        <f>IF(H35&lt;B35,"↑",IF(H35&gt;B35,"↓","↔"))</f>
        <v>↑</v>
      </c>
      <c r="E35" s="5" t="s">
        <v>335</v>
      </c>
      <c r="F35" s="410" t="s">
        <v>245</v>
      </c>
      <c r="G35" s="5"/>
      <c r="H35" s="238">
        <v>0</v>
      </c>
      <c r="I35" s="276" t="str">
        <f>IF(H35&lt;1.5,$L$6,IF(H35&lt;2.5,$L$5,IF(H35&lt;3.5,$L$4,IF(H35&lt;4.5,$L$3,"n/a"))))</f>
        <v>Not at all</v>
      </c>
    </row>
    <row r="36" spans="1:9" s="108" customFormat="1" ht="70.75" customHeight="1" thickTop="1" thickBot="1" x14ac:dyDescent="0.3">
      <c r="A36" s="79" t="str">
        <f>Questionnaire!$A$107</f>
        <v>6.2 Housing</v>
      </c>
      <c r="B36" s="346">
        <f>Questionnaire!J110</f>
        <v>2</v>
      </c>
      <c r="C36" s="337" t="str">
        <f>IF(B36&lt;1.5,$L$6,IF(B36&lt;2.5,$L$5,IF(B36&lt;3.5,$L$4,IF(B36&lt;4.5,$L$3,"n/a"))))</f>
        <v>Moderate/Low</v>
      </c>
      <c r="D36" s="337" t="str">
        <f>IF(H36&lt;B36,"↑",IF(H36&gt;B36,"↓","↔"))</f>
        <v>↑</v>
      </c>
      <c r="E36" s="6" t="s">
        <v>336</v>
      </c>
      <c r="F36" s="242" t="s">
        <v>337</v>
      </c>
      <c r="G36" s="6"/>
      <c r="H36" s="238">
        <v>0</v>
      </c>
      <c r="I36" s="276" t="str">
        <f>IF(H36&lt;1.5,$L$6,IF(H36&lt;2.5,$L$5,IF(H36&lt;3.5,$L$4,IF(H36&lt;4.5,$L$3,"n/a"))))</f>
        <v>Not at all</v>
      </c>
    </row>
    <row r="37" spans="1:9" s="108" customFormat="1" ht="60.5" customHeight="1" thickTop="1" thickBot="1" x14ac:dyDescent="0.3">
      <c r="A37" s="245" t="str">
        <f>Questionnaire!$A$111</f>
        <v>6.3 Education and training</v>
      </c>
      <c r="B37" s="361">
        <f>Questionnaire!J115</f>
        <v>1.6666666666666667</v>
      </c>
      <c r="C37" s="337" t="str">
        <f>IF(B37&lt;1.5,$L$6,IF(B37&lt;2.5,$L$5,IF(B37&lt;3.5,$L$4,IF(B37&lt;4.5,$L$3,"n/a"))))</f>
        <v>Moderate/Low</v>
      </c>
      <c r="D37" s="362" t="str">
        <f>IF(H37&lt;B37,"↑",IF(H37&gt;B37,"↓","↔"))</f>
        <v>↑</v>
      </c>
      <c r="E37" s="6" t="s">
        <v>338</v>
      </c>
      <c r="F37" s="242" t="s">
        <v>339</v>
      </c>
      <c r="G37" s="6"/>
      <c r="H37" s="238">
        <v>0</v>
      </c>
      <c r="I37" s="276" t="str">
        <f>IF(H37&lt;1.5,$L$6,IF(H37&lt;2.5,$L$5,IF(H37&lt;3.5,$L$4,IF(H37&lt;4.5,$L$3,"n/a"))))</f>
        <v>Not at all</v>
      </c>
    </row>
    <row r="38" spans="1:9" s="108" customFormat="1" ht="47.5" customHeight="1" thickTop="1" thickBot="1" x14ac:dyDescent="0.3">
      <c r="A38" s="246" t="str">
        <f>Questionnaire!$A$116</f>
        <v>6.4 Mobility ??????</v>
      </c>
      <c r="B38" s="347">
        <f>Questionnaire!J120</f>
        <v>2</v>
      </c>
      <c r="C38" s="335" t="str">
        <f>IF(B38&lt;1.5,$L$6,IF(B38&lt;2.5,$L$5,IF(B38&lt;3.5,$L$4,IF(B38&lt;4.5,$L$3,"n/a"))))</f>
        <v>Moderate/Low</v>
      </c>
      <c r="D38" s="352" t="str">
        <f>IF(H38&lt;B38,"↑",IF(H38&gt;B38,"↓","↔"))</f>
        <v>↑</v>
      </c>
      <c r="E38" s="8"/>
      <c r="F38" s="9"/>
      <c r="G38" s="9"/>
      <c r="H38" s="238">
        <v>0</v>
      </c>
      <c r="I38" s="247" t="str">
        <f>IF(H38&lt;1.5,$L$6,IF(H38&lt;2.5,$L$5,IF(H38&lt;3.5,$L$4,IF(H38&lt;4.5,$L$3,"n/a"))))</f>
        <v>Not at all</v>
      </c>
    </row>
    <row r="39" spans="1:9" s="105" customFormat="1" ht="13.5" thickTop="1" thickBot="1" x14ac:dyDescent="0.3">
      <c r="A39" s="80" t="s">
        <v>14</v>
      </c>
      <c r="B39" s="340">
        <f>IF(COUNT(B35:B38)=0,"n/a",(AVERAGE(B35:B38)))</f>
        <v>1.9166666666666667</v>
      </c>
      <c r="C39" s="349" t="str">
        <f>IF(B39&lt;1.5,$L$6,IF(B39&lt;2.5,$L$5,IF(B39&lt;3.5,$L$4,IF(B39&lt;4.5,$L$3,"n/a"))))</f>
        <v>Moderate/Low</v>
      </c>
      <c r="D39" s="341" t="str">
        <f>IF(H39&lt;B39,"↑",IF(H39&gt;B39,"↓","↔"))</f>
        <v>↑</v>
      </c>
      <c r="E39" s="109"/>
      <c r="F39" s="109"/>
      <c r="G39" s="109"/>
      <c r="H39" s="10">
        <f>AVERAGE(H35:H38)</f>
        <v>0</v>
      </c>
      <c r="I39" s="282" t="str">
        <f>IF(H39&lt;1.5,$L$6,IF(H39&lt;2.5,$L$5,IF(H39&lt;3.5,$L$4,IF(H39&lt;4.5,$L$3,"n/a"))))</f>
        <v>Not at all</v>
      </c>
    </row>
    <row r="40" spans="1:9" x14ac:dyDescent="0.25">
      <c r="B40" s="272"/>
      <c r="C40" s="274"/>
      <c r="I40" s="274"/>
    </row>
    <row r="41" spans="1:9" x14ac:dyDescent="0.25">
      <c r="C41" s="110"/>
    </row>
    <row r="44" spans="1:9" x14ac:dyDescent="0.25">
      <c r="D44"/>
      <c r="I44"/>
    </row>
    <row r="45" spans="1:9" x14ac:dyDescent="0.25">
      <c r="F45" s="111"/>
    </row>
    <row r="46" spans="1:9" x14ac:dyDescent="0.25">
      <c r="B46" s="271"/>
    </row>
  </sheetData>
  <sheetProtection password="CC15" sheet="1" objects="1" scenarios="1" formatRows="0"/>
  <mergeCells count="12">
    <mergeCell ref="D1:E1"/>
    <mergeCell ref="H1:I1"/>
    <mergeCell ref="A1:B1"/>
    <mergeCell ref="H3:I3"/>
    <mergeCell ref="A2:A4"/>
    <mergeCell ref="D2:D4"/>
    <mergeCell ref="G2:G4"/>
    <mergeCell ref="H2:I2"/>
    <mergeCell ref="F2:F4"/>
    <mergeCell ref="E2:E4"/>
    <mergeCell ref="B2:B4"/>
    <mergeCell ref="C2:C4"/>
  </mergeCells>
  <phoneticPr fontId="1" type="noConversion"/>
  <conditionalFormatting sqref="A28:A33 C28:I33 A16:I18 A19:D19 F19:I19 A20:I21 A23:I24 A25:E25 G25:I25 A26:I27">
    <cfRule type="cellIs" dxfId="87" priority="6" operator="equal">
      <formula>$L$4</formula>
    </cfRule>
  </conditionalFormatting>
  <conditionalFormatting sqref="A5:I9 A10 C10:I10 A11:I14 A15 C15:I15 A22 C22:I22 A34:I38 A39 C39:I39">
    <cfRule type="cellIs" dxfId="86" priority="47" operator="equal">
      <formula>$L$4</formula>
    </cfRule>
    <cfRule type="cellIs" dxfId="85" priority="48" operator="equal">
      <formula>$L$3</formula>
    </cfRule>
    <cfRule type="cellIs" dxfId="84" priority="57" operator="equal">
      <formula>$L$6</formula>
    </cfRule>
  </conditionalFormatting>
  <conditionalFormatting sqref="A5:I9 C10:I10 A11:I14 C15:I15 A16:I18 C22:I22 A23:I24 A34:I38 C39:I39 A19:D19 F19:I19 A20:I21 A25:E25 G25:I25 A26:I27 A10 A15 A22 A39">
    <cfRule type="cellIs" dxfId="83" priority="46" operator="equal">
      <formula>$L$5</formula>
    </cfRule>
  </conditionalFormatting>
  <conditionalFormatting sqref="A16:I18 A19:D19 F19:I19 A20:I21 A23:I24 A25:E25 G25:I25 A26:I27 A28:A33 C28:I33">
    <cfRule type="cellIs" dxfId="82" priority="7" operator="equal">
      <formula>$L$3</formula>
    </cfRule>
    <cfRule type="cellIs" dxfId="81" priority="8" operator="equal">
      <formula>$L$6</formula>
    </cfRule>
  </conditionalFormatting>
  <conditionalFormatting sqref="C1">
    <cfRule type="cellIs" dxfId="80" priority="21" operator="equal">
      <formula>"High"</formula>
    </cfRule>
    <cfRule type="cellIs" dxfId="79" priority="22" operator="equal">
      <formula>"Substantial"</formula>
    </cfRule>
    <cfRule type="cellIs" dxfId="78" priority="23" operator="equal">
      <formula>"Moderate"</formula>
    </cfRule>
    <cfRule type="cellIs" dxfId="77" priority="24" operator="equal">
      <formula>"Low"</formula>
    </cfRule>
  </conditionalFormatting>
  <conditionalFormatting sqref="C28:I33 A28:A33">
    <cfRule type="cellIs" dxfId="76" priority="5" operator="equal">
      <formula>$L$5</formula>
    </cfRule>
  </conditionalFormatting>
  <conditionalFormatting sqref="F1">
    <cfRule type="cellIs" dxfId="75" priority="17" operator="equal">
      <formula>"High"</formula>
    </cfRule>
    <cfRule type="cellIs" dxfId="74" priority="18" operator="equal">
      <formula>"Substantial"</formula>
    </cfRule>
    <cfRule type="cellIs" dxfId="73" priority="19" operator="equal">
      <formula>"Moderate"</formula>
    </cfRule>
    <cfRule type="cellIs" dxfId="72" priority="20" operator="equal">
      <formula>"Low"</formula>
    </cfRule>
  </conditionalFormatting>
  <conditionalFormatting sqref="G2 G5 G10:G11 G15:G16 G22:G23">
    <cfRule type="containsText" dxfId="71" priority="44" operator="containsText" text="Low">
      <formula>NOT(ISERROR(SEARCH("Low",G2)))</formula>
    </cfRule>
  </conditionalFormatting>
  <conditionalFormatting sqref="G15:G16 G22:G23 G2 G5 G10:G11">
    <cfRule type="cellIs" dxfId="70" priority="41" operator="equal">
      <formula>"High"</formula>
    </cfRule>
    <cfRule type="cellIs" dxfId="69" priority="42" operator="equal">
      <formula>"Substantial"</formula>
    </cfRule>
    <cfRule type="cellIs" dxfId="68" priority="43" operator="equal">
      <formula>"Moderate"</formula>
    </cfRule>
  </conditionalFormatting>
  <conditionalFormatting sqref="G28:G34">
    <cfRule type="cellIs" dxfId="67" priority="1" operator="equal">
      <formula>"High"</formula>
    </cfRule>
    <cfRule type="cellIs" dxfId="66" priority="2" operator="equal">
      <formula>"Substantial"</formula>
    </cfRule>
    <cfRule type="cellIs" dxfId="65" priority="3" operator="equal">
      <formula>"Moderate"</formula>
    </cfRule>
    <cfRule type="containsText" dxfId="64" priority="4" operator="containsText" text="Low">
      <formula>NOT(ISERROR(SEARCH("Low",G28)))</formula>
    </cfRule>
  </conditionalFormatting>
  <conditionalFormatting sqref="G39:H39">
    <cfRule type="cellIs" dxfId="63" priority="29" operator="equal">
      <formula>"High"</formula>
    </cfRule>
    <cfRule type="cellIs" dxfId="62" priority="30" operator="equal">
      <formula>"Substantial"</formula>
    </cfRule>
    <cfRule type="cellIs" dxfId="61" priority="31" operator="equal">
      <formula>"Moderate"</formula>
    </cfRule>
    <cfRule type="containsText" dxfId="60" priority="32" operator="containsText" text="Low">
      <formula>NOT(ISERROR(SEARCH("Low",G39)))</formula>
    </cfRule>
  </conditionalFormatting>
  <conditionalFormatting sqref="H35:I38">
    <cfRule type="cellIs" dxfId="59" priority="33" operator="equal">
      <formula>"High"</formula>
    </cfRule>
    <cfRule type="cellIs" dxfId="58" priority="34" operator="equal">
      <formula>"Substantial"</formula>
    </cfRule>
    <cfRule type="cellIs" dxfId="57" priority="35" operator="equal">
      <formula>"Moderate"</formula>
    </cfRule>
    <cfRule type="containsText" dxfId="56" priority="36" operator="containsText" text="Low">
      <formula>NOT(ISERROR(SEARCH("Low",H35)))</formula>
    </cfRule>
  </conditionalFormatting>
  <pageMargins left="0.70866141732283472" right="0.70866141732283472" top="0.74803149606299213" bottom="0.74803149606299213" header="0.31496062992125984" footer="0.31496062992125984"/>
  <pageSetup paperSize="8" scale="80" orientation="landscape" r:id="rId1"/>
  <headerFooter alignWithMargins="0"/>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S120"/>
  <sheetViews>
    <sheetView zoomScaleNormal="100" zoomScaleSheetLayoutView="100" workbookViewId="0">
      <pane ySplit="2" topLeftCell="A41" activePane="bottomLeft" state="frozen"/>
      <selection pane="bottomLeft" activeCell="D1" sqref="D1:E1"/>
    </sheetView>
  </sheetViews>
  <sheetFormatPr defaultColWidth="8.81640625" defaultRowHeight="12.5" x14ac:dyDescent="0.25"/>
  <cols>
    <col min="1" max="1" width="18" customWidth="1"/>
    <col min="2" max="2" width="29" customWidth="1"/>
    <col min="3" max="3" width="30.54296875" style="159" customWidth="1"/>
    <col min="4" max="4" width="14.36328125" style="160" customWidth="1"/>
    <col min="5" max="6" width="7.36328125" style="25" customWidth="1"/>
    <col min="7" max="7" width="1.1796875" style="25" customWidth="1"/>
    <col min="8" max="8" width="7.36328125" style="25" customWidth="1"/>
    <col min="9" max="9" width="12.54296875" style="25" customWidth="1"/>
    <col min="10" max="10" width="12.1796875" style="25" customWidth="1"/>
    <col min="11" max="11" width="65.81640625" customWidth="1"/>
    <col min="12" max="12" width="15.54296875" style="159" customWidth="1"/>
    <col min="13" max="13" width="13.36328125" hidden="1" customWidth="1"/>
    <col min="14" max="14" width="14.81640625" hidden="1" customWidth="1"/>
    <col min="15" max="15" width="11.1796875" hidden="1" customWidth="1"/>
    <col min="16" max="16" width="13.81640625" customWidth="1"/>
  </cols>
  <sheetData>
    <row r="1" spans="1:15" ht="21" customHeight="1" thickBot="1" x14ac:dyDescent="0.4">
      <c r="A1" s="366" t="s">
        <v>27</v>
      </c>
      <c r="B1" s="367" t="str">
        <f>Profile!F1</f>
        <v>Groundnut</v>
      </c>
      <c r="C1" s="365" t="s">
        <v>22</v>
      </c>
      <c r="D1" s="456" t="str">
        <f>Profile!E2</f>
        <v>madagascar</v>
      </c>
      <c r="E1" s="457"/>
      <c r="F1" s="363" t="s">
        <v>26</v>
      </c>
      <c r="G1" s="368"/>
      <c r="H1" s="369"/>
      <c r="I1" s="370"/>
      <c r="J1" s="364" t="str">
        <f>Profile!B3</f>
        <v xml:space="preserve"> 05 / 01/ 20 .26</v>
      </c>
      <c r="K1" s="112"/>
      <c r="L1" s="371" t="s">
        <v>177</v>
      </c>
    </row>
    <row r="2" spans="1:15" s="104" customFormat="1" ht="15" customHeight="1" thickBot="1" x14ac:dyDescent="0.3">
      <c r="A2" s="540" t="s">
        <v>0</v>
      </c>
      <c r="B2" s="541"/>
      <c r="C2" s="372" t="s">
        <v>2</v>
      </c>
      <c r="D2" s="372" t="s">
        <v>87</v>
      </c>
      <c r="E2" s="372" t="s">
        <v>88</v>
      </c>
      <c r="F2" s="540" t="s">
        <v>86</v>
      </c>
      <c r="G2" s="541"/>
      <c r="H2" s="541"/>
      <c r="I2" s="541"/>
      <c r="J2" s="541"/>
      <c r="K2" s="541"/>
      <c r="L2" s="373"/>
      <c r="M2" s="106"/>
    </row>
    <row r="3" spans="1:15" s="104" customFormat="1" ht="24.75" customHeight="1" thickBot="1" x14ac:dyDescent="0.35">
      <c r="A3" s="113" t="s">
        <v>213</v>
      </c>
      <c r="B3" s="114"/>
      <c r="C3" s="114"/>
      <c r="D3" s="114"/>
      <c r="E3" s="114"/>
      <c r="F3" s="114"/>
      <c r="G3" s="114"/>
      <c r="H3" s="114"/>
      <c r="I3" s="114"/>
      <c r="J3" s="114"/>
      <c r="K3" s="114"/>
      <c r="L3" s="374"/>
      <c r="N3" s="16" t="s">
        <v>4</v>
      </c>
      <c r="O3" s="104">
        <v>4.5</v>
      </c>
    </row>
    <row r="4" spans="1:15" s="104" customFormat="1" ht="21" customHeight="1" x14ac:dyDescent="0.3">
      <c r="A4" s="115" t="s">
        <v>29</v>
      </c>
      <c r="B4" s="116"/>
      <c r="C4" s="116"/>
      <c r="D4" s="116"/>
      <c r="E4" s="116"/>
      <c r="F4" s="116"/>
      <c r="G4" s="116"/>
      <c r="H4" s="116"/>
      <c r="I4" s="116"/>
      <c r="J4" s="116"/>
      <c r="K4" s="116"/>
      <c r="L4" s="374"/>
      <c r="N4" s="16" t="s">
        <v>5</v>
      </c>
      <c r="O4" s="104">
        <v>3.5</v>
      </c>
    </row>
    <row r="5" spans="1:15" s="104" customFormat="1" ht="151" customHeight="1" x14ac:dyDescent="0.25">
      <c r="A5" s="516" t="s">
        <v>71</v>
      </c>
      <c r="B5" s="516"/>
      <c r="C5" s="37" t="s">
        <v>233</v>
      </c>
      <c r="D5" s="48" t="s">
        <v>42</v>
      </c>
      <c r="E5" s="117">
        <f>IF(D5=$N$6,1,IF(D5=$N$5,2,IF(D5=$N$4,3,IF(D5=$N$3,4,"n/a"))))</f>
        <v>2</v>
      </c>
      <c r="F5" s="517" t="s">
        <v>345</v>
      </c>
      <c r="G5" s="517"/>
      <c r="H5" s="517"/>
      <c r="I5" s="517"/>
      <c r="J5" s="517"/>
      <c r="K5" s="517"/>
      <c r="L5" s="374"/>
      <c r="N5" s="106" t="s">
        <v>42</v>
      </c>
      <c r="O5" s="105">
        <v>2.5</v>
      </c>
    </row>
    <row r="6" spans="1:15" s="104" customFormat="1" ht="112.5" customHeight="1" x14ac:dyDescent="0.25">
      <c r="A6" s="516" t="s">
        <v>30</v>
      </c>
      <c r="B6" s="516"/>
      <c r="C6" s="37" t="s">
        <v>222</v>
      </c>
      <c r="D6" s="48" t="s">
        <v>42</v>
      </c>
      <c r="E6" s="117">
        <f>IF(D6=$N$6,1,IF(D6=$N$5,2,IF(D6=$N$4,3,IF(D6=$N$3,4,"n/a"))))</f>
        <v>2</v>
      </c>
      <c r="F6" s="517" t="s">
        <v>344</v>
      </c>
      <c r="G6" s="517"/>
      <c r="H6" s="517"/>
      <c r="I6" s="517"/>
      <c r="J6" s="517"/>
      <c r="K6" s="517"/>
      <c r="L6" s="374"/>
      <c r="N6" s="106" t="s">
        <v>79</v>
      </c>
      <c r="O6" s="105">
        <v>1.5</v>
      </c>
    </row>
    <row r="7" spans="1:15" s="104" customFormat="1" ht="80.5" customHeight="1" x14ac:dyDescent="0.3">
      <c r="A7" s="516" t="s">
        <v>186</v>
      </c>
      <c r="B7" s="516"/>
      <c r="C7" s="37" t="s">
        <v>348</v>
      </c>
      <c r="D7" s="48" t="s">
        <v>42</v>
      </c>
      <c r="E7" s="117">
        <f>IF(D7=$N$6,1,IF(D7=$N$5,2,IF(D7=$N$4,3,IF(D7=$N$3,4,"n/a"))))</f>
        <v>2</v>
      </c>
      <c r="F7" s="517" t="s">
        <v>346</v>
      </c>
      <c r="G7" s="517"/>
      <c r="H7" s="517"/>
      <c r="I7" s="517"/>
      <c r="J7" s="517"/>
      <c r="K7" s="517"/>
      <c r="L7" s="374"/>
      <c r="N7" s="16" t="s">
        <v>19</v>
      </c>
    </row>
    <row r="8" spans="1:15" s="104" customFormat="1" ht="130.75" customHeight="1" x14ac:dyDescent="0.25">
      <c r="A8" s="516" t="s">
        <v>40</v>
      </c>
      <c r="B8" s="516"/>
      <c r="C8" s="37" t="s">
        <v>223</v>
      </c>
      <c r="D8" s="48" t="s">
        <v>42</v>
      </c>
      <c r="E8" s="117">
        <f>IF(D8=$N$6,1,IF(D8=$N$5,2,IF(D8=$N$4,3,IF(D8=$N$3,4,"n/a"))))</f>
        <v>2</v>
      </c>
      <c r="F8" s="517" t="s">
        <v>350</v>
      </c>
      <c r="G8" s="517"/>
      <c r="H8" s="517"/>
      <c r="I8" s="517"/>
      <c r="J8" s="517"/>
      <c r="K8" s="517"/>
      <c r="L8" s="374"/>
      <c r="N8" s="106"/>
    </row>
    <row r="9" spans="1:15" s="104" customFormat="1" ht="102.5" customHeight="1" thickBot="1" x14ac:dyDescent="0.3">
      <c r="A9" s="518" t="s">
        <v>59</v>
      </c>
      <c r="B9" s="518"/>
      <c r="C9" s="178" t="s">
        <v>224</v>
      </c>
      <c r="D9" s="166" t="s">
        <v>42</v>
      </c>
      <c r="E9" s="174">
        <f>IF(D9=$N$6,1,IF(D9=$N$5,2,IF(D9=$N$4,3,IF(D9=$N$3,4,"n/a"))))</f>
        <v>2</v>
      </c>
      <c r="F9" s="573" t="s">
        <v>349</v>
      </c>
      <c r="G9" s="574"/>
      <c r="H9" s="573"/>
      <c r="I9" s="573"/>
      <c r="J9" s="573"/>
      <c r="K9" s="573"/>
      <c r="L9" s="374"/>
      <c r="N9" s="118"/>
    </row>
    <row r="10" spans="1:15" s="104" customFormat="1" ht="28.5" customHeight="1" thickBot="1" x14ac:dyDescent="0.35">
      <c r="A10" s="545"/>
      <c r="B10" s="546"/>
      <c r="C10" s="182" t="s">
        <v>24</v>
      </c>
      <c r="D10" s="89" t="str">
        <f>IF(E10&lt;1.5,$N$6,IF(E10&lt;2.5,$N$5,IF(E10&lt;3.5,$N$4,IF(E10&lt;4.5,$N$3,"n/a"))))</f>
        <v>Moderate/Low</v>
      </c>
      <c r="E10" s="248">
        <f>IF(COUNT(E5:E9)=0,"n/a",AVERAGE(E5:E9))</f>
        <v>2</v>
      </c>
      <c r="F10" s="49">
        <f>E10</f>
        <v>2</v>
      </c>
      <c r="G10" s="215"/>
      <c r="H10" s="50" t="s">
        <v>23</v>
      </c>
      <c r="I10" s="26" t="str">
        <f>D10</f>
        <v>Moderate/Low</v>
      </c>
      <c r="J10" s="90">
        <f>IF(I10=$N$7,"n/a",IF(AND(I10=$N$5,D10=$N$6),1.5,IF(AND(I10=$N$4,D10=$N$5),2.5,IF(AND(I10=$N$3,D10=$N$4),3.5,IF(AND(I10=$N$6,D10=$N$5),1.49,IF(AND(I10=$N$5,D10=$N$4),2.49,IF(AND(I10=$N$4,D10=$N$3),3.49,E10)))))))</f>
        <v>2</v>
      </c>
      <c r="K10" s="91" t="s">
        <v>91</v>
      </c>
      <c r="L10" s="375"/>
      <c r="N10" s="16"/>
    </row>
    <row r="11" spans="1:15" s="104" customFormat="1" ht="20.25" customHeight="1" thickBot="1" x14ac:dyDescent="0.35">
      <c r="A11" s="120" t="s">
        <v>28</v>
      </c>
      <c r="B11" s="121"/>
      <c r="C11" s="179"/>
      <c r="D11" s="122"/>
      <c r="E11" s="122"/>
      <c r="F11" s="122"/>
      <c r="G11" s="122"/>
      <c r="H11" s="122"/>
      <c r="I11" s="122"/>
      <c r="J11" s="122"/>
      <c r="K11" s="122"/>
      <c r="L11" s="374"/>
      <c r="N11" s="16"/>
    </row>
    <row r="12" spans="1:15" ht="175" customHeight="1" x14ac:dyDescent="0.3">
      <c r="A12" s="516" t="s">
        <v>187</v>
      </c>
      <c r="B12" s="516"/>
      <c r="C12" s="37" t="s">
        <v>351</v>
      </c>
      <c r="D12" s="165" t="s">
        <v>42</v>
      </c>
      <c r="E12" s="176">
        <f>IF(D12=$N$6,1,IF(D12=$N$5,2,IF(D12=$N$4,3,IF(D12=$N$3,4,"n/a"))))</f>
        <v>2</v>
      </c>
      <c r="F12" s="544" t="s">
        <v>246</v>
      </c>
      <c r="G12" s="544"/>
      <c r="H12" s="544"/>
      <c r="I12" s="544"/>
      <c r="J12" s="544"/>
      <c r="K12" s="544"/>
      <c r="L12" s="376" t="s">
        <v>96</v>
      </c>
      <c r="N12" s="16"/>
    </row>
    <row r="13" spans="1:15" ht="85.75" customHeight="1" thickBot="1" x14ac:dyDescent="0.3">
      <c r="A13" s="550" t="s">
        <v>188</v>
      </c>
      <c r="B13" s="550"/>
      <c r="C13" s="183" t="s">
        <v>219</v>
      </c>
      <c r="D13" s="181" t="s">
        <v>42</v>
      </c>
      <c r="E13" s="177">
        <f>IF(D13=$N$6,1,IF(D13=$N$5,2,IF(D13=$N$4,3,IF(D13=$N$3,4,"n/a"))))</f>
        <v>2</v>
      </c>
      <c r="F13" s="557" t="s">
        <v>247</v>
      </c>
      <c r="G13" s="551"/>
      <c r="H13" s="551"/>
      <c r="I13" s="551"/>
      <c r="J13" s="551"/>
      <c r="K13" s="535"/>
      <c r="L13" s="376" t="s">
        <v>96</v>
      </c>
    </row>
    <row r="14" spans="1:15" s="107" customFormat="1" ht="28.5" customHeight="1" thickBot="1" x14ac:dyDescent="0.35">
      <c r="A14" s="545"/>
      <c r="B14" s="547"/>
      <c r="C14" s="182" t="s">
        <v>24</v>
      </c>
      <c r="D14" s="27" t="str">
        <f>IF(E14&lt;1.5,$N$6,IF(E14&lt;2.5,$N$5,IF(E14&lt;3.5,$N$4,IF(E14&lt;4.5,$N$3,"n/a"))))</f>
        <v>Moderate/Low</v>
      </c>
      <c r="E14" s="144">
        <f>IF(COUNT(E12:E13)=0,"n/a",AVERAGE(E12:E13))</f>
        <v>2</v>
      </c>
      <c r="F14" s="28">
        <f>E14</f>
        <v>2</v>
      </c>
      <c r="G14" s="215"/>
      <c r="H14" s="29" t="s">
        <v>23</v>
      </c>
      <c r="I14" s="26" t="str">
        <f>D14</f>
        <v>Moderate/Low</v>
      </c>
      <c r="J14" s="30">
        <f>IF(I14=$N$7,"n/a",IF(AND(I14=$N$5,D14=$N$6),1.5,IF(AND(I14=$N$4,D14=$N$5),2.5,IF(AND(I14=$N$3,D14=$N$4),3.5,IF(AND(I14=$N$6,D14=$N$5),1.49,IF(AND(I14=$N$5,D14=$N$4),2.49,IF(AND(I14=$N$4,D14=$N$3),3.49,E14)))))))</f>
        <v>2</v>
      </c>
      <c r="K14" s="180" t="s">
        <v>91</v>
      </c>
      <c r="L14" s="377"/>
      <c r="N14" s="16"/>
    </row>
    <row r="15" spans="1:15" ht="21.75" customHeight="1" x14ac:dyDescent="0.3">
      <c r="A15" s="395" t="s">
        <v>31</v>
      </c>
      <c r="B15" s="120"/>
      <c r="C15" s="120"/>
      <c r="D15" s="120"/>
      <c r="E15" s="120"/>
      <c r="F15" s="120"/>
      <c r="G15" s="120"/>
      <c r="H15" s="120"/>
      <c r="I15" s="120"/>
      <c r="J15" s="120"/>
      <c r="K15" s="120"/>
      <c r="L15" s="378"/>
      <c r="N15" s="16"/>
    </row>
    <row r="16" spans="1:15" ht="118.5" customHeight="1" thickBot="1" x14ac:dyDescent="0.3">
      <c r="A16" s="518" t="s">
        <v>189</v>
      </c>
      <c r="B16" s="518"/>
      <c r="C16" s="183" t="s">
        <v>244</v>
      </c>
      <c r="D16" s="166" t="s">
        <v>42</v>
      </c>
      <c r="E16" s="170">
        <f>IF(D16=$N$6,1,IF(D16=$N$5,2,IF(D16=$N$4,3,IF(D16=$N$3,4,"n/a"))))</f>
        <v>2</v>
      </c>
      <c r="F16" s="533" t="s">
        <v>248</v>
      </c>
      <c r="G16" s="551"/>
      <c r="H16" s="534"/>
      <c r="I16" s="534"/>
      <c r="J16" s="551"/>
      <c r="K16" s="535"/>
      <c r="L16" s="378"/>
    </row>
    <row r="17" spans="1:14" s="104" customFormat="1" ht="24.75" customHeight="1" thickBot="1" x14ac:dyDescent="0.3">
      <c r="A17" s="555"/>
      <c r="B17" s="556"/>
      <c r="C17" s="182" t="s">
        <v>24</v>
      </c>
      <c r="D17" s="27" t="str">
        <f>IF(E17&lt;1.5,$N$6,IF(E17&lt;2.5,$N$5,IF(E17&lt;3.5,$N$4,IF(E17&lt;4.5,$N$3,"n/a"))))</f>
        <v>Moderate/Low</v>
      </c>
      <c r="E17" s="144">
        <f>IF(COUNT(E16)=0,"n/a",AVERAGE(E16))</f>
        <v>2</v>
      </c>
      <c r="F17" s="28">
        <f>E17</f>
        <v>2</v>
      </c>
      <c r="G17" s="215"/>
      <c r="H17" s="29" t="s">
        <v>23</v>
      </c>
      <c r="I17" s="26" t="str">
        <f>D17</f>
        <v>Moderate/Low</v>
      </c>
      <c r="J17" s="30">
        <f>IF(I17=$N$7,"n/a",IF(AND(I17=$N$5,D17=$N$6),1.5,IF(AND(I17=$N$4,D17=$N$5),2.5,IF(AND(I17=$N$3,D17=$N$4),3.5,IF(AND(I17=$N$6,D17=$N$5),1.49,IF(AND(I17=$N$5,D17=$N$4),2.49,IF(AND(I17=$N$4,D17=$N$3),3.49,E17)))))))</f>
        <v>2</v>
      </c>
      <c r="K17" s="180" t="s">
        <v>91</v>
      </c>
      <c r="L17" s="374"/>
      <c r="N17" s="106"/>
    </row>
    <row r="18" spans="1:14" s="123" customFormat="1" ht="21" customHeight="1" x14ac:dyDescent="0.3">
      <c r="A18" s="120" t="s">
        <v>69</v>
      </c>
      <c r="B18" s="120"/>
      <c r="C18" s="120"/>
      <c r="D18" s="120"/>
      <c r="E18" s="120"/>
      <c r="F18" s="120"/>
      <c r="G18" s="120"/>
      <c r="H18" s="120"/>
      <c r="I18" s="120"/>
      <c r="J18" s="120"/>
      <c r="K18" s="120"/>
      <c r="L18" s="378"/>
      <c r="N18" s="16"/>
    </row>
    <row r="19" spans="1:14" s="123" customFormat="1" ht="67" customHeight="1" x14ac:dyDescent="0.3">
      <c r="A19" s="516" t="s">
        <v>73</v>
      </c>
      <c r="B19" s="516"/>
      <c r="C19" s="37" t="s">
        <v>251</v>
      </c>
      <c r="D19" s="48" t="s">
        <v>42</v>
      </c>
      <c r="E19" s="162">
        <f>IF(D19=$N$6,1,IF(D19=$N$5,2,IF(D19=$N$4,3,IF(D19=$N$3,4,"n/a"))))</f>
        <v>2</v>
      </c>
      <c r="F19" s="533" t="s">
        <v>249</v>
      </c>
      <c r="G19" s="534"/>
      <c r="H19" s="534"/>
      <c r="I19" s="534"/>
      <c r="J19" s="534"/>
      <c r="K19" s="535"/>
      <c r="L19" s="376" t="s">
        <v>96</v>
      </c>
      <c r="N19" s="16"/>
    </row>
    <row r="20" spans="1:14" s="123" customFormat="1" ht="114.5" customHeight="1" thickBot="1" x14ac:dyDescent="0.35">
      <c r="A20" s="550" t="s">
        <v>70</v>
      </c>
      <c r="B20" s="550"/>
      <c r="C20" s="183" t="s">
        <v>252</v>
      </c>
      <c r="D20" s="175" t="s">
        <v>42</v>
      </c>
      <c r="E20" s="174">
        <f>IF(D20=$N$6,1,IF(D20=$N$5,2,IF(D20=$N$4,3,IF(D20=$N$3,4,"n/a"))))</f>
        <v>2</v>
      </c>
      <c r="F20" s="519" t="s">
        <v>250</v>
      </c>
      <c r="G20" s="551"/>
      <c r="H20" s="520"/>
      <c r="I20" s="520"/>
      <c r="J20" s="520"/>
      <c r="K20" s="521"/>
      <c r="L20" s="379"/>
      <c r="N20" s="16"/>
    </row>
    <row r="21" spans="1:14" s="104" customFormat="1" ht="29.25" customHeight="1" thickBot="1" x14ac:dyDescent="0.3">
      <c r="A21" s="545"/>
      <c r="B21" s="547"/>
      <c r="C21" s="182" t="s">
        <v>24</v>
      </c>
      <c r="D21" s="27" t="str">
        <f>IF(E21&lt;1.5,$N$6,IF(E21&lt;2.5,$N$5,IF(E21&lt;3.5,$N$4,IF(E21&lt;4.5,$N$3,"n/a"))))</f>
        <v>Moderate/Low</v>
      </c>
      <c r="E21" s="144">
        <f>IF(COUNT(E19:E20)=0,"n/a",AVERAGE(E19:E20))</f>
        <v>2</v>
      </c>
      <c r="F21" s="28">
        <f>E21</f>
        <v>2</v>
      </c>
      <c r="G21" s="215"/>
      <c r="H21" s="29" t="s">
        <v>23</v>
      </c>
      <c r="I21" s="26" t="str">
        <f>D21</f>
        <v>Moderate/Low</v>
      </c>
      <c r="J21" s="90">
        <f>IF(I21=$N$7,"n/a",IF(AND(I21=$N$5,D21=$N$6),1.5,IF(AND(I21=$N$4,D21=$N$5),2.5,IF(AND(I21=$N$3,D21=$N$4),3.5,IF(AND(I21=$N$6,D21=$N$5),1.49,IF(AND(I21=$N$5,D21=$N$4),2.49,IF(AND(I21=$N$4,D21=$N$3),3.49,E21)))))))</f>
        <v>2</v>
      </c>
      <c r="K21" s="88" t="s">
        <v>91</v>
      </c>
      <c r="L21" s="380"/>
    </row>
    <row r="22" spans="1:14" s="104" customFormat="1" ht="22.5" customHeight="1" thickBot="1" x14ac:dyDescent="0.3">
      <c r="A22" s="124" t="s">
        <v>214</v>
      </c>
      <c r="B22" s="125"/>
      <c r="C22" s="125"/>
      <c r="D22" s="126"/>
      <c r="E22" s="126"/>
      <c r="F22" s="126"/>
      <c r="G22" s="126"/>
      <c r="H22" s="126"/>
      <c r="I22" s="126"/>
      <c r="J22" s="126"/>
      <c r="K22" s="126"/>
      <c r="L22" s="374"/>
    </row>
    <row r="23" spans="1:14" ht="21.75" customHeight="1" thickBot="1" x14ac:dyDescent="0.3">
      <c r="A23" s="127" t="s">
        <v>44</v>
      </c>
      <c r="B23" s="128"/>
      <c r="C23" s="128"/>
      <c r="D23" s="128"/>
      <c r="E23" s="128"/>
      <c r="F23" s="128"/>
      <c r="G23" s="128"/>
      <c r="H23" s="128"/>
      <c r="I23" s="128"/>
      <c r="J23" s="128"/>
      <c r="K23" s="128"/>
      <c r="L23" s="376" t="s">
        <v>96</v>
      </c>
    </row>
    <row r="24" spans="1:14" ht="130" customHeight="1" x14ac:dyDescent="0.25">
      <c r="A24" s="542" t="s">
        <v>45</v>
      </c>
      <c r="B24" s="543"/>
      <c r="C24" s="172" t="s">
        <v>347</v>
      </c>
      <c r="D24" s="163" t="s">
        <v>79</v>
      </c>
      <c r="E24" s="173">
        <f>IF(D24=$N$6,1,IF(D24=$N$5,2,IF(D24=$N$4,3,IF(D24=$N$3,4,"n/a"))))</f>
        <v>1</v>
      </c>
      <c r="F24" s="544" t="s">
        <v>253</v>
      </c>
      <c r="G24" s="544"/>
      <c r="H24" s="544"/>
      <c r="I24" s="544"/>
      <c r="J24" s="544"/>
      <c r="K24" s="544"/>
      <c r="L24" s="376" t="s">
        <v>96</v>
      </c>
    </row>
    <row r="25" spans="1:14" ht="62" customHeight="1" thickBot="1" x14ac:dyDescent="0.3">
      <c r="A25" s="553" t="s">
        <v>62</v>
      </c>
      <c r="B25" s="554"/>
      <c r="C25" s="184" t="s">
        <v>251</v>
      </c>
      <c r="D25" s="164" t="s">
        <v>19</v>
      </c>
      <c r="E25" s="174" t="str">
        <f>IF(D25=$N$6,1,IF(D25=$N$5,2,IF(D25=$N$4,3,IF(D25=$N$3,4,"n/a"))))</f>
        <v>n/a</v>
      </c>
      <c r="F25" s="519" t="s">
        <v>259</v>
      </c>
      <c r="G25" s="520"/>
      <c r="H25" s="520"/>
      <c r="I25" s="520"/>
      <c r="J25" s="520"/>
      <c r="K25" s="521"/>
      <c r="L25" s="378"/>
    </row>
    <row r="26" spans="1:14" ht="35.25" customHeight="1" thickBot="1" x14ac:dyDescent="0.3">
      <c r="A26" s="578"/>
      <c r="B26" s="579"/>
      <c r="C26" s="40" t="s">
        <v>24</v>
      </c>
      <c r="D26" s="27" t="str">
        <f>IF(E26&lt;1.5,"Low",IF(E26&lt;2.5,"Moderate",IF(E26&lt;3.5,"Substantial",IF(E26&lt;4.5,"High","n/a"))))</f>
        <v>Low</v>
      </c>
      <c r="E26" s="144">
        <f>IF(COUNT(E24:E25)=0,"n/a",AVERAGE(E24:E25))</f>
        <v>1</v>
      </c>
      <c r="F26" s="49">
        <f>E26</f>
        <v>1</v>
      </c>
      <c r="G26" s="215"/>
      <c r="H26" s="50" t="s">
        <v>23</v>
      </c>
      <c r="I26" s="26" t="str">
        <f>D26</f>
        <v>Low</v>
      </c>
      <c r="J26" s="90">
        <f>IF(I26=$N$7,"n/a",IF(AND(I26=$N$5,D26=$N$6),1.5,IF(AND(I26=$N$4,D26=$N$5),2.5,IF(AND(I26=$N$3,D26=$N$4),3.5,IF(AND(I26=$N$6,D26=$N$5),1.49,IF(AND(I26=$N$5,D26=$N$4),2.49,IF(AND(I26=$N$4,D26=$N$3),3.49,E26)))))))</f>
        <v>1</v>
      </c>
      <c r="K26" s="324" t="s">
        <v>91</v>
      </c>
      <c r="L26" s="378"/>
    </row>
    <row r="27" spans="1:14" ht="20.25" customHeight="1" thickBot="1" x14ac:dyDescent="0.3">
      <c r="A27" s="129" t="s">
        <v>48</v>
      </c>
      <c r="B27" s="130"/>
      <c r="C27" s="131"/>
      <c r="D27" s="132"/>
      <c r="E27" s="132"/>
      <c r="F27" s="132"/>
      <c r="G27" s="132"/>
      <c r="H27" s="132"/>
      <c r="I27" s="132"/>
      <c r="J27" s="132"/>
      <c r="K27" s="132"/>
      <c r="L27" s="378"/>
    </row>
    <row r="28" spans="1:14" ht="92.5" customHeight="1" x14ac:dyDescent="0.25">
      <c r="A28" s="565" t="s">
        <v>65</v>
      </c>
      <c r="B28" s="549"/>
      <c r="C28" s="41" t="s">
        <v>251</v>
      </c>
      <c r="D28" s="165" t="s">
        <v>79</v>
      </c>
      <c r="E28" s="176">
        <f>IF(D28=$N$6,1,IF(D28=$N$5,2,IF(D28=$N$4,3,IF(D28=$N$3,4,"n/a"))))</f>
        <v>1</v>
      </c>
      <c r="F28" s="566" t="s">
        <v>260</v>
      </c>
      <c r="G28" s="567"/>
      <c r="H28" s="567"/>
      <c r="I28" s="567"/>
      <c r="J28" s="567"/>
      <c r="K28" s="568"/>
      <c r="L28" s="378"/>
    </row>
    <row r="29" spans="1:14" ht="50.25" customHeight="1" x14ac:dyDescent="0.25">
      <c r="A29" s="565" t="s">
        <v>46</v>
      </c>
      <c r="B29" s="549"/>
      <c r="C29" s="41" t="s">
        <v>251</v>
      </c>
      <c r="D29" s="48" t="s">
        <v>42</v>
      </c>
      <c r="E29" s="162">
        <f>IF(D29=$N$6,1,IF(D29=$N$5,2,IF(D29=$N$4,3,IF(D29=$N$3,4,"n/a"))))</f>
        <v>2</v>
      </c>
      <c r="F29" s="533" t="s">
        <v>261</v>
      </c>
      <c r="G29" s="534"/>
      <c r="H29" s="534"/>
      <c r="I29" s="534"/>
      <c r="J29" s="534"/>
      <c r="K29" s="535"/>
      <c r="L29" s="378"/>
    </row>
    <row r="30" spans="1:14" s="133" customFormat="1" ht="56.25" customHeight="1" x14ac:dyDescent="0.25">
      <c r="A30" s="565" t="s">
        <v>60</v>
      </c>
      <c r="B30" s="549"/>
      <c r="C30" s="41" t="s">
        <v>251</v>
      </c>
      <c r="D30" s="48" t="s">
        <v>42</v>
      </c>
      <c r="E30" s="162">
        <f>IF(D30=$N$6,1,IF(D30=$N$5,2,IF(D30=$N$4,3,IF(D30=$N$3,4,"n/a"))))</f>
        <v>2</v>
      </c>
      <c r="F30" s="552" t="s">
        <v>262</v>
      </c>
      <c r="G30" s="552"/>
      <c r="H30" s="552"/>
      <c r="I30" s="552"/>
      <c r="J30" s="552"/>
      <c r="K30" s="552"/>
      <c r="L30" s="374"/>
    </row>
    <row r="31" spans="1:14" s="104" customFormat="1" ht="83.5" customHeight="1" thickBot="1" x14ac:dyDescent="0.3">
      <c r="A31" s="583" t="s">
        <v>61</v>
      </c>
      <c r="B31" s="584"/>
      <c r="C31" s="184"/>
      <c r="D31" s="166" t="s">
        <v>19</v>
      </c>
      <c r="E31" s="171" t="str">
        <f>IF(D31=$N$6,1,IF(D31=$N$5,2,IF(D31=$N$4,3,IF(D31=$N$3,4,"n/a"))))</f>
        <v>n/a</v>
      </c>
      <c r="F31" s="557"/>
      <c r="G31" s="551"/>
      <c r="H31" s="551"/>
      <c r="I31" s="551"/>
      <c r="J31" s="551"/>
      <c r="K31" s="558"/>
      <c r="L31" s="376" t="s">
        <v>96</v>
      </c>
    </row>
    <row r="32" spans="1:14" s="104" customFormat="1" ht="25.5" customHeight="1" thickBot="1" x14ac:dyDescent="0.3">
      <c r="A32" s="187"/>
      <c r="B32" s="188"/>
      <c r="C32" s="40" t="s">
        <v>24</v>
      </c>
      <c r="D32" s="27" t="str">
        <f>IF(E32&lt;1.5,"Low",IF(E32&lt;2.5,"Moderate",IF(E32&lt;3.5,"Substantial",IF(E32&lt;4.5,"High","n/a"))))</f>
        <v>Moderate</v>
      </c>
      <c r="E32" s="144">
        <f>IF(COUNT(E28:E31)=0,"n/a",AVERAGE(E28:E31))</f>
        <v>1.6666666666666667</v>
      </c>
      <c r="F32" s="28">
        <f>E32</f>
        <v>1.6666666666666667</v>
      </c>
      <c r="G32" s="215"/>
      <c r="H32" s="29" t="s">
        <v>23</v>
      </c>
      <c r="I32" s="26" t="str">
        <f>D32</f>
        <v>Moderate</v>
      </c>
      <c r="J32" s="30">
        <f>IF(I32=$N$7,"n/a",IF(AND(I32=$N$5,D32=$N$6),1.5,IF(AND(I32=$N$4,D32=$N$5),2.5,IF(AND(I32=$N$3,D32=$N$4),3.5,IF(AND(I32=$N$6,D32=$N$5),1.49,IF(AND(I32=$N$5,D32=$N$4),2.49,IF(AND(I32=$N$4,D32=$N$3),3.49,E32)))))))</f>
        <v>1.6666666666666667</v>
      </c>
      <c r="K32" s="180" t="s">
        <v>91</v>
      </c>
      <c r="L32" s="374"/>
    </row>
    <row r="33" spans="1:12" s="104" customFormat="1" ht="25.5" customHeight="1" thickBot="1" x14ac:dyDescent="0.3">
      <c r="A33" s="185" t="s">
        <v>49</v>
      </c>
      <c r="B33" s="186"/>
      <c r="C33" s="186"/>
      <c r="D33" s="186"/>
      <c r="E33" s="186"/>
      <c r="F33" s="186"/>
      <c r="G33" s="186"/>
      <c r="H33" s="186"/>
      <c r="I33" s="186"/>
      <c r="J33" s="186"/>
      <c r="K33" s="186"/>
      <c r="L33" s="374"/>
    </row>
    <row r="34" spans="1:12" s="104" customFormat="1" ht="68.5" customHeight="1" x14ac:dyDescent="0.25">
      <c r="A34" s="538" t="s">
        <v>50</v>
      </c>
      <c r="B34" s="539"/>
      <c r="C34" s="47" t="s">
        <v>234</v>
      </c>
      <c r="D34" s="48" t="s">
        <v>42</v>
      </c>
      <c r="E34" s="117">
        <f>IF(D34=$N$6,1,IF(D34=$N$5,2,IF(D34=$N$4,3,IF(D34=$N$3,4,"n/a"))))</f>
        <v>2</v>
      </c>
      <c r="F34" s="544" t="s">
        <v>263</v>
      </c>
      <c r="G34" s="544"/>
      <c r="H34" s="544"/>
      <c r="I34" s="544"/>
      <c r="J34" s="544"/>
      <c r="K34" s="544"/>
      <c r="L34" s="376" t="s">
        <v>96</v>
      </c>
    </row>
    <row r="35" spans="1:12" s="104" customFormat="1" ht="33" customHeight="1" x14ac:dyDescent="0.25">
      <c r="A35" s="548" t="s">
        <v>51</v>
      </c>
      <c r="B35" s="549"/>
      <c r="C35" s="47"/>
      <c r="D35" s="167" t="s">
        <v>19</v>
      </c>
      <c r="E35" s="117" t="str">
        <f>IF(D35=$N$6,1,IF(D35=$N$5,2,IF(D35=$N$4,3,IF(D35=$N$3,4,"n/a"))))</f>
        <v>n/a</v>
      </c>
      <c r="F35" s="533"/>
      <c r="G35" s="534"/>
      <c r="H35" s="534"/>
      <c r="I35" s="534"/>
      <c r="J35" s="534"/>
      <c r="K35" s="535"/>
      <c r="L35" s="374"/>
    </row>
    <row r="36" spans="1:12" s="104" customFormat="1" ht="60.75" customHeight="1" x14ac:dyDescent="0.25">
      <c r="A36" s="538" t="s">
        <v>67</v>
      </c>
      <c r="B36" s="539"/>
      <c r="C36" s="47"/>
      <c r="D36" s="167" t="s">
        <v>19</v>
      </c>
      <c r="E36" s="117" t="str">
        <f>IF(D36=$N$6,1,IF(D36=$N$5,2,IF(D36=$N$4,3,IF(D36=$N$3,4,"n/a"))))</f>
        <v>n/a</v>
      </c>
      <c r="F36" s="533"/>
      <c r="G36" s="534"/>
      <c r="H36" s="534"/>
      <c r="I36" s="534"/>
      <c r="J36" s="534"/>
      <c r="K36" s="535"/>
      <c r="L36" s="374"/>
    </row>
    <row r="37" spans="1:12" s="104" customFormat="1" ht="60.75" customHeight="1" thickBot="1" x14ac:dyDescent="0.3">
      <c r="A37" s="569" t="s">
        <v>68</v>
      </c>
      <c r="B37" s="570"/>
      <c r="C37" s="189"/>
      <c r="D37" s="166" t="s">
        <v>19</v>
      </c>
      <c r="E37" s="170" t="str">
        <f>IF(D37=$N$6,1,IF(D37=$N$5,2,IF(D37=$N$4,3,IF(D37=$N$3,4,"n/a"))))</f>
        <v>n/a</v>
      </c>
      <c r="F37" s="571"/>
      <c r="G37" s="552"/>
      <c r="H37" s="552"/>
      <c r="I37" s="552"/>
      <c r="J37" s="552"/>
      <c r="K37" s="572"/>
      <c r="L37" s="374"/>
    </row>
    <row r="38" spans="1:12" s="104" customFormat="1" ht="25.5" customHeight="1" thickBot="1" x14ac:dyDescent="0.3">
      <c r="A38" s="42"/>
      <c r="B38" s="43"/>
      <c r="C38" s="44" t="s">
        <v>24</v>
      </c>
      <c r="D38" s="27" t="str">
        <f>IF(E38&lt;1.5,"Low",IF(E38&lt;2.5,"Moderate",IF(E38&lt;3.5,"Substantial",IF(E38&lt;4.5,"High","n/a"))))</f>
        <v>Moderate</v>
      </c>
      <c r="E38" s="144">
        <f>IF(COUNT(E34:E37)=0,"n/a",AVERAGE(E34:E37))</f>
        <v>2</v>
      </c>
      <c r="F38" s="28">
        <f>E38</f>
        <v>2</v>
      </c>
      <c r="G38" s="215"/>
      <c r="H38" s="29" t="s">
        <v>23</v>
      </c>
      <c r="I38" s="26" t="str">
        <f>D38</f>
        <v>Moderate</v>
      </c>
      <c r="J38" s="30">
        <f>IF(I38=$N$7,"n/a",IF(AND(I38=$N$5,D38=$N$6),1.5,IF(AND(I38=$N$4,D38=$N$5),2.5,IF(AND(I38=$N$3,D38=$N$4),3.5,IF(AND(I38=$N$6,D38=$N$5),1.49,IF(AND(I38=$N$5,D38=$N$4),2.49,IF(AND(I38=$N$4,D38=$N$3),3.49,E38)))))))</f>
        <v>2</v>
      </c>
      <c r="K38" s="180" t="s">
        <v>91</v>
      </c>
      <c r="L38" s="374"/>
    </row>
    <row r="39" spans="1:12" s="123" customFormat="1" ht="22.5" customHeight="1" thickBot="1" x14ac:dyDescent="0.35">
      <c r="A39" s="31" t="s">
        <v>215</v>
      </c>
      <c r="B39" s="32"/>
      <c r="C39" s="33"/>
      <c r="D39" s="35"/>
      <c r="E39" s="35"/>
      <c r="F39" s="34"/>
      <c r="G39" s="134"/>
      <c r="H39" s="35"/>
      <c r="I39" s="35"/>
      <c r="J39" s="34"/>
      <c r="K39" s="135"/>
      <c r="L39" s="378"/>
    </row>
    <row r="40" spans="1:12" s="123" customFormat="1" ht="22.5" customHeight="1" x14ac:dyDescent="0.3">
      <c r="A40" s="136" t="s">
        <v>33</v>
      </c>
      <c r="B40" s="137"/>
      <c r="C40" s="137"/>
      <c r="D40" s="137"/>
      <c r="E40" s="137"/>
      <c r="F40" s="137"/>
      <c r="G40" s="137"/>
      <c r="H40" s="137"/>
      <c r="I40" s="137"/>
      <c r="J40" s="137"/>
      <c r="K40" s="137"/>
      <c r="L40" s="378"/>
    </row>
    <row r="41" spans="1:12" s="104" customFormat="1" ht="76" customHeight="1" x14ac:dyDescent="0.25">
      <c r="A41" s="529" t="s">
        <v>41</v>
      </c>
      <c r="B41" s="529"/>
      <c r="C41" s="38" t="s">
        <v>251</v>
      </c>
      <c r="D41" s="48" t="s">
        <v>42</v>
      </c>
      <c r="E41" s="162">
        <f>IF(D41=$N$6,1,IF(D41=$N$5,2,IF(D41=$N$4,3,IF(D41=$N$3,4,"n/a"))))</f>
        <v>2</v>
      </c>
      <c r="F41" s="551" t="s">
        <v>264</v>
      </c>
      <c r="G41" s="551"/>
      <c r="H41" s="551"/>
      <c r="I41" s="551"/>
      <c r="J41" s="551"/>
      <c r="K41" s="551"/>
      <c r="L41" s="376" t="s">
        <v>96</v>
      </c>
    </row>
    <row r="42" spans="1:12" s="104" customFormat="1" ht="60.9" customHeight="1" thickBot="1" x14ac:dyDescent="0.3">
      <c r="A42" s="560" t="s">
        <v>139</v>
      </c>
      <c r="B42" s="561"/>
      <c r="C42" s="190" t="s">
        <v>251</v>
      </c>
      <c r="D42" s="48" t="s">
        <v>5</v>
      </c>
      <c r="E42" s="162">
        <f>IF(D42=$N$6,1,IF(D42=$N$5,2,IF(D42=$N$4,3,IF(D42=$N$3,4,"n/a"))))</f>
        <v>3</v>
      </c>
      <c r="F42" s="551" t="s">
        <v>265</v>
      </c>
      <c r="G42" s="551"/>
      <c r="H42" s="551"/>
      <c r="I42" s="551"/>
      <c r="J42" s="551"/>
      <c r="K42" s="558"/>
      <c r="L42" s="374"/>
    </row>
    <row r="43" spans="1:12" s="123" customFormat="1" ht="30" customHeight="1" thickBot="1" x14ac:dyDescent="0.35">
      <c r="A43" s="559"/>
      <c r="B43" s="531"/>
      <c r="C43" s="36" t="s">
        <v>24</v>
      </c>
      <c r="D43" s="27" t="str">
        <f>IF(E43&lt;1.5,"Low",IF(E43&lt;2.5,"Moderate",IF(E43&lt;3.5,"Substantial",IF(E43&lt;4.5,"High","n/a"))))</f>
        <v>Substantial</v>
      </c>
      <c r="E43" s="144">
        <f>IF(COUNT(E41:E42)=0,"n/a",AVERAGE(E41:E42))</f>
        <v>2.5</v>
      </c>
      <c r="F43" s="28">
        <f>E43</f>
        <v>2.5</v>
      </c>
      <c r="G43" s="215"/>
      <c r="H43" s="29" t="s">
        <v>23</v>
      </c>
      <c r="I43" s="26" t="str">
        <f>D43</f>
        <v>Substantial</v>
      </c>
      <c r="J43" s="30">
        <f>IF(I43=$N$7,"n/a",IF(AND(I43=$N$5,D43=$N$6),1.5,IF(AND(I43=$N$4,D43=$N$5),2.5,IF(AND(I43=$N$3,D43=$N$4),3.5,IF(AND(I43=$N$6,D43=$N$5),1.49,IF(AND(I43=$N$5,D43=$N$4),2.49,IF(AND(I43=$N$4,D43=$N$3),3.49,E43)))))))</f>
        <v>2.5</v>
      </c>
      <c r="K43" s="191" t="s">
        <v>91</v>
      </c>
      <c r="L43" s="381"/>
    </row>
    <row r="44" spans="1:12" s="123" customFormat="1" ht="18" customHeight="1" thickBot="1" x14ac:dyDescent="0.35">
      <c r="A44" s="138" t="s">
        <v>34</v>
      </c>
      <c r="B44" s="139"/>
      <c r="C44" s="139"/>
      <c r="D44" s="140"/>
      <c r="E44" s="140"/>
      <c r="F44" s="140"/>
      <c r="G44" s="140"/>
      <c r="H44" s="140"/>
      <c r="I44" s="140"/>
      <c r="J44" s="140"/>
      <c r="K44" s="140"/>
      <c r="L44" s="378"/>
    </row>
    <row r="45" spans="1:12" s="104" customFormat="1" ht="30.75" customHeight="1" x14ac:dyDescent="0.3">
      <c r="A45" s="529" t="s">
        <v>140</v>
      </c>
      <c r="B45" s="530"/>
      <c r="C45" s="38" t="s">
        <v>225</v>
      </c>
      <c r="D45" s="48" t="s">
        <v>42</v>
      </c>
      <c r="E45" s="162">
        <f>IF(D45=$N$6,1,IF(D45=$N$5,2,IF(D45=$N$4,3,IF(D45=$N$3,4,"n/a"))))</f>
        <v>2</v>
      </c>
      <c r="F45" s="566" t="s">
        <v>266</v>
      </c>
      <c r="G45" s="567"/>
      <c r="H45" s="567"/>
      <c r="I45" s="567"/>
      <c r="J45" s="567"/>
      <c r="K45" s="568"/>
      <c r="L45" s="374"/>
    </row>
    <row r="46" spans="1:12" s="104" customFormat="1" ht="111" customHeight="1" x14ac:dyDescent="0.25">
      <c r="A46" s="562" t="s">
        <v>39</v>
      </c>
      <c r="B46" s="563"/>
      <c r="C46" s="38" t="s">
        <v>229</v>
      </c>
      <c r="D46" s="48" t="s">
        <v>42</v>
      </c>
      <c r="E46" s="162">
        <f>IF(D46=$N$6,1,IF(D46=$N$5,2,IF(D46=$N$4,3,IF(D46=$N$3,4,"n/a"))))</f>
        <v>2</v>
      </c>
      <c r="F46" s="564" t="s">
        <v>267</v>
      </c>
      <c r="G46" s="564"/>
      <c r="H46" s="564"/>
      <c r="I46" s="564"/>
      <c r="J46" s="564"/>
      <c r="K46" s="564"/>
      <c r="L46" s="374"/>
    </row>
    <row r="47" spans="1:12" s="104" customFormat="1" ht="141" customHeight="1" x14ac:dyDescent="0.25">
      <c r="A47" s="562" t="s">
        <v>142</v>
      </c>
      <c r="B47" s="563"/>
      <c r="C47" s="38" t="s">
        <v>235</v>
      </c>
      <c r="D47" s="48" t="s">
        <v>42</v>
      </c>
      <c r="E47" s="162">
        <f>IF(D47=$N$6,1,IF(D47=$N$5,2,IF(D47=$N$4,3,IF(D47=$N$3,4,"n/a"))))</f>
        <v>2</v>
      </c>
      <c r="F47" s="534" t="s">
        <v>268</v>
      </c>
      <c r="G47" s="534"/>
      <c r="H47" s="534"/>
      <c r="I47" s="534"/>
      <c r="J47" s="534"/>
      <c r="K47" s="534"/>
      <c r="L47" s="374"/>
    </row>
    <row r="48" spans="1:12" s="104" customFormat="1" ht="69.5" customHeight="1" thickBot="1" x14ac:dyDescent="0.3">
      <c r="A48" s="560" t="s">
        <v>143</v>
      </c>
      <c r="B48" s="561"/>
      <c r="C48" s="192" t="s">
        <v>251</v>
      </c>
      <c r="D48" s="166" t="s">
        <v>42</v>
      </c>
      <c r="E48" s="162">
        <f>IF(D48=$N$6,1,IF(D48=$N$5,2,IF(D48=$N$4,3,IF(D48=$N$3,4,"n/a"))))</f>
        <v>2</v>
      </c>
      <c r="F48" s="519" t="s">
        <v>269</v>
      </c>
      <c r="G48" s="520"/>
      <c r="H48" s="520"/>
      <c r="I48" s="520"/>
      <c r="J48" s="520"/>
      <c r="K48" s="521"/>
      <c r="L48" s="374"/>
    </row>
    <row r="49" spans="1:19" s="123" customFormat="1" ht="32.25" customHeight="1" thickBot="1" x14ac:dyDescent="0.35">
      <c r="A49" s="531"/>
      <c r="B49" s="532"/>
      <c r="C49" s="36" t="s">
        <v>24</v>
      </c>
      <c r="D49" s="27" t="str">
        <f>IF(E49&lt;1.5,"Low",IF(E49&lt;2.5,"Moderate",IF(E49&lt;3.5,"Substantial",IF(E49&lt;4.5,"High","n/a"))))</f>
        <v>Moderate</v>
      </c>
      <c r="E49" s="144">
        <f>IF(COUNT(E45:E48)=0,"n/a",AVERAGE(E45:E48))</f>
        <v>2</v>
      </c>
      <c r="F49" s="49">
        <f>E49</f>
        <v>2</v>
      </c>
      <c r="G49" s="215"/>
      <c r="H49" s="50" t="s">
        <v>23</v>
      </c>
      <c r="I49" s="323" t="str">
        <f>D49</f>
        <v>Moderate</v>
      </c>
      <c r="J49" s="90">
        <f>IF(I49=$N$7,"n/a",IF(AND(I49=$N$5,D49=$N$6),1.5,IF(AND(I49=$N$4,D49=$N$5),2.5,IF(AND(I49=$N$3,D49=$N$4),3.5,IF(AND(I49=$N$6,D49=$N$5),1.49,IF(AND(I49=$N$5,D49=$N$4),2.49,IF(AND(I49=$N$4,D49=$N$3),3.49,E49)))))))</f>
        <v>2</v>
      </c>
      <c r="K49" s="91" t="s">
        <v>91</v>
      </c>
      <c r="L49" s="378"/>
    </row>
    <row r="50" spans="1:19" s="123" customFormat="1" ht="22.5" customHeight="1" thickBot="1" x14ac:dyDescent="0.35">
      <c r="A50" s="141" t="s">
        <v>146</v>
      </c>
      <c r="B50" s="142"/>
      <c r="C50" s="168"/>
      <c r="D50" s="168"/>
      <c r="E50" s="169"/>
      <c r="F50" s="143"/>
      <c r="G50" s="143"/>
      <c r="H50" s="143"/>
      <c r="I50" s="143"/>
      <c r="J50" s="143"/>
      <c r="K50" s="143"/>
      <c r="L50" s="378"/>
    </row>
    <row r="51" spans="1:19" s="123" customFormat="1" ht="84" customHeight="1" x14ac:dyDescent="0.3">
      <c r="A51" s="575" t="s">
        <v>145</v>
      </c>
      <c r="B51" s="575"/>
      <c r="C51" s="192" t="s">
        <v>226</v>
      </c>
      <c r="D51" s="167" t="s">
        <v>5</v>
      </c>
      <c r="E51" s="161">
        <f>IF(D51=$N$6,1,IF(D51=$N$5,2,IF(D51=$N$4,3,IF(D51=$N$3,4,"n/a"))))</f>
        <v>3</v>
      </c>
      <c r="F51" s="566" t="s">
        <v>270</v>
      </c>
      <c r="G51" s="567"/>
      <c r="H51" s="567"/>
      <c r="I51" s="567"/>
      <c r="J51" s="567"/>
      <c r="K51" s="568"/>
      <c r="L51" s="378"/>
    </row>
    <row r="52" spans="1:19" s="123" customFormat="1" ht="76.5" customHeight="1" x14ac:dyDescent="0.3">
      <c r="A52" s="575" t="s">
        <v>141</v>
      </c>
      <c r="B52" s="575"/>
      <c r="C52" s="192" t="s">
        <v>251</v>
      </c>
      <c r="D52" s="167" t="s">
        <v>42</v>
      </c>
      <c r="E52" s="161">
        <f>IF(D52=$N$6,1,IF(D52=$N$5,2,IF(D52=$N$4,3,IF(D52=$N$3,4,"n/a"))))</f>
        <v>2</v>
      </c>
      <c r="F52" s="533" t="s">
        <v>271</v>
      </c>
      <c r="G52" s="534"/>
      <c r="H52" s="534"/>
      <c r="I52" s="534"/>
      <c r="J52" s="534"/>
      <c r="K52" s="535"/>
      <c r="L52" s="378"/>
    </row>
    <row r="53" spans="1:19" s="123" customFormat="1" ht="33.5" customHeight="1" x14ac:dyDescent="0.3">
      <c r="A53" s="529" t="s">
        <v>144</v>
      </c>
      <c r="B53" s="529"/>
      <c r="C53" s="38" t="s">
        <v>251</v>
      </c>
      <c r="D53" s="167" t="s">
        <v>42</v>
      </c>
      <c r="E53" s="161">
        <f>IF(D53=$N$6,1,IF(D53=$N$5,2,IF(D53=$N$4,3,IF(D53=$N$3,4,"n/a"))))</f>
        <v>2</v>
      </c>
      <c r="F53" s="576" t="s">
        <v>272</v>
      </c>
      <c r="G53" s="564"/>
      <c r="H53" s="564"/>
      <c r="I53" s="564"/>
      <c r="J53" s="564"/>
      <c r="K53" s="577"/>
      <c r="L53" s="378"/>
    </row>
    <row r="54" spans="1:19" s="123" customFormat="1" ht="30" customHeight="1" x14ac:dyDescent="0.3">
      <c r="A54" s="575" t="s">
        <v>147</v>
      </c>
      <c r="B54" s="575"/>
      <c r="C54" s="192" t="s">
        <v>251</v>
      </c>
      <c r="D54" s="48" t="s">
        <v>42</v>
      </c>
      <c r="E54" s="170">
        <f>IF(D54=$N$6,1,IF(D54=$N$5,2,IF(D54=$N$4,3,IF(D54=$N$3,4,"n/a"))))</f>
        <v>2</v>
      </c>
      <c r="F54" s="533" t="s">
        <v>273</v>
      </c>
      <c r="G54" s="551"/>
      <c r="H54" s="534"/>
      <c r="I54" s="534"/>
      <c r="J54" s="534"/>
      <c r="K54" s="535"/>
      <c r="L54" s="378"/>
    </row>
    <row r="55" spans="1:19" s="123" customFormat="1" ht="34.5" customHeight="1" thickBot="1" x14ac:dyDescent="0.35">
      <c r="A55" s="529" t="s">
        <v>148</v>
      </c>
      <c r="B55" s="529"/>
      <c r="C55" s="38" t="s">
        <v>251</v>
      </c>
      <c r="D55" s="167" t="s">
        <v>42</v>
      </c>
      <c r="E55" s="162">
        <f>IF(D55=$N$6,1,IF(D55=$N$5,2,IF(D55=$N$4,3,IF(D55=$N$3,4,"n/a"))))</f>
        <v>2</v>
      </c>
      <c r="F55" s="534" t="s">
        <v>274</v>
      </c>
      <c r="G55" s="534"/>
      <c r="H55" s="534"/>
      <c r="I55" s="534"/>
      <c r="J55" s="551"/>
      <c r="K55" s="534"/>
      <c r="L55" s="378"/>
    </row>
    <row r="56" spans="1:19" s="104" customFormat="1" ht="28.5" customHeight="1" thickBot="1" x14ac:dyDescent="0.3">
      <c r="A56" s="585"/>
      <c r="B56" s="586"/>
      <c r="C56" s="36" t="s">
        <v>24</v>
      </c>
      <c r="D56" s="27" t="str">
        <f>IF(E56&lt;1.5,"Low",IF(E56&lt;2.5,"Moderate",IF(E56&lt;3.5,"Substantial",IF(E56&lt;4.5,"High","n/a"))))</f>
        <v>Moderate</v>
      </c>
      <c r="E56" s="144">
        <f>IF(COUNT(E51:E55)=0,"n/a",AVERAGE(E51:E55))</f>
        <v>2.2000000000000002</v>
      </c>
      <c r="F56" s="28">
        <f>E56</f>
        <v>2.2000000000000002</v>
      </c>
      <c r="G56" s="215"/>
      <c r="H56" s="29" t="s">
        <v>23</v>
      </c>
      <c r="I56" s="26" t="str">
        <f>D56</f>
        <v>Moderate</v>
      </c>
      <c r="J56" s="30">
        <f>IF(I56=$N$7,"n/a",IF(AND(I56=$N$5,D56=$N$6),1.5,IF(AND(I56=$N$4,D56=$N$5),2.5,IF(AND(I56=$N$3,D56=$N$4),3.5,IF(AND(I56=$N$6,D56=$N$5),1.49,IF(AND(I56=$N$5,D56=$N$4),2.49,IF(AND(I56=$N$4,D56=$N$3),3.49,E56)))))))</f>
        <v>2.2000000000000002</v>
      </c>
      <c r="K56" s="88" t="s">
        <v>91</v>
      </c>
      <c r="L56" s="374"/>
    </row>
    <row r="57" spans="1:19" s="104" customFormat="1" ht="19.5" customHeight="1" thickBot="1" x14ac:dyDescent="0.3">
      <c r="A57" s="138" t="s">
        <v>149</v>
      </c>
      <c r="B57" s="145"/>
      <c r="C57" s="193"/>
      <c r="D57" s="146"/>
      <c r="E57" s="146"/>
      <c r="F57" s="146"/>
      <c r="G57" s="146"/>
      <c r="H57" s="146"/>
      <c r="I57" s="146"/>
      <c r="J57" s="146"/>
      <c r="K57" s="146"/>
      <c r="L57" s="374"/>
    </row>
    <row r="58" spans="1:19" s="123" customFormat="1" ht="32.25" customHeight="1" x14ac:dyDescent="0.3">
      <c r="A58" s="529" t="s">
        <v>38</v>
      </c>
      <c r="B58" s="529"/>
      <c r="C58" s="38" t="s">
        <v>251</v>
      </c>
      <c r="D58" s="165" t="s">
        <v>5</v>
      </c>
      <c r="E58" s="170">
        <f>IF(D58=$N$6,1,IF(D58=$N$5,2,IF(D58=$N$4,3,IF(D58=$N$3,4,"n/a"))))</f>
        <v>3</v>
      </c>
      <c r="F58" s="580" t="s">
        <v>275</v>
      </c>
      <c r="G58" s="581"/>
      <c r="H58" s="581"/>
      <c r="I58" s="581"/>
      <c r="J58" s="581"/>
      <c r="K58" s="582"/>
      <c r="L58" s="378"/>
    </row>
    <row r="59" spans="1:19" s="123" customFormat="1" ht="32.25" customHeight="1" x14ac:dyDescent="0.3">
      <c r="A59" s="529" t="s">
        <v>35</v>
      </c>
      <c r="B59" s="529"/>
      <c r="C59" s="38" t="s">
        <v>236</v>
      </c>
      <c r="D59" s="48" t="s">
        <v>42</v>
      </c>
      <c r="E59" s="117">
        <f>IF(D59=$N$6,1,IF(D59=$N$5,2,IF(D59=$N$4,3,IF(D59=$N$3,4,"n/a"))))</f>
        <v>2</v>
      </c>
      <c r="F59" s="533" t="s">
        <v>276</v>
      </c>
      <c r="G59" s="534"/>
      <c r="H59" s="534"/>
      <c r="I59" s="534"/>
      <c r="J59" s="534"/>
      <c r="K59" s="535"/>
      <c r="L59" s="378"/>
    </row>
    <row r="60" spans="1:19" s="123" customFormat="1" ht="101" customHeight="1" x14ac:dyDescent="0.3">
      <c r="A60" s="529" t="s">
        <v>36</v>
      </c>
      <c r="B60" s="529"/>
      <c r="C60" s="38" t="s">
        <v>227</v>
      </c>
      <c r="D60" s="48" t="s">
        <v>42</v>
      </c>
      <c r="E60" s="117">
        <f>IF(D60=$N$6,1,IF(D60=$N$5,2,IF(D60=$N$4,3,IF(D60=$N$3,4,"n/a"))))</f>
        <v>2</v>
      </c>
      <c r="F60" s="533" t="s">
        <v>277</v>
      </c>
      <c r="G60" s="534"/>
      <c r="H60" s="534"/>
      <c r="I60" s="534"/>
      <c r="J60" s="534"/>
      <c r="K60" s="535"/>
      <c r="L60" s="382"/>
    </row>
    <row r="61" spans="1:19" s="123" customFormat="1" ht="44.75" customHeight="1" thickBot="1" x14ac:dyDescent="0.35">
      <c r="A61" s="575" t="s">
        <v>37</v>
      </c>
      <c r="B61" s="575"/>
      <c r="C61" s="192" t="s">
        <v>228</v>
      </c>
      <c r="D61" s="175" t="s">
        <v>42</v>
      </c>
      <c r="E61" s="174">
        <f>IF(D61=$N$6,1,IF(D61=$N$5,2,IF(D61=$N$4,3,IF(D61=$N$3,4,"n/a"))))</f>
        <v>2</v>
      </c>
      <c r="F61" s="519" t="s">
        <v>278</v>
      </c>
      <c r="G61" s="520"/>
      <c r="H61" s="520"/>
      <c r="I61" s="520"/>
      <c r="J61" s="520"/>
      <c r="K61" s="521"/>
      <c r="L61" s="378"/>
    </row>
    <row r="62" spans="1:19" s="104" customFormat="1" ht="28.5" customHeight="1" thickBot="1" x14ac:dyDescent="0.3">
      <c r="A62" s="605"/>
      <c r="B62" s="606"/>
      <c r="C62" s="36" t="s">
        <v>24</v>
      </c>
      <c r="D62" s="27" t="str">
        <f>IF(E62&lt;1.5,"Low",IF(E62&lt;2.5,"Moderate",IF(E62&lt;3.5,"Substantial",IF(E62&lt;4.5,"High","n/a"))))</f>
        <v>Moderate</v>
      </c>
      <c r="E62" s="144">
        <f>IF(COUNT(E58:E61)=0,"n/a",AVERAGE(E58:E61))</f>
        <v>2.25</v>
      </c>
      <c r="F62" s="49">
        <f>E62</f>
        <v>2.25</v>
      </c>
      <c r="G62" s="119"/>
      <c r="H62" s="50" t="s">
        <v>23</v>
      </c>
      <c r="I62" s="323" t="str">
        <f>D62</f>
        <v>Moderate</v>
      </c>
      <c r="J62" s="90">
        <f>IF(I62=$N$7,"n/a",IF(AND(I62=$N$5,D62=$N$6),1.5,IF(AND(I62=$N$4,D62=$N$5),2.5,IF(AND(I62=$N$3,D62=$N$4),3.5,IF(AND(I62=$N$6,D62=$N$5),1.49,IF(AND(I62=$N$5,D62=$N$4),2.49,IF(AND(I62=$N$4,D62=$N$3),3.49,E62)))))))</f>
        <v>2.25</v>
      </c>
      <c r="K62" s="324" t="s">
        <v>91</v>
      </c>
      <c r="L62" s="374"/>
    </row>
    <row r="63" spans="1:19" s="104" customFormat="1" ht="21.75" customHeight="1" x14ac:dyDescent="0.25">
      <c r="A63" s="197" t="s">
        <v>150</v>
      </c>
      <c r="B63" s="137"/>
      <c r="C63" s="145"/>
      <c r="D63" s="137"/>
      <c r="E63" s="193"/>
      <c r="F63" s="193"/>
      <c r="G63" s="193"/>
      <c r="H63" s="193"/>
      <c r="I63" s="193"/>
      <c r="J63" s="193"/>
      <c r="K63" s="196"/>
      <c r="L63" s="374"/>
    </row>
    <row r="64" spans="1:19" s="147" customFormat="1" ht="47.25" customHeight="1" x14ac:dyDescent="0.25">
      <c r="A64" s="598" t="s">
        <v>151</v>
      </c>
      <c r="B64" s="563"/>
      <c r="C64" s="38" t="s">
        <v>251</v>
      </c>
      <c r="D64" s="194" t="s">
        <v>42</v>
      </c>
      <c r="E64" s="195">
        <f>IF(D64=$N$6,1,IF(D64=$N$5,2,IF(D64=$N$4,3,IF(D64=$N$3,4,"n/a"))))</f>
        <v>2</v>
      </c>
      <c r="F64" s="552" t="s">
        <v>279</v>
      </c>
      <c r="G64" s="552"/>
      <c r="H64" s="552"/>
      <c r="I64" s="552"/>
      <c r="J64" s="552"/>
      <c r="K64" s="552"/>
      <c r="L64" s="383"/>
      <c r="S64" s="148"/>
    </row>
    <row r="65" spans="1:19" s="147" customFormat="1" ht="59" customHeight="1" thickBot="1" x14ac:dyDescent="0.3">
      <c r="A65" s="601" t="s">
        <v>152</v>
      </c>
      <c r="B65" s="602"/>
      <c r="C65" s="190" t="s">
        <v>251</v>
      </c>
      <c r="D65" s="164" t="s">
        <v>42</v>
      </c>
      <c r="E65" s="162">
        <f>IF(D65=$N$6,1,IF(D65=$N$5,2,IF(D65=$N$4,3,IF(D65=$N$3,4,"n/a"))))</f>
        <v>2</v>
      </c>
      <c r="F65" s="519" t="s">
        <v>280</v>
      </c>
      <c r="G65" s="520"/>
      <c r="H65" s="520"/>
      <c r="I65" s="520"/>
      <c r="J65" s="520"/>
      <c r="K65" s="521"/>
      <c r="L65" s="383"/>
      <c r="S65" s="148"/>
    </row>
    <row r="66" spans="1:19" s="147" customFormat="1" ht="30" customHeight="1" thickBot="1" x14ac:dyDescent="0.3">
      <c r="A66" s="599"/>
      <c r="B66" s="600"/>
      <c r="C66" s="36" t="s">
        <v>24</v>
      </c>
      <c r="D66" s="27" t="str">
        <f>IF(E66&lt;1.5,"Low",IF(E66&lt;2.5,"Moderate",IF(E66&lt;3.5,"Substantial",IF(E66&lt;4.5,"High","n/a"))))</f>
        <v>Moderate</v>
      </c>
      <c r="E66" s="144">
        <f>IF(COUNT(E64:E65)=0,"n/a",AVERAGE(E64:E65))</f>
        <v>2</v>
      </c>
      <c r="F66" s="49">
        <f>E66</f>
        <v>2</v>
      </c>
      <c r="G66" s="215"/>
      <c r="H66" s="50" t="s">
        <v>23</v>
      </c>
      <c r="I66" s="323" t="str">
        <f>D66</f>
        <v>Moderate</v>
      </c>
      <c r="J66" s="90">
        <f>IF(I66=$N$7,"n/a",IF(AND(I66=$N$5,D66=$N$6),1.5,IF(AND(I66=$N$4,D66=$N$5),2.5,IF(AND(I66=$N$3,D66=$N$4),3.5,IF(AND(I66=$N$6,D66=$N$5),1.49,IF(AND(I66=$N$5,D66=$N$4),2.49,IF(AND(I66=$N$4,D66=$N$3),3.49,E66)))))))</f>
        <v>2</v>
      </c>
      <c r="K66" s="325" t="s">
        <v>91</v>
      </c>
      <c r="L66" s="384"/>
      <c r="S66" s="148"/>
    </row>
    <row r="67" spans="1:19" s="151" customFormat="1" ht="24.75" customHeight="1" thickBot="1" x14ac:dyDescent="0.3">
      <c r="A67" s="149" t="s">
        <v>216</v>
      </c>
      <c r="B67" s="150"/>
      <c r="C67" s="207"/>
      <c r="D67" s="207"/>
      <c r="E67" s="207"/>
      <c r="F67" s="207"/>
      <c r="G67" s="207"/>
      <c r="H67" s="207"/>
      <c r="I67" s="207"/>
      <c r="J67" s="207"/>
      <c r="K67" s="208"/>
      <c r="L67" s="376" t="s">
        <v>96</v>
      </c>
      <c r="Q67" s="152"/>
    </row>
    <row r="68" spans="1:19" s="151" customFormat="1" ht="23.25" customHeight="1" x14ac:dyDescent="0.25">
      <c r="A68" s="201" t="s">
        <v>209</v>
      </c>
      <c r="B68" s="202"/>
      <c r="C68" s="204"/>
      <c r="D68" s="205"/>
      <c r="E68" s="205"/>
      <c r="F68" s="205"/>
      <c r="G68" s="205"/>
      <c r="H68" s="205"/>
      <c r="I68" s="205"/>
      <c r="J68" s="205"/>
      <c r="K68" s="206"/>
      <c r="L68" s="383"/>
    </row>
    <row r="69" spans="1:19" s="151" customFormat="1" ht="169" customHeight="1" x14ac:dyDescent="0.25">
      <c r="A69" s="497" t="s">
        <v>52</v>
      </c>
      <c r="B69" s="500"/>
      <c r="C69" s="223" t="s">
        <v>254</v>
      </c>
      <c r="D69" s="224" t="s">
        <v>42</v>
      </c>
      <c r="E69" s="117">
        <f>IF(D69=$N$6,1,IF(D69=$N$5,2,IF(D69=$N$4,3,IF(D69=$N$3,4,"n/a"))))</f>
        <v>2</v>
      </c>
      <c r="F69" s="482" t="s">
        <v>282</v>
      </c>
      <c r="G69" s="482"/>
      <c r="H69" s="482"/>
      <c r="I69" s="482"/>
      <c r="J69" s="482"/>
      <c r="K69" s="482"/>
      <c r="L69" s="376" t="s">
        <v>96</v>
      </c>
    </row>
    <row r="70" spans="1:19" s="151" customFormat="1" ht="44.15" customHeight="1" thickBot="1" x14ac:dyDescent="0.3">
      <c r="A70" s="492" t="s">
        <v>53</v>
      </c>
      <c r="B70" s="493"/>
      <c r="C70" s="225" t="s">
        <v>251</v>
      </c>
      <c r="D70" s="164" t="s">
        <v>42</v>
      </c>
      <c r="E70" s="174">
        <f>IF(D70=$N$6,1,IF(D70=$N$5,2,IF(D70=$N$4,3,IF(D70=$N$3,4,"n/a"))))</f>
        <v>2</v>
      </c>
      <c r="F70" s="499" t="s">
        <v>283</v>
      </c>
      <c r="G70" s="508"/>
      <c r="H70" s="499"/>
      <c r="I70" s="499"/>
      <c r="J70" s="508"/>
      <c r="K70" s="499"/>
      <c r="L70" s="376" t="s">
        <v>96</v>
      </c>
    </row>
    <row r="71" spans="1:19" s="151" customFormat="1" ht="27" customHeight="1" thickBot="1" x14ac:dyDescent="0.3">
      <c r="A71" s="603"/>
      <c r="B71" s="604"/>
      <c r="C71" s="211" t="s">
        <v>24</v>
      </c>
      <c r="D71" s="46" t="str">
        <f>IF(E71&lt;1.5,"Low",IF(E71&lt;2.5,"Moderate",IF(E71&lt;3.5,"Substantial",IF(E71&lt;4.5,"High","n/a"))))</f>
        <v>Moderate</v>
      </c>
      <c r="E71" s="144">
        <f>IF(COUNT(E69:E70)=0,"n/a",AVERAGE(E69:E70))</f>
        <v>2</v>
      </c>
      <c r="F71" s="28">
        <f>E71</f>
        <v>2</v>
      </c>
      <c r="G71" s="215"/>
      <c r="H71" s="29" t="s">
        <v>23</v>
      </c>
      <c r="I71" s="26" t="str">
        <f>D71</f>
        <v>Moderate</v>
      </c>
      <c r="J71" s="30">
        <f>IF(I71=$N$7,"n/a",IF(AND(I71=$N$5,D71=$N$6),1.5,IF(AND(I71=$N$4,D71=$N$5),2.5,IF(AND(I71=$N$3,D71=$N$4),3.5,IF(AND(I71=$N$6,D71=$N$5),1.49,IF(AND(I71=$N$5,D71=$N$4),2.49,IF(AND(I71=$N$4,D71=$N$3),3.49,E71)))))))</f>
        <v>2</v>
      </c>
      <c r="K71" s="180" t="s">
        <v>91</v>
      </c>
      <c r="L71" s="383"/>
    </row>
    <row r="72" spans="1:19" s="151" customFormat="1" ht="20.25" customHeight="1" x14ac:dyDescent="0.25">
      <c r="A72" s="311" t="s">
        <v>43</v>
      </c>
      <c r="B72" s="204"/>
      <c r="C72" s="205"/>
      <c r="D72" s="198"/>
      <c r="E72" s="199"/>
      <c r="F72" s="205"/>
      <c r="G72" s="205"/>
      <c r="H72" s="205"/>
      <c r="I72" s="205"/>
      <c r="J72" s="205"/>
      <c r="K72" s="206"/>
      <c r="L72" s="383"/>
    </row>
    <row r="73" spans="1:19" s="151" customFormat="1" ht="57.9" customHeight="1" x14ac:dyDescent="0.25">
      <c r="A73" s="596" t="s">
        <v>74</v>
      </c>
      <c r="B73" s="597"/>
      <c r="C73" s="226" t="s">
        <v>251</v>
      </c>
      <c r="D73" s="167" t="s">
        <v>42</v>
      </c>
      <c r="E73" s="117">
        <f>IF(D73=$N$6,1,IF(D73=$N$5,2,IF(D73=$N$4,3,IF(D73=$N$3,4,"n/a"))))</f>
        <v>2</v>
      </c>
      <c r="F73" s="505" t="s">
        <v>281</v>
      </c>
      <c r="G73" s="499"/>
      <c r="H73" s="499"/>
      <c r="I73" s="499"/>
      <c r="J73" s="499"/>
      <c r="K73" s="506"/>
      <c r="L73" s="376"/>
    </row>
    <row r="74" spans="1:19" s="151" customFormat="1" ht="47" customHeight="1" thickBot="1" x14ac:dyDescent="0.3">
      <c r="A74" s="492" t="s">
        <v>57</v>
      </c>
      <c r="B74" s="493"/>
      <c r="C74" s="227" t="s">
        <v>237</v>
      </c>
      <c r="D74" s="166" t="s">
        <v>79</v>
      </c>
      <c r="E74" s="174">
        <f>IF(D74=$N$6,1,IF(D74=$N$5,2,IF(D74=$N$4,3,IF(D74=$N$3,4,"n/a"))))</f>
        <v>1</v>
      </c>
      <c r="F74" s="494" t="s">
        <v>283</v>
      </c>
      <c r="G74" s="495"/>
      <c r="H74" s="495"/>
      <c r="I74" s="495"/>
      <c r="J74" s="495"/>
      <c r="K74" s="496"/>
      <c r="L74" s="376" t="s">
        <v>96</v>
      </c>
    </row>
    <row r="75" spans="1:19" s="151" customFormat="1" ht="25.5" customHeight="1" thickBot="1" x14ac:dyDescent="0.3">
      <c r="A75" s="501"/>
      <c r="B75" s="502"/>
      <c r="C75" s="45" t="s">
        <v>24</v>
      </c>
      <c r="D75" s="27" t="str">
        <f>IF(E75&lt;1.5,"Low",IF(E75&lt;2.5,"Moderate",IF(E75&lt;3.5,"Substantial",IF(E75&lt;4.5,"High","n/a"))))</f>
        <v>Moderate</v>
      </c>
      <c r="E75" s="144">
        <f>IF(COUNT(E73:E74)=0,"n/a",AVERAGE(E73:E74))</f>
        <v>1.5</v>
      </c>
      <c r="F75" s="49">
        <f>E75</f>
        <v>1.5</v>
      </c>
      <c r="G75" s="215"/>
      <c r="H75" s="50" t="s">
        <v>23</v>
      </c>
      <c r="I75" s="323" t="str">
        <f>D75</f>
        <v>Moderate</v>
      </c>
      <c r="J75" s="90">
        <f>IF(I75=$N$7,"n/a",IF(AND(I75=$N$5,D75=$N$6),1.5,IF(AND(I75=$N$4,D75=$N$5),2.5,IF(AND(I75=$N$3,D75=$N$4),3.5,IF(AND(I75=$N$6,D75=$N$5),1.49,IF(AND(I75=$N$5,D75=$N$4),2.49,IF(AND(I75=$N$4,D75=$N$3),3.49,E75)))))))</f>
        <v>1.5</v>
      </c>
      <c r="K75" s="91" t="s">
        <v>91</v>
      </c>
      <c r="L75" s="383"/>
    </row>
    <row r="76" spans="1:19" s="151" customFormat="1" ht="21" customHeight="1" x14ac:dyDescent="0.25">
      <c r="A76" s="201" t="s">
        <v>54</v>
      </c>
      <c r="B76" s="202"/>
      <c r="C76" s="198"/>
      <c r="D76" s="198"/>
      <c r="E76" s="198"/>
      <c r="F76" s="198"/>
      <c r="G76" s="198"/>
      <c r="H76" s="198"/>
      <c r="I76" s="198"/>
      <c r="J76" s="198"/>
      <c r="K76" s="200"/>
      <c r="L76" s="383"/>
    </row>
    <row r="77" spans="1:19" s="151" customFormat="1" ht="92.5" customHeight="1" x14ac:dyDescent="0.25">
      <c r="A77" s="497" t="s">
        <v>55</v>
      </c>
      <c r="B77" s="500"/>
      <c r="C77" s="228" t="s">
        <v>255</v>
      </c>
      <c r="D77" s="167" t="s">
        <v>42</v>
      </c>
      <c r="E77" s="117">
        <f>IF(D77=$N$6,1,IF(D77=$N$5,2,IF(D77=$N$4,3,IF(D77=$N$3,4,"n/a"))))</f>
        <v>2</v>
      </c>
      <c r="F77" s="482" t="s">
        <v>284</v>
      </c>
      <c r="G77" s="482"/>
      <c r="H77" s="482"/>
      <c r="I77" s="482"/>
      <c r="J77" s="482"/>
      <c r="K77" s="482"/>
      <c r="L77" s="383"/>
    </row>
    <row r="78" spans="1:19" s="151" customFormat="1" ht="37" customHeight="1" x14ac:dyDescent="0.25">
      <c r="A78" s="497" t="s">
        <v>56</v>
      </c>
      <c r="B78" s="498"/>
      <c r="C78" s="226" t="s">
        <v>251</v>
      </c>
      <c r="D78" s="48" t="s">
        <v>42</v>
      </c>
      <c r="E78" s="117">
        <f>IF(D78=$N$6,1,IF(D78=$N$5,2,IF(D78=$N$4,3,IF(D78=$N$3,4,"n/a"))))</f>
        <v>2</v>
      </c>
      <c r="F78" s="499" t="s">
        <v>285</v>
      </c>
      <c r="G78" s="499"/>
      <c r="H78" s="499"/>
      <c r="I78" s="499"/>
      <c r="J78" s="499"/>
      <c r="K78" s="499"/>
      <c r="L78" s="376" t="s">
        <v>96</v>
      </c>
    </row>
    <row r="79" spans="1:19" s="151" customFormat="1" ht="32.15" customHeight="1" thickBot="1" x14ac:dyDescent="0.3">
      <c r="A79" s="497" t="s">
        <v>75</v>
      </c>
      <c r="B79" s="498"/>
      <c r="C79" s="229" t="s">
        <v>238</v>
      </c>
      <c r="D79" s="166" t="s">
        <v>42</v>
      </c>
      <c r="E79" s="174">
        <f>IF(D79=$N$6,1,IF(D79=$N$5,2,IF(D79=$N$4,3,IF(D79=$N$3,4,"n/a"))))</f>
        <v>2</v>
      </c>
      <c r="F79" s="499" t="s">
        <v>286</v>
      </c>
      <c r="G79" s="508"/>
      <c r="H79" s="499"/>
      <c r="I79" s="499"/>
      <c r="J79" s="508"/>
      <c r="K79" s="499"/>
      <c r="L79" s="376" t="s">
        <v>96</v>
      </c>
    </row>
    <row r="80" spans="1:19" s="151" customFormat="1" ht="27.75" customHeight="1" thickBot="1" x14ac:dyDescent="0.3">
      <c r="A80" s="501"/>
      <c r="B80" s="502"/>
      <c r="C80" s="45" t="s">
        <v>24</v>
      </c>
      <c r="D80" s="27" t="str">
        <f>IF(E80&lt;1.5,"Low",IF(E80&lt;2.5,"Moderate",IF(E80&lt;3.5,"Substantial",IF(E80&lt;4.5,"High","n/a"))))</f>
        <v>Moderate</v>
      </c>
      <c r="E80" s="144">
        <f>IF(COUNT(E77:E79)=0,"n/a",AVERAGE(E77:E79))</f>
        <v>2</v>
      </c>
      <c r="F80" s="28">
        <f>E80</f>
        <v>2</v>
      </c>
      <c r="G80" s="215"/>
      <c r="H80" s="29" t="s">
        <v>23</v>
      </c>
      <c r="I80" s="26" t="str">
        <f>D80</f>
        <v>Moderate</v>
      </c>
      <c r="J80" s="30">
        <f>IF(I80=$N$7,"n/a",IF(AND(I80=$N$5,D80=$N$6),1.5,IF(AND(I80=$N$4,D80=$N$5),2.5,IF(AND(I80=$N$3,D80=$N$4),3.5,IF(AND(I80=$N$6,D80=$N$5),1.49,IF(AND(I80=$N$5,D80=$N$4),2.49,IF(AND(I80=$N$4,D80=$N$3),3.49,E80)))))))</f>
        <v>2</v>
      </c>
      <c r="K80" s="88" t="s">
        <v>91</v>
      </c>
      <c r="L80" s="383"/>
    </row>
    <row r="81" spans="1:17" s="151" customFormat="1" ht="21" customHeight="1" x14ac:dyDescent="0.25">
      <c r="A81" s="203" t="s">
        <v>58</v>
      </c>
      <c r="B81" s="198"/>
      <c r="C81" s="198"/>
      <c r="D81" s="198"/>
      <c r="E81" s="198"/>
      <c r="F81" s="198"/>
      <c r="G81" s="198"/>
      <c r="H81" s="198"/>
      <c r="I81" s="198"/>
      <c r="J81" s="198"/>
      <c r="K81" s="200"/>
      <c r="L81" s="383"/>
    </row>
    <row r="82" spans="1:17" s="151" customFormat="1" ht="79" customHeight="1" x14ac:dyDescent="0.25">
      <c r="A82" s="497" t="s">
        <v>77</v>
      </c>
      <c r="B82" s="500"/>
      <c r="C82" s="228" t="s">
        <v>239</v>
      </c>
      <c r="D82" s="167" t="s">
        <v>42</v>
      </c>
      <c r="E82" s="117">
        <f>IF(D82=$N$6,1,IF(D82=$N$5,2,IF(D82=$N$4,3,IF(D82=$N$3,4,"n/a"))))</f>
        <v>2</v>
      </c>
      <c r="F82" s="482" t="s">
        <v>287</v>
      </c>
      <c r="G82" s="482"/>
      <c r="H82" s="482"/>
      <c r="I82" s="482"/>
      <c r="J82" s="482"/>
      <c r="K82" s="482"/>
      <c r="L82" s="383"/>
    </row>
    <row r="83" spans="1:17" s="151" customFormat="1" ht="37.5" customHeight="1" thickBot="1" x14ac:dyDescent="0.3">
      <c r="A83" s="492" t="s">
        <v>78</v>
      </c>
      <c r="B83" s="493"/>
      <c r="C83" s="229"/>
      <c r="D83" s="166" t="s">
        <v>42</v>
      </c>
      <c r="E83" s="174">
        <f>IF(D83=$N$6,1,IF(D83=$N$5,2,IF(D83=$N$4,3,IF(D83=$N$3,4,"n/a"))))</f>
        <v>2</v>
      </c>
      <c r="F83" s="494"/>
      <c r="G83" s="495"/>
      <c r="H83" s="495"/>
      <c r="I83" s="495"/>
      <c r="J83" s="495"/>
      <c r="K83" s="528"/>
      <c r="L83" s="376" t="s">
        <v>96</v>
      </c>
      <c r="Q83" s="153"/>
    </row>
    <row r="84" spans="1:17" s="151" customFormat="1" ht="26.25" customHeight="1" thickBot="1" x14ac:dyDescent="0.3">
      <c r="A84" s="209"/>
      <c r="B84" s="210"/>
      <c r="C84" s="211" t="s">
        <v>24</v>
      </c>
      <c r="D84" s="27" t="str">
        <f>IF(E84&lt;1.5,"Low",IF(E84&lt;2.5,"Moderate",IF(E84&lt;3.5,"Substantial",IF(E84&lt;4.5,"High","n/a"))))</f>
        <v>Moderate</v>
      </c>
      <c r="E84" s="144">
        <f>IF(COUNT(E82:E83)=0,"n/a",AVERAGE(E82:E83))</f>
        <v>2</v>
      </c>
      <c r="F84" s="49">
        <f>E84</f>
        <v>2</v>
      </c>
      <c r="G84" s="216"/>
      <c r="H84" s="322" t="s">
        <v>23</v>
      </c>
      <c r="I84" s="323" t="str">
        <f>D84</f>
        <v>Moderate</v>
      </c>
      <c r="J84" s="90">
        <f>IF(I84=$N$7,"n/a",IF(AND(I84=$N$5,D84=$N$6),1.5,IF(AND(I84=$N$4,D84=$N$5),2.5,IF(AND(I84=$N$3,D84=$N$4),3.5,IF(AND(I84=$N$6,D84=$N$5),1.49,IF(AND(I84=$N$5,D84=$N$4),2.49,IF(AND(I84=$N$4,D84=$N$3),3.49,E84)))))))</f>
        <v>2</v>
      </c>
      <c r="K84" s="324" t="s">
        <v>91</v>
      </c>
      <c r="L84" s="383"/>
      <c r="Q84" s="154"/>
    </row>
    <row r="85" spans="1:17" s="151" customFormat="1" ht="26.25" customHeight="1" thickBot="1" x14ac:dyDescent="0.3">
      <c r="A85" s="288" t="s">
        <v>217</v>
      </c>
      <c r="B85" s="287"/>
      <c r="C85" s="287"/>
      <c r="D85" s="287"/>
      <c r="E85" s="287"/>
      <c r="F85" s="287"/>
      <c r="G85" s="287"/>
      <c r="H85" s="287"/>
      <c r="I85" s="287"/>
      <c r="J85" s="287"/>
      <c r="K85" s="287"/>
      <c r="L85" s="383"/>
      <c r="Q85" s="154"/>
    </row>
    <row r="86" spans="1:17" s="151" customFormat="1" ht="21.75" customHeight="1" x14ac:dyDescent="0.25">
      <c r="A86" s="392" t="s">
        <v>173</v>
      </c>
      <c r="B86" s="289"/>
      <c r="C86" s="289"/>
      <c r="D86" s="289"/>
      <c r="E86" s="289"/>
      <c r="F86" s="289"/>
      <c r="G86" s="289"/>
      <c r="H86" s="289"/>
      <c r="I86" s="289"/>
      <c r="J86" s="289"/>
      <c r="K86" s="290"/>
      <c r="L86" s="383"/>
      <c r="Q86" s="154"/>
    </row>
    <row r="87" spans="1:17" s="151" customFormat="1" ht="33.65" customHeight="1" x14ac:dyDescent="0.25">
      <c r="A87" s="487" t="s">
        <v>153</v>
      </c>
      <c r="B87" s="488"/>
      <c r="C87" s="291" t="s">
        <v>251</v>
      </c>
      <c r="D87" s="224" t="s">
        <v>5</v>
      </c>
      <c r="E87" s="212">
        <f>IF(D87=$N$6,1,IF(D87=$N$5,2,IF(D87=$N$4,3,IF(D87=$N$3,4,"n/a"))))</f>
        <v>3</v>
      </c>
      <c r="F87" s="482" t="s">
        <v>288</v>
      </c>
      <c r="G87" s="482"/>
      <c r="H87" s="482"/>
      <c r="I87" s="482"/>
      <c r="J87" s="482"/>
      <c r="K87" s="482"/>
      <c r="L87" s="383"/>
      <c r="Q87" s="154"/>
    </row>
    <row r="88" spans="1:17" s="151" customFormat="1" ht="33.75" customHeight="1" x14ac:dyDescent="0.25">
      <c r="A88" s="487" t="s">
        <v>154</v>
      </c>
      <c r="B88" s="488"/>
      <c r="C88" s="291" t="s">
        <v>251</v>
      </c>
      <c r="D88" s="224" t="s">
        <v>42</v>
      </c>
      <c r="E88" s="212">
        <f>IF(D88=$N$6,1,IF(D88=$N$5,2,IF(D88=$N$4,3,IF(D88=$N$3,4,"n/a"))))</f>
        <v>2</v>
      </c>
      <c r="F88" s="482" t="s">
        <v>289</v>
      </c>
      <c r="G88" s="482"/>
      <c r="H88" s="482"/>
      <c r="I88" s="482"/>
      <c r="J88" s="482"/>
      <c r="K88" s="482"/>
      <c r="L88" s="376" t="s">
        <v>96</v>
      </c>
      <c r="Q88" s="154"/>
    </row>
    <row r="89" spans="1:17" s="151" customFormat="1" ht="30.75" customHeight="1" x14ac:dyDescent="0.25">
      <c r="A89" s="487" t="s">
        <v>155</v>
      </c>
      <c r="B89" s="488"/>
      <c r="C89" s="291" t="s">
        <v>251</v>
      </c>
      <c r="D89" s="224" t="s">
        <v>42</v>
      </c>
      <c r="E89" s="212">
        <f>IF(D89=$N$6,1,IF(D89=$N$5,2,IF(D89=$N$4,3,IF(D89=$N$3,4,"n/a"))))</f>
        <v>2</v>
      </c>
      <c r="F89" s="482" t="s">
        <v>290</v>
      </c>
      <c r="G89" s="482"/>
      <c r="H89" s="482"/>
      <c r="I89" s="482"/>
      <c r="J89" s="482"/>
      <c r="K89" s="482"/>
      <c r="L89" s="383"/>
      <c r="Q89" s="154"/>
    </row>
    <row r="90" spans="1:17" s="151" customFormat="1" ht="63.5" customHeight="1" thickBot="1" x14ac:dyDescent="0.3">
      <c r="A90" s="487" t="s">
        <v>174</v>
      </c>
      <c r="B90" s="488"/>
      <c r="C90" s="291" t="s">
        <v>251</v>
      </c>
      <c r="D90" s="224" t="s">
        <v>42</v>
      </c>
      <c r="E90" s="212">
        <f>IF(D90=$N$6,1,IF(D90=$N$5,2,IF(D90=$N$4,3,IF(D90=$N$3,4,"n/a"))))</f>
        <v>2</v>
      </c>
      <c r="F90" s="482" t="s">
        <v>291</v>
      </c>
      <c r="G90" s="482"/>
      <c r="H90" s="482"/>
      <c r="I90" s="482"/>
      <c r="J90" s="591"/>
      <c r="K90" s="482"/>
      <c r="L90" s="383"/>
      <c r="Q90" s="154"/>
    </row>
    <row r="91" spans="1:17" s="151" customFormat="1" ht="26.25" customHeight="1" thickBot="1" x14ac:dyDescent="0.3">
      <c r="A91" s="594"/>
      <c r="B91" s="595"/>
      <c r="C91" s="292" t="s">
        <v>24</v>
      </c>
      <c r="D91" s="27" t="str">
        <f>IF(E91&lt;1.5,"Low",IF(E91&lt;2.5,"Moderate",IF(E91&lt;3.5,"Substantial",IF(E91&lt;4.5,"High","n/a"))))</f>
        <v>Moderate</v>
      </c>
      <c r="E91" s="144">
        <f>IF(COUNT(E87:E90)=0,"n/a",AVERAGE(E87:E90))</f>
        <v>2.25</v>
      </c>
      <c r="F91" s="28">
        <f>E91</f>
        <v>2.25</v>
      </c>
      <c r="G91" s="216"/>
      <c r="H91" s="51" t="s">
        <v>23</v>
      </c>
      <c r="I91" s="26" t="str">
        <f>D91</f>
        <v>Moderate</v>
      </c>
      <c r="J91" s="30">
        <f>IF(I91=$N$7,"n/a",IF(AND(I91=$N$5,D91=$N$6),1.5,IF(AND(I91=$N$4,D91=$N$5),2.5,IF(AND(I91=$N$3,D91=$N$4),3.5,IF(AND(I91=$N$6,D91=$N$5),1.49,IF(AND(I91=$N$5,D91=$N$4),2.49,IF(AND(I91=$N$4,D91=$N$3),3.49,E91)))))))</f>
        <v>2.25</v>
      </c>
      <c r="K91" s="88" t="s">
        <v>91</v>
      </c>
      <c r="L91" s="383"/>
      <c r="Q91" s="154"/>
    </row>
    <row r="92" spans="1:17" s="151" customFormat="1" ht="21" customHeight="1" x14ac:dyDescent="0.25">
      <c r="A92" s="392" t="s">
        <v>166</v>
      </c>
      <c r="B92" s="289"/>
      <c r="C92" s="289"/>
      <c r="D92" s="289"/>
      <c r="E92" s="289"/>
      <c r="F92" s="289"/>
      <c r="G92" s="289"/>
      <c r="H92" s="289"/>
      <c r="I92" s="289"/>
      <c r="J92" s="289"/>
      <c r="K92" s="290"/>
      <c r="L92" s="383"/>
      <c r="Q92" s="154"/>
    </row>
    <row r="93" spans="1:17" s="151" customFormat="1" ht="48" customHeight="1" x14ac:dyDescent="0.25">
      <c r="A93" s="487" t="s">
        <v>167</v>
      </c>
      <c r="B93" s="488"/>
      <c r="C93" s="291" t="s">
        <v>251</v>
      </c>
      <c r="D93" s="167" t="s">
        <v>42</v>
      </c>
      <c r="E93" s="212">
        <f>IF(D93=$N$6,1,IF(D93=$N$5,2,IF(D93=$N$4,3,IF(D93=$N$3,4,"n/a"))))</f>
        <v>2</v>
      </c>
      <c r="F93" s="482" t="s">
        <v>292</v>
      </c>
      <c r="G93" s="482"/>
      <c r="H93" s="482"/>
      <c r="I93" s="482"/>
      <c r="J93" s="482"/>
      <c r="K93" s="482"/>
      <c r="L93" s="383"/>
      <c r="Q93" s="154"/>
    </row>
    <row r="94" spans="1:17" s="151" customFormat="1" ht="31.5" customHeight="1" thickBot="1" x14ac:dyDescent="0.3">
      <c r="A94" s="483" t="s">
        <v>176</v>
      </c>
      <c r="B94" s="484"/>
      <c r="C94" s="293" t="s">
        <v>251</v>
      </c>
      <c r="D94" s="166" t="s">
        <v>42</v>
      </c>
      <c r="E94" s="174">
        <f>IF(D94=$N$6,1,IF(D94=$N$5,2,IF(D94=$N$4,3,IF(D94=$N$3,4,"n/a"))))</f>
        <v>2</v>
      </c>
      <c r="F94" s="510" t="s">
        <v>293</v>
      </c>
      <c r="G94" s="511"/>
      <c r="H94" s="511"/>
      <c r="I94" s="511"/>
      <c r="J94" s="511"/>
      <c r="K94" s="509"/>
      <c r="L94" s="376" t="s">
        <v>96</v>
      </c>
      <c r="Q94" s="154"/>
    </row>
    <row r="95" spans="1:17" s="151" customFormat="1" ht="26.25" customHeight="1" thickBot="1" x14ac:dyDescent="0.3">
      <c r="A95" s="485"/>
      <c r="B95" s="486"/>
      <c r="C95" s="292" t="s">
        <v>24</v>
      </c>
      <c r="D95" s="27" t="str">
        <f>IF(E95&lt;1.5,"Low",IF(E95&lt;2.5,"Moderate",IF(E95&lt;3.5,"Substantial",IF(E95&lt;4.5,"High","n/a"))))</f>
        <v>Moderate</v>
      </c>
      <c r="E95" s="144">
        <f>IF(COUNT(E93:E94)=0,"n/a",AVERAGE(E93:E94))</f>
        <v>2</v>
      </c>
      <c r="F95" s="28">
        <f>E95</f>
        <v>2</v>
      </c>
      <c r="G95" s="215"/>
      <c r="H95" s="29" t="s">
        <v>23</v>
      </c>
      <c r="I95" s="26" t="str">
        <f>D95</f>
        <v>Moderate</v>
      </c>
      <c r="J95" s="30">
        <f>IF(I95=$N$7,"n/a",IF(AND(I95=$N$5,D95=$N$6),1.5,IF(AND(I95=$N$4,D95=$N$5),2.5,IF(AND(I95=$N$3,D95=$N$4),3.5,IF(AND(I95=$N$6,D95=$N$5),1.49,IF(AND(I95=$N$5,D95=$N$4),2.49,IF(AND(I95=$N$4,D95=$N$3),3.49,E95)))))))</f>
        <v>2</v>
      </c>
      <c r="K95" s="88" t="s">
        <v>91</v>
      </c>
      <c r="L95" s="383"/>
      <c r="Q95" s="154"/>
    </row>
    <row r="96" spans="1:17" s="151" customFormat="1" ht="21" customHeight="1" x14ac:dyDescent="0.25">
      <c r="A96" s="392" t="s">
        <v>157</v>
      </c>
      <c r="B96" s="289"/>
      <c r="C96" s="289"/>
      <c r="D96" s="289"/>
      <c r="E96" s="289"/>
      <c r="F96" s="289"/>
      <c r="G96" s="289"/>
      <c r="H96" s="289"/>
      <c r="I96" s="289"/>
      <c r="J96" s="289"/>
      <c r="K96" s="290"/>
      <c r="L96" s="383"/>
      <c r="Q96" s="154"/>
    </row>
    <row r="97" spans="1:17" s="151" customFormat="1" ht="96.65" customHeight="1" x14ac:dyDescent="0.25">
      <c r="A97" s="487" t="s">
        <v>158</v>
      </c>
      <c r="B97" s="488"/>
      <c r="C97" s="294" t="s">
        <v>256</v>
      </c>
      <c r="D97" s="167" t="s">
        <v>42</v>
      </c>
      <c r="E97" s="117">
        <f>IF(D97=$N$6,1,IF(D97=$N$5,2,IF(D97=$N$4,3,IF(D97=$N$3,4,"n/a"))))</f>
        <v>2</v>
      </c>
      <c r="F97" s="482" t="s">
        <v>294</v>
      </c>
      <c r="G97" s="482"/>
      <c r="H97" s="482"/>
      <c r="I97" s="482"/>
      <c r="J97" s="482"/>
      <c r="K97" s="482"/>
      <c r="L97" s="376" t="s">
        <v>96</v>
      </c>
      <c r="Q97" s="154"/>
    </row>
    <row r="98" spans="1:17" s="151" customFormat="1" ht="106.75" customHeight="1" x14ac:dyDescent="0.25">
      <c r="A98" s="483" t="s">
        <v>159</v>
      </c>
      <c r="B98" s="489"/>
      <c r="C98" s="294" t="s">
        <v>240</v>
      </c>
      <c r="D98" s="48" t="s">
        <v>42</v>
      </c>
      <c r="E98" s="117">
        <f>IF(D98=$N$6,1,IF(D98=$N$5,2,IF(D98=$N$4,3,IF(D98=$N$3,4,"n/a"))))</f>
        <v>2</v>
      </c>
      <c r="F98" s="505" t="s">
        <v>295</v>
      </c>
      <c r="G98" s="499"/>
      <c r="H98" s="499"/>
      <c r="I98" s="499"/>
      <c r="J98" s="499"/>
      <c r="K98" s="506"/>
      <c r="L98" s="376" t="s">
        <v>96</v>
      </c>
      <c r="P98" s="309"/>
      <c r="Q98" s="154"/>
    </row>
    <row r="99" spans="1:17" s="151" customFormat="1" ht="47.4" customHeight="1" thickBot="1" x14ac:dyDescent="0.3">
      <c r="A99" s="490" t="s">
        <v>160</v>
      </c>
      <c r="B99" s="491"/>
      <c r="C99" s="295" t="s">
        <v>240</v>
      </c>
      <c r="D99" s="285" t="s">
        <v>42</v>
      </c>
      <c r="E99" s="286">
        <f>IF(D99=$N$6,1,IF(D99=$N$5,2,IF(D99=$N$4,3,IF(D99=$N$3,4,"n/a"))))</f>
        <v>2</v>
      </c>
      <c r="F99" s="507" t="s">
        <v>296</v>
      </c>
      <c r="G99" s="508"/>
      <c r="H99" s="508"/>
      <c r="I99" s="508"/>
      <c r="J99" s="508"/>
      <c r="K99" s="509"/>
      <c r="L99" s="383"/>
      <c r="P99" s="309"/>
      <c r="Q99" s="154"/>
    </row>
    <row r="100" spans="1:17" s="151" customFormat="1" ht="26.25" customHeight="1" thickBot="1" x14ac:dyDescent="0.3">
      <c r="A100" s="536"/>
      <c r="B100" s="537"/>
      <c r="C100" s="292" t="s">
        <v>24</v>
      </c>
      <c r="D100" s="27" t="str">
        <f>IF(E100&lt;1.5,"Low",IF(E100&lt;2.5,"Moderate",IF(E100&lt;3.5,"Substantial",IF(E100&lt;4.5,"High","n/a"))))</f>
        <v>Moderate</v>
      </c>
      <c r="E100" s="144">
        <f>IF(COUNT(E97:E99)=0,"n/a",AVERAGE(E97:E99))</f>
        <v>2</v>
      </c>
      <c r="F100" s="28">
        <f>E100</f>
        <v>2</v>
      </c>
      <c r="G100" s="215"/>
      <c r="H100" s="29" t="s">
        <v>23</v>
      </c>
      <c r="I100" s="26" t="str">
        <f>D100</f>
        <v>Moderate</v>
      </c>
      <c r="J100" s="30">
        <f>IF(I100=$N$7,"n/a",IF(AND(I100=$N$5,D100=$N$6),1.5,IF(AND(I100=$N$4,D100=$N$5),2.5,IF(AND(I100=$N$3,D100=$N$4),3.5,IF(AND(I100=$N$6,D100=$N$5),1.49,IF(AND(I100=$N$5,D100=$N$4),2.49,IF(AND(I100=$N$4,D100=$N$3),3.49,E100)))))))</f>
        <v>2</v>
      </c>
      <c r="K100" s="88" t="s">
        <v>91</v>
      </c>
      <c r="L100" s="383"/>
      <c r="P100" s="309"/>
      <c r="Q100" s="154"/>
    </row>
    <row r="101" spans="1:17" s="151" customFormat="1" ht="23.25" customHeight="1" thickBot="1" x14ac:dyDescent="0.3">
      <c r="A101" s="155" t="s">
        <v>218</v>
      </c>
      <c r="B101" s="156"/>
      <c r="C101" s="156"/>
      <c r="D101" s="156"/>
      <c r="E101" s="156"/>
      <c r="F101" s="156"/>
      <c r="G101" s="156"/>
      <c r="H101" s="156"/>
      <c r="I101" s="156"/>
      <c r="J101" s="156"/>
      <c r="K101" s="156"/>
      <c r="L101" s="383"/>
      <c r="M101" s="154"/>
    </row>
    <row r="102" spans="1:17" s="151" customFormat="1" ht="20.25" customHeight="1" x14ac:dyDescent="0.25">
      <c r="A102" s="393" t="s">
        <v>162</v>
      </c>
      <c r="B102" s="213"/>
      <c r="C102" s="213"/>
      <c r="D102" s="213"/>
      <c r="E102" s="213"/>
      <c r="F102" s="213"/>
      <c r="G102" s="213"/>
      <c r="H102" s="213"/>
      <c r="I102" s="213"/>
      <c r="J102" s="213"/>
      <c r="K102" s="214"/>
      <c r="L102" s="383"/>
    </row>
    <row r="103" spans="1:17" s="151" customFormat="1" ht="112.5" customHeight="1" x14ac:dyDescent="0.25">
      <c r="A103" s="514" t="s">
        <v>179</v>
      </c>
      <c r="B103" s="515"/>
      <c r="C103" s="230" t="s">
        <v>232</v>
      </c>
      <c r="D103" s="224" t="s">
        <v>42</v>
      </c>
      <c r="E103" s="212">
        <f>IF(D103=$N$6,1,IF(D103=$N$5,2,IF(D103=$N$4,3,IF(D103=$N$3,4,"n/a"))))</f>
        <v>2</v>
      </c>
      <c r="F103" s="482" t="s">
        <v>297</v>
      </c>
      <c r="G103" s="482"/>
      <c r="H103" s="482"/>
      <c r="I103" s="482"/>
      <c r="J103" s="482"/>
      <c r="K103" s="482"/>
      <c r="L103" s="376" t="s">
        <v>96</v>
      </c>
      <c r="Q103" s="154"/>
    </row>
    <row r="104" spans="1:17" s="151" customFormat="1" ht="134" customHeight="1" x14ac:dyDescent="0.25">
      <c r="A104" s="512" t="s">
        <v>180</v>
      </c>
      <c r="B104" s="513"/>
      <c r="C104" s="231" t="s">
        <v>258</v>
      </c>
      <c r="D104" s="194" t="s">
        <v>42</v>
      </c>
      <c r="E104" s="117">
        <f>IF(D104=$N$6,1,IF(D104=$N$5,2,IF(D104=$N$4,3,IF(D104=$N$3,4,"n/a"))))</f>
        <v>2</v>
      </c>
      <c r="F104" s="499" t="s">
        <v>298</v>
      </c>
      <c r="G104" s="499"/>
      <c r="H104" s="499"/>
      <c r="I104" s="499"/>
      <c r="J104" s="499"/>
      <c r="K104" s="499"/>
      <c r="L104" s="376" t="s">
        <v>96</v>
      </c>
      <c r="Q104" s="157"/>
    </row>
    <row r="105" spans="1:17" ht="80.5" customHeight="1" thickBot="1" x14ac:dyDescent="0.3">
      <c r="A105" s="524" t="s">
        <v>181</v>
      </c>
      <c r="B105" s="525"/>
      <c r="C105" s="232" t="s">
        <v>257</v>
      </c>
      <c r="D105" s="164" t="s">
        <v>42</v>
      </c>
      <c r="E105" s="174">
        <f>IF(D105=$N$6,1,IF(D105=$N$5,2,IF(D105=$N$4,3,IF(D105=$N$3,4,"n/a"))))</f>
        <v>2</v>
      </c>
      <c r="F105" s="499" t="s">
        <v>299</v>
      </c>
      <c r="G105" s="508"/>
      <c r="H105" s="499"/>
      <c r="I105" s="499"/>
      <c r="J105" s="508"/>
      <c r="K105" s="499"/>
      <c r="L105" s="376" t="s">
        <v>96</v>
      </c>
    </row>
    <row r="106" spans="1:17" ht="32.25" customHeight="1" thickBot="1" x14ac:dyDescent="0.3">
      <c r="A106" s="592"/>
      <c r="B106" s="593"/>
      <c r="C106" s="39" t="s">
        <v>24</v>
      </c>
      <c r="D106" s="27" t="str">
        <f>IF(E106&lt;1.5,"Low",IF(E106&lt;2.5,"Moderate",IF(E106&lt;3.5,"Substantial",IF(E106&lt;4.5,"High","n/a"))))</f>
        <v>Moderate</v>
      </c>
      <c r="E106" s="144">
        <f>IF(COUNT(E103:E105)=0,"n/a",AVERAGE(E103:E105))</f>
        <v>2</v>
      </c>
      <c r="F106" s="28">
        <f>E106</f>
        <v>2</v>
      </c>
      <c r="G106" s="216"/>
      <c r="H106" s="51" t="s">
        <v>23</v>
      </c>
      <c r="I106" s="26" t="str">
        <f>D106</f>
        <v>Moderate</v>
      </c>
      <c r="J106" s="30">
        <f>IF(I106=$N$7,"n/a",IF(AND(I106=$N$5,D106=$N$6),1.5,IF(AND(I106=$N$4,D106=$N$5),2.5,IF(AND(I106=$N$3,D106=$N$4),3.5,IF(AND(I106=$N$6,D106=$N$5),1.49,IF(AND(I106=$N$5,D106=$N$4),2.49,IF(AND(I106=$N$4,D106=$N$3),3.49,E106)))))))</f>
        <v>2</v>
      </c>
      <c r="K106" s="88" t="s">
        <v>91</v>
      </c>
      <c r="L106" s="378"/>
    </row>
    <row r="107" spans="1:17" ht="19.5" customHeight="1" x14ac:dyDescent="0.25">
      <c r="A107" s="394" t="s">
        <v>163</v>
      </c>
      <c r="B107" s="213"/>
      <c r="C107" s="213"/>
      <c r="D107" s="213"/>
      <c r="E107" s="213"/>
      <c r="F107" s="213"/>
      <c r="G107" s="213"/>
      <c r="H107" s="213"/>
      <c r="I107" s="213"/>
      <c r="J107" s="213"/>
      <c r="K107" s="214"/>
      <c r="L107" s="378"/>
    </row>
    <row r="108" spans="1:17" ht="177.5" customHeight="1" x14ac:dyDescent="0.25">
      <c r="A108" s="514" t="s">
        <v>182</v>
      </c>
      <c r="B108" s="515"/>
      <c r="C108" s="230" t="s">
        <v>242</v>
      </c>
      <c r="D108" s="167" t="s">
        <v>42</v>
      </c>
      <c r="E108" s="212">
        <f>IF(D108=$N$6,1,IF(D108=$N$5,2,IF(D108=$N$4,3,IF(D108=$N$3,4,"n/a"))))</f>
        <v>2</v>
      </c>
      <c r="F108" s="482" t="s">
        <v>300</v>
      </c>
      <c r="G108" s="482"/>
      <c r="H108" s="482"/>
      <c r="I108" s="482"/>
      <c r="J108" s="482"/>
      <c r="K108" s="482"/>
      <c r="L108" s="378"/>
    </row>
    <row r="109" spans="1:17" ht="92.5" customHeight="1" thickBot="1" x14ac:dyDescent="0.3">
      <c r="A109" s="526" t="s">
        <v>183</v>
      </c>
      <c r="B109" s="527"/>
      <c r="C109" s="233" t="s">
        <v>231</v>
      </c>
      <c r="D109" s="166" t="s">
        <v>42</v>
      </c>
      <c r="E109" s="174">
        <f>IF(D109=$N$6,1,IF(D109=$N$5,2,IF(D109=$N$4,3,IF(D109=$N$3,4,"n/a"))))</f>
        <v>2</v>
      </c>
      <c r="F109" s="510" t="s">
        <v>301</v>
      </c>
      <c r="G109" s="511"/>
      <c r="H109" s="511"/>
      <c r="I109" s="511"/>
      <c r="J109" s="511"/>
      <c r="K109" s="509"/>
      <c r="L109" s="378"/>
    </row>
    <row r="110" spans="1:17" ht="27" customHeight="1" thickBot="1" x14ac:dyDescent="0.3">
      <c r="A110" s="522"/>
      <c r="B110" s="523"/>
      <c r="C110" s="39" t="s">
        <v>24</v>
      </c>
      <c r="D110" s="27" t="str">
        <f>IF(E110&lt;1.5,"Low",IF(E110&lt;2.5,"Moderate",IF(E110&lt;3.5,"Substantial",IF(E110&lt;4.5,"High","n/a"))))</f>
        <v>Moderate</v>
      </c>
      <c r="E110" s="144">
        <f>IF(COUNT(E108:E109)=0,"n/a",AVERAGE(E108:E109))</f>
        <v>2</v>
      </c>
      <c r="F110" s="28">
        <f>E110</f>
        <v>2</v>
      </c>
      <c r="G110" s="215"/>
      <c r="H110" s="29" t="s">
        <v>23</v>
      </c>
      <c r="I110" s="26" t="str">
        <f>D110</f>
        <v>Moderate</v>
      </c>
      <c r="J110" s="30">
        <f>IF(I110=$N$7,"n/a",IF(AND(I110=$N$5,D110=$N$6),1.5,IF(AND(I110=$N$4,D110=$N$5),2.5,IF(AND(I110=$N$3,D110=$N$4),3.5,IF(AND(I110=$N$6,D110=$N$5),1.49,IF(AND(I110=$N$5,D110=$N$4),2.49,IF(AND(I110=$N$4,D110=$N$3),3.49,E110)))))))</f>
        <v>2</v>
      </c>
      <c r="K110" s="88" t="s">
        <v>91</v>
      </c>
      <c r="L110" s="378"/>
    </row>
    <row r="111" spans="1:17" ht="21" customHeight="1" x14ac:dyDescent="0.35">
      <c r="A111" s="394" t="s">
        <v>164</v>
      </c>
      <c r="B111" s="213"/>
      <c r="C111" s="213"/>
      <c r="D111" s="213"/>
      <c r="E111" s="213"/>
      <c r="F111" s="213"/>
      <c r="G111" s="213"/>
      <c r="H111" s="213"/>
      <c r="I111" s="213"/>
      <c r="J111" s="213"/>
      <c r="K111" s="214"/>
      <c r="L111" s="378"/>
      <c r="Q111" s="158"/>
    </row>
    <row r="112" spans="1:17" ht="165" customHeight="1" x14ac:dyDescent="0.25">
      <c r="A112" s="514" t="s">
        <v>184</v>
      </c>
      <c r="B112" s="515"/>
      <c r="C112" s="230" t="s">
        <v>241</v>
      </c>
      <c r="D112" s="224" t="s">
        <v>42</v>
      </c>
      <c r="E112" s="212">
        <f>IF(D112=$N$6,1,IF(D112=$N$5,2,IF(D112=$N$4,3,IF(D112=$N$3,4,"n/a"))))</f>
        <v>2</v>
      </c>
      <c r="F112" s="482" t="s">
        <v>302</v>
      </c>
      <c r="G112" s="482"/>
      <c r="H112" s="482"/>
      <c r="I112" s="482"/>
      <c r="J112" s="482"/>
      <c r="K112" s="482"/>
      <c r="L112" s="378"/>
    </row>
    <row r="113" spans="1:12" ht="122" customHeight="1" x14ac:dyDescent="0.25">
      <c r="A113" s="512" t="s">
        <v>185</v>
      </c>
      <c r="B113" s="513"/>
      <c r="C113" s="231" t="s">
        <v>230</v>
      </c>
      <c r="D113" s="194" t="s">
        <v>42</v>
      </c>
      <c r="E113" s="117">
        <f>IF(D113=$N$6,1,IF(D113=$N$5,2,IF(D113=$N$4,3,IF(D113=$N$3,4,"n/a"))))</f>
        <v>2</v>
      </c>
      <c r="F113" s="505" t="s">
        <v>303</v>
      </c>
      <c r="G113" s="499"/>
      <c r="H113" s="499"/>
      <c r="I113" s="499"/>
      <c r="J113" s="499"/>
      <c r="K113" s="506"/>
      <c r="L113" s="378"/>
    </row>
    <row r="114" spans="1:12" ht="125" customHeight="1" thickBot="1" x14ac:dyDescent="0.3">
      <c r="A114" s="524" t="s">
        <v>165</v>
      </c>
      <c r="B114" s="525"/>
      <c r="C114" s="232" t="s">
        <v>251</v>
      </c>
      <c r="D114" s="164" t="s">
        <v>79</v>
      </c>
      <c r="E114" s="174">
        <f>IF(D114=$N$6,1,IF(D114=$N$5,2,IF(D114=$N$4,3,IF(D114=$N$3,4,"n/a"))))</f>
        <v>1</v>
      </c>
      <c r="F114" s="507" t="s">
        <v>303</v>
      </c>
      <c r="G114" s="508"/>
      <c r="H114" s="508"/>
      <c r="I114" s="508"/>
      <c r="J114" s="508"/>
      <c r="K114" s="509"/>
      <c r="L114" s="376" t="s">
        <v>96</v>
      </c>
    </row>
    <row r="115" spans="1:12" ht="26.25" customHeight="1" thickBot="1" x14ac:dyDescent="0.3">
      <c r="A115" s="587"/>
      <c r="B115" s="588"/>
      <c r="C115" s="39" t="s">
        <v>24</v>
      </c>
      <c r="D115" s="27" t="str">
        <f>IF(E115&lt;1.5,"Low",IF(E115&lt;2.5,"Moderate",IF(E115&lt;3.5,"Substantial",IF(E115&lt;4.5,"High","n/a"))))</f>
        <v>Moderate</v>
      </c>
      <c r="E115" s="144">
        <f>IF(COUNT(E112:E114)=0,"n/a",AVERAGE(E112:E114))</f>
        <v>1.6666666666666667</v>
      </c>
      <c r="F115" s="28">
        <f>E115</f>
        <v>1.6666666666666667</v>
      </c>
      <c r="G115" s="215"/>
      <c r="H115" s="29" t="s">
        <v>23</v>
      </c>
      <c r="I115" s="26" t="str">
        <f>D115</f>
        <v>Moderate</v>
      </c>
      <c r="J115" s="30">
        <f>IF(I115=$N$7,"n/a",IF(AND(I115=$N$5,D115=$N$6),1.5,IF(AND(I115=$N$4,D115=$N$5),2.5,IF(AND(I115=$N$3,D115=$N$4),3.5,IF(AND(I115=$N$6,D115=$N$5),1.49,IF(AND(I115=$N$5,D115=$N$4),2.49,IF(AND(I115=$N$4,D115=$N$3),3.49,E115)))))))</f>
        <v>1.6666666666666667</v>
      </c>
      <c r="K115" s="88" t="s">
        <v>91</v>
      </c>
      <c r="L115" s="378"/>
    </row>
    <row r="116" spans="1:12" ht="23.25" customHeight="1" x14ac:dyDescent="0.25">
      <c r="A116" s="394" t="s">
        <v>168</v>
      </c>
      <c r="B116" s="213"/>
      <c r="C116" s="213"/>
      <c r="D116" s="213"/>
      <c r="E116" s="213"/>
      <c r="F116" s="213"/>
      <c r="G116" s="213"/>
      <c r="H116" s="213"/>
      <c r="I116" s="213"/>
      <c r="J116" s="213"/>
      <c r="K116" s="214"/>
      <c r="L116" s="378"/>
    </row>
    <row r="117" spans="1:12" ht="33" customHeight="1" x14ac:dyDescent="0.25">
      <c r="A117" s="503" t="s">
        <v>221</v>
      </c>
      <c r="B117" s="504"/>
      <c r="C117" s="234"/>
      <c r="D117" s="167" t="s">
        <v>19</v>
      </c>
      <c r="E117" s="117" t="str">
        <f>IF(D117=$N$6,1,IF(D117=$N$5,2,IF(D117=$N$4,3,IF(D117=$N$3,4,"n/a"))))</f>
        <v>n/a</v>
      </c>
      <c r="F117" s="482"/>
      <c r="G117" s="482"/>
      <c r="H117" s="482"/>
      <c r="I117" s="482"/>
      <c r="J117" s="482"/>
      <c r="K117" s="482"/>
      <c r="L117" s="376"/>
    </row>
    <row r="118" spans="1:12" ht="33" customHeight="1" x14ac:dyDescent="0.25">
      <c r="A118" s="503" t="s">
        <v>220</v>
      </c>
      <c r="B118" s="504"/>
      <c r="C118" s="231"/>
      <c r="D118" s="194" t="s">
        <v>42</v>
      </c>
      <c r="E118" s="117">
        <f>IF(D118=$N$6,1,IF(D118=$N$5,2,IF(D118=$N$4,3,IF(D118=$N$3,4,"n/a"))))</f>
        <v>2</v>
      </c>
      <c r="F118" s="505" t="s">
        <v>304</v>
      </c>
      <c r="G118" s="499"/>
      <c r="H118" s="499"/>
      <c r="I118" s="499"/>
      <c r="J118" s="499"/>
      <c r="K118" s="506"/>
      <c r="L118" s="376"/>
    </row>
    <row r="119" spans="1:12" ht="34.5" customHeight="1" thickBot="1" x14ac:dyDescent="0.3">
      <c r="A119" s="589" t="s">
        <v>191</v>
      </c>
      <c r="B119" s="590"/>
      <c r="C119" s="234"/>
      <c r="D119" s="166" t="s">
        <v>19</v>
      </c>
      <c r="E119" s="174" t="str">
        <f>IF(D119=$N$6,1,IF(D119=$N$5,2,IF(D119=$N$4,3,IF(D119=$N$3,4,"n/a"))))</f>
        <v>n/a</v>
      </c>
      <c r="F119" s="507" t="s">
        <v>16</v>
      </c>
      <c r="G119" s="508"/>
      <c r="H119" s="508"/>
      <c r="I119" s="508"/>
      <c r="J119" s="508"/>
      <c r="K119" s="509"/>
      <c r="L119" s="376"/>
    </row>
    <row r="120" spans="1:12" ht="27" customHeight="1" thickBot="1" x14ac:dyDescent="0.3">
      <c r="A120" s="522"/>
      <c r="B120" s="523"/>
      <c r="C120" s="39" t="s">
        <v>24</v>
      </c>
      <c r="D120" s="27" t="str">
        <f>IF(E120&lt;1.5,"Low",IF(E120&lt;2.5,"Moderate",IF(E120&lt;3.5,"Substantial",IF(E120&lt;4.5,"High","n/a"))))</f>
        <v>Moderate</v>
      </c>
      <c r="E120" s="144">
        <f>IF(COUNT(E117:E119)=0,"n/a",AVERAGE(E117:E119))</f>
        <v>2</v>
      </c>
      <c r="F120" s="28">
        <f>E120</f>
        <v>2</v>
      </c>
      <c r="G120" s="215"/>
      <c r="H120" s="29" t="s">
        <v>23</v>
      </c>
      <c r="I120" s="26" t="str">
        <f>D120</f>
        <v>Moderate</v>
      </c>
      <c r="J120" s="30">
        <f>IF(I120=$N$7,"n/a",IF(AND(I120=$N$5,D120=$N$6),1.5,IF(AND(I120=$N$4,D120=$N$5),2.5,IF(AND(I120=$N$3,D120=$N$4),3.5,IF(AND(I120=$N$6,D120=$N$5),1.49,IF(AND(I120=$N$5,D120=$N$4),2.49,IF(AND(I120=$N$4,D120=$N$3),3.49,E120)))))))</f>
        <v>2</v>
      </c>
      <c r="K120" s="88" t="s">
        <v>91</v>
      </c>
      <c r="L120" s="378"/>
    </row>
  </sheetData>
  <sheetProtection password="CC15" sheet="1" objects="1" scenarios="1" formatRows="0"/>
  <mergeCells count="155">
    <mergeCell ref="F64:K64"/>
    <mergeCell ref="F65:K65"/>
    <mergeCell ref="A73:B73"/>
    <mergeCell ref="A30:B30"/>
    <mergeCell ref="A64:B64"/>
    <mergeCell ref="A66:B66"/>
    <mergeCell ref="A59:B59"/>
    <mergeCell ref="A65:B65"/>
    <mergeCell ref="A70:B70"/>
    <mergeCell ref="F42:K42"/>
    <mergeCell ref="A71:B71"/>
    <mergeCell ref="A61:B61"/>
    <mergeCell ref="A62:B62"/>
    <mergeCell ref="F70:K70"/>
    <mergeCell ref="A120:B120"/>
    <mergeCell ref="A108:B108"/>
    <mergeCell ref="F108:K108"/>
    <mergeCell ref="A80:B80"/>
    <mergeCell ref="F79:K79"/>
    <mergeCell ref="A115:B115"/>
    <mergeCell ref="A79:B79"/>
    <mergeCell ref="A119:B119"/>
    <mergeCell ref="F104:K104"/>
    <mergeCell ref="F105:K105"/>
    <mergeCell ref="A117:B117"/>
    <mergeCell ref="F117:K117"/>
    <mergeCell ref="A114:B114"/>
    <mergeCell ref="F87:K87"/>
    <mergeCell ref="A88:B88"/>
    <mergeCell ref="F88:K88"/>
    <mergeCell ref="A89:B89"/>
    <mergeCell ref="F89:K89"/>
    <mergeCell ref="A90:B90"/>
    <mergeCell ref="F90:K90"/>
    <mergeCell ref="A106:B106"/>
    <mergeCell ref="A91:B91"/>
    <mergeCell ref="A93:B93"/>
    <mergeCell ref="A83:B83"/>
    <mergeCell ref="F9:K9"/>
    <mergeCell ref="A13:B13"/>
    <mergeCell ref="A60:B60"/>
    <mergeCell ref="F52:K52"/>
    <mergeCell ref="A55:B55"/>
    <mergeCell ref="F55:K55"/>
    <mergeCell ref="A51:B51"/>
    <mergeCell ref="F51:K51"/>
    <mergeCell ref="A53:B53"/>
    <mergeCell ref="F53:K53"/>
    <mergeCell ref="F60:K60"/>
    <mergeCell ref="A26:B26"/>
    <mergeCell ref="A58:B58"/>
    <mergeCell ref="A16:B16"/>
    <mergeCell ref="A19:B19"/>
    <mergeCell ref="F19:K19"/>
    <mergeCell ref="F58:K58"/>
    <mergeCell ref="F45:K45"/>
    <mergeCell ref="A31:B31"/>
    <mergeCell ref="F54:K54"/>
    <mergeCell ref="F13:K13"/>
    <mergeCell ref="A56:B56"/>
    <mergeCell ref="A54:B54"/>
    <mergeCell ref="A52:B52"/>
    <mergeCell ref="F25:K25"/>
    <mergeCell ref="F20:K20"/>
    <mergeCell ref="A21:B21"/>
    <mergeCell ref="F31:K31"/>
    <mergeCell ref="F34:K34"/>
    <mergeCell ref="A41:B41"/>
    <mergeCell ref="A43:B43"/>
    <mergeCell ref="A42:B42"/>
    <mergeCell ref="F48:K48"/>
    <mergeCell ref="A48:B48"/>
    <mergeCell ref="A46:B46"/>
    <mergeCell ref="F46:K46"/>
    <mergeCell ref="F47:K47"/>
    <mergeCell ref="A28:B28"/>
    <mergeCell ref="F28:K28"/>
    <mergeCell ref="A29:B29"/>
    <mergeCell ref="F29:K29"/>
    <mergeCell ref="A37:B37"/>
    <mergeCell ref="F37:K37"/>
    <mergeCell ref="F41:K41"/>
    <mergeCell ref="A47:B47"/>
    <mergeCell ref="D1:E1"/>
    <mergeCell ref="A2:B2"/>
    <mergeCell ref="A24:B24"/>
    <mergeCell ref="F12:K12"/>
    <mergeCell ref="F2:K2"/>
    <mergeCell ref="A10:B10"/>
    <mergeCell ref="A14:B14"/>
    <mergeCell ref="F24:K24"/>
    <mergeCell ref="A36:B36"/>
    <mergeCell ref="F36:K36"/>
    <mergeCell ref="A35:B35"/>
    <mergeCell ref="F35:K35"/>
    <mergeCell ref="A5:B5"/>
    <mergeCell ref="F5:K5"/>
    <mergeCell ref="A12:B12"/>
    <mergeCell ref="A20:B20"/>
    <mergeCell ref="F16:K16"/>
    <mergeCell ref="F30:K30"/>
    <mergeCell ref="A25:B25"/>
    <mergeCell ref="A7:B7"/>
    <mergeCell ref="F7:K7"/>
    <mergeCell ref="A17:B17"/>
    <mergeCell ref="A6:B6"/>
    <mergeCell ref="F6:K6"/>
    <mergeCell ref="A8:B8"/>
    <mergeCell ref="F8:K8"/>
    <mergeCell ref="A9:B9"/>
    <mergeCell ref="F61:K61"/>
    <mergeCell ref="F112:K112"/>
    <mergeCell ref="A110:B110"/>
    <mergeCell ref="A103:B103"/>
    <mergeCell ref="F103:K103"/>
    <mergeCell ref="A104:B104"/>
    <mergeCell ref="A105:B105"/>
    <mergeCell ref="A109:B109"/>
    <mergeCell ref="F77:K77"/>
    <mergeCell ref="F83:K83"/>
    <mergeCell ref="F69:K69"/>
    <mergeCell ref="A69:B69"/>
    <mergeCell ref="F82:K82"/>
    <mergeCell ref="A82:B82"/>
    <mergeCell ref="A45:B45"/>
    <mergeCell ref="A49:B49"/>
    <mergeCell ref="F59:K59"/>
    <mergeCell ref="A87:B87"/>
    <mergeCell ref="A100:B100"/>
    <mergeCell ref="A34:B34"/>
    <mergeCell ref="F73:K73"/>
    <mergeCell ref="A118:B118"/>
    <mergeCell ref="F113:K113"/>
    <mergeCell ref="F118:K118"/>
    <mergeCell ref="F119:K119"/>
    <mergeCell ref="F114:K114"/>
    <mergeCell ref="F109:K109"/>
    <mergeCell ref="F99:K99"/>
    <mergeCell ref="F98:K98"/>
    <mergeCell ref="F94:K94"/>
    <mergeCell ref="A113:B113"/>
    <mergeCell ref="A112:B112"/>
    <mergeCell ref="F93:K93"/>
    <mergeCell ref="A94:B94"/>
    <mergeCell ref="A95:B95"/>
    <mergeCell ref="A97:B97"/>
    <mergeCell ref="F97:K97"/>
    <mergeCell ref="A98:B98"/>
    <mergeCell ref="A99:B99"/>
    <mergeCell ref="A74:B74"/>
    <mergeCell ref="F74:K74"/>
    <mergeCell ref="A78:B78"/>
    <mergeCell ref="F78:K78"/>
    <mergeCell ref="A77:B77"/>
    <mergeCell ref="A75:B75"/>
  </mergeCells>
  <phoneticPr fontId="1" type="noConversion"/>
  <conditionalFormatting sqref="A91">
    <cfRule type="cellIs" dxfId="55" priority="17" operator="equal">
      <formula>$N$6</formula>
    </cfRule>
    <cfRule type="cellIs" dxfId="54" priority="18" operator="equal">
      <formula>$N$5</formula>
    </cfRule>
    <cfRule type="cellIs" dxfId="53" priority="19" operator="equal">
      <formula>$N$4</formula>
    </cfRule>
    <cfRule type="cellIs" dxfId="52" priority="20" operator="equal">
      <formula>$N$3</formula>
    </cfRule>
  </conditionalFormatting>
  <conditionalFormatting sqref="A2:H2">
    <cfRule type="cellIs" dxfId="51" priority="911" operator="equal">
      <formula>"Low"</formula>
    </cfRule>
    <cfRule type="cellIs" dxfId="50" priority="910" operator="equal">
      <formula>"Moderate"</formula>
    </cfRule>
    <cfRule type="cellIs" dxfId="49" priority="909" operator="equal">
      <formula>"Substantial"</formula>
    </cfRule>
    <cfRule type="cellIs" dxfId="48" priority="908" operator="equal">
      <formula>"High"</formula>
    </cfRule>
  </conditionalFormatting>
  <conditionalFormatting sqref="A118:J119">
    <cfRule type="cellIs" dxfId="47" priority="9" operator="equal">
      <formula>$N$6</formula>
    </cfRule>
    <cfRule type="cellIs" dxfId="46" priority="10" operator="equal">
      <formula>$N$5</formula>
    </cfRule>
    <cfRule type="cellIs" dxfId="45" priority="11" operator="equal">
      <formula>$N$4</formula>
    </cfRule>
    <cfRule type="cellIs" dxfId="44" priority="12" operator="equal">
      <formula>$N$3</formula>
    </cfRule>
  </conditionalFormatting>
  <conditionalFormatting sqref="A3:K25 A26 C26:K26 A73:J74 A75:K90 A92:K93 A94:J94 A100:K105 A106 C106:K106 A107:K108 A109:J109 A110:K112 A113:J114 A115:K117 A120:K120">
    <cfRule type="cellIs" dxfId="43" priority="36" operator="equal">
      <formula>$N$3</formula>
    </cfRule>
    <cfRule type="cellIs" dxfId="42" priority="35" operator="equal">
      <formula>$N$4</formula>
    </cfRule>
    <cfRule type="cellIs" dxfId="41" priority="34" operator="equal">
      <formula>$N$5</formula>
    </cfRule>
    <cfRule type="cellIs" dxfId="40" priority="33" operator="equal">
      <formula>$N$6</formula>
    </cfRule>
  </conditionalFormatting>
  <conditionalFormatting sqref="A27:K72">
    <cfRule type="cellIs" dxfId="39" priority="21" operator="equal">
      <formula>$N$6</formula>
    </cfRule>
    <cfRule type="cellIs" dxfId="38" priority="22" operator="equal">
      <formula>$N$5</formula>
    </cfRule>
    <cfRule type="cellIs" dxfId="37" priority="23" operator="equal">
      <formula>$N$4</formula>
    </cfRule>
    <cfRule type="cellIs" dxfId="36" priority="24" operator="equal">
      <formula>$N$3</formula>
    </cfRule>
  </conditionalFormatting>
  <conditionalFormatting sqref="A95:K97 A98:J99">
    <cfRule type="cellIs" dxfId="35" priority="16" operator="equal">
      <formula>$N$3</formula>
    </cfRule>
    <cfRule type="cellIs" dxfId="34" priority="15" operator="equal">
      <formula>$N$4</formula>
    </cfRule>
    <cfRule type="cellIs" dxfId="33" priority="14" operator="equal">
      <formula>$N$5</formula>
    </cfRule>
    <cfRule type="cellIs" dxfId="32" priority="13" operator="equal">
      <formula>$N$6</formula>
    </cfRule>
  </conditionalFormatting>
  <conditionalFormatting sqref="C1">
    <cfRule type="cellIs" dxfId="31" priority="615" operator="equal">
      <formula>"High"</formula>
    </cfRule>
    <cfRule type="cellIs" dxfId="30" priority="616" operator="equal">
      <formula>"Substantial"</formula>
    </cfRule>
    <cfRule type="cellIs" dxfId="29" priority="617" operator="equal">
      <formula>"Moderate"</formula>
    </cfRule>
    <cfRule type="cellIs" dxfId="28" priority="618" operator="equal">
      <formula>"Low"</formula>
    </cfRule>
  </conditionalFormatting>
  <conditionalFormatting sqref="C91:K91">
    <cfRule type="cellIs" dxfId="27" priority="4" operator="equal">
      <formula>$N$3</formula>
    </cfRule>
    <cfRule type="cellIs" dxfId="26" priority="3" operator="equal">
      <formula>$N$4</formula>
    </cfRule>
    <cfRule type="cellIs" dxfId="25" priority="2" operator="equal">
      <formula>$N$5</formula>
    </cfRule>
    <cfRule type="cellIs" dxfId="24" priority="1" operator="equal">
      <formula>$N$6</formula>
    </cfRule>
  </conditionalFormatting>
  <conditionalFormatting sqref="F1">
    <cfRule type="cellIs" dxfId="23" priority="611" operator="equal">
      <formula>"High"</formula>
    </cfRule>
    <cfRule type="cellIs" dxfId="22" priority="612" operator="equal">
      <formula>"Substantial"</formula>
    </cfRule>
    <cfRule type="cellIs" dxfId="21" priority="613" operator="equal">
      <formula>"Moderate"</formula>
    </cfRule>
    <cfRule type="cellIs" dxfId="20" priority="614" operator="equal">
      <formula>"Low"</formula>
    </cfRule>
  </conditionalFormatting>
  <dataValidations count="1">
    <dataValidation type="list" allowBlank="1" showInputMessage="1" showErrorMessage="1" sqref="I17 I56 I49 I43 I21 I80 I14 I120 I66 D117:D119 I32 I115 I62 I38:I39 I106 I71 I75 I10 D97:D99 D5:D9 D16 D24:D25 D69:D70 D82:D83 D28:D31 D41:D42 I110 D58:D61 D51:D55 D12:D13 D103:D105 D108:D109 D112:D114 D34:D37 D73:D74 D19:D20 D77:D79 D45:D48 I84 D64:D65 I91 D87:D90 I100 I95 D93:D94 I26" xr:uid="{00000000-0002-0000-0200-000000000000}">
      <formula1>$N$3:$N$7</formula1>
    </dataValidation>
  </dataValidations>
  <pageMargins left="0.7" right="0.7" top="0.75" bottom="0.75" header="0.3" footer="0.3"/>
  <pageSetup paperSize="8" scale="89" fitToHeight="0" orientation="landscape" r:id="rId1"/>
  <headerFooter alignWithMargins="0"/>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F55"/>
  <sheetViews>
    <sheetView zoomScaleNormal="100" zoomScaleSheetLayoutView="115" workbookViewId="0">
      <selection activeCell="B10" sqref="B10"/>
    </sheetView>
  </sheetViews>
  <sheetFormatPr defaultColWidth="8.81640625" defaultRowHeight="12.5" x14ac:dyDescent="0.25"/>
  <cols>
    <col min="1" max="1" width="12.81640625" customWidth="1"/>
    <col min="2" max="2" width="126" customWidth="1"/>
    <col min="4" max="6" width="17.81640625" customWidth="1"/>
  </cols>
  <sheetData>
    <row r="1" spans="1:2" ht="24" customHeight="1" thickBot="1" x14ac:dyDescent="0.3">
      <c r="A1" s="607" t="s">
        <v>122</v>
      </c>
      <c r="B1" s="608"/>
    </row>
    <row r="2" spans="1:2" s="151" customFormat="1" ht="23.25" customHeight="1" x14ac:dyDescent="0.25">
      <c r="A2" s="609" t="s">
        <v>207</v>
      </c>
      <c r="B2" s="610"/>
    </row>
    <row r="3" spans="1:2" ht="40.5" customHeight="1" x14ac:dyDescent="0.25">
      <c r="A3" s="386" t="s">
        <v>196</v>
      </c>
      <c r="B3" s="391" t="s">
        <v>192</v>
      </c>
    </row>
    <row r="4" spans="1:2" ht="36" customHeight="1" x14ac:dyDescent="0.25">
      <c r="A4" s="408" t="s">
        <v>197</v>
      </c>
      <c r="B4" s="93" t="s">
        <v>194</v>
      </c>
    </row>
    <row r="5" spans="1:2" ht="36" customHeight="1" thickBot="1" x14ac:dyDescent="0.3">
      <c r="A5" s="386" t="s">
        <v>211</v>
      </c>
      <c r="B5" s="389" t="s">
        <v>212</v>
      </c>
    </row>
    <row r="6" spans="1:2" ht="23.25" customHeight="1" x14ac:dyDescent="0.25">
      <c r="A6" s="611" t="s">
        <v>193</v>
      </c>
      <c r="B6" s="612"/>
    </row>
    <row r="7" spans="1:2" ht="21.75" customHeight="1" x14ac:dyDescent="0.25">
      <c r="A7" s="385" t="s">
        <v>134</v>
      </c>
      <c r="B7" s="252"/>
    </row>
    <row r="8" spans="1:2" ht="37.5" customHeight="1" x14ac:dyDescent="0.25">
      <c r="A8" s="92">
        <v>1</v>
      </c>
      <c r="B8" s="391" t="s">
        <v>195</v>
      </c>
    </row>
    <row r="9" spans="1:2" ht="22.5" customHeight="1" x14ac:dyDescent="0.3">
      <c r="A9" s="385" t="s">
        <v>132</v>
      </c>
      <c r="B9" s="251"/>
    </row>
    <row r="10" spans="1:2" ht="130.5" customHeight="1" x14ac:dyDescent="0.25">
      <c r="A10" s="390">
        <f>+A8+1</f>
        <v>2</v>
      </c>
      <c r="B10" s="93" t="s">
        <v>208</v>
      </c>
    </row>
    <row r="11" spans="1:2" ht="27" customHeight="1" x14ac:dyDescent="0.25">
      <c r="A11" s="390">
        <f>+A10+1</f>
        <v>3</v>
      </c>
      <c r="B11" s="93" t="s">
        <v>198</v>
      </c>
    </row>
    <row r="12" spans="1:2" ht="23.25" customHeight="1" x14ac:dyDescent="0.25">
      <c r="A12" s="390">
        <f t="shared" ref="A12:A13" si="0">+A11+1</f>
        <v>4</v>
      </c>
      <c r="B12" s="93" t="s">
        <v>205</v>
      </c>
    </row>
    <row r="13" spans="1:2" ht="114" customHeight="1" x14ac:dyDescent="0.25">
      <c r="A13" s="390">
        <f t="shared" si="0"/>
        <v>5</v>
      </c>
      <c r="B13" s="93" t="s">
        <v>206</v>
      </c>
    </row>
    <row r="14" spans="1:2" ht="22.5" customHeight="1" x14ac:dyDescent="0.25">
      <c r="A14" s="385" t="s">
        <v>133</v>
      </c>
      <c r="B14" s="252"/>
    </row>
    <row r="15" spans="1:2" ht="54.75" customHeight="1" x14ac:dyDescent="0.25">
      <c r="A15" s="390">
        <f>+A13+1</f>
        <v>6</v>
      </c>
      <c r="B15" s="93" t="s">
        <v>199</v>
      </c>
    </row>
    <row r="16" spans="1:2" ht="23.25" customHeight="1" x14ac:dyDescent="0.25">
      <c r="A16" s="390">
        <f t="shared" ref="A16:A18" si="1">+A15+1</f>
        <v>7</v>
      </c>
      <c r="B16" s="93" t="s">
        <v>200</v>
      </c>
    </row>
    <row r="17" spans="1:2" ht="24.75" customHeight="1" x14ac:dyDescent="0.25">
      <c r="A17" s="390">
        <f t="shared" si="1"/>
        <v>8</v>
      </c>
      <c r="B17" s="93" t="s">
        <v>201</v>
      </c>
    </row>
    <row r="18" spans="1:2" ht="24.75" customHeight="1" x14ac:dyDescent="0.25">
      <c r="A18" s="390">
        <f t="shared" si="1"/>
        <v>9</v>
      </c>
      <c r="B18" s="93" t="s">
        <v>202</v>
      </c>
    </row>
    <row r="19" spans="1:2" ht="21.75" customHeight="1" x14ac:dyDescent="0.25">
      <c r="A19" s="385" t="s">
        <v>134</v>
      </c>
      <c r="B19" s="252"/>
    </row>
    <row r="20" spans="1:2" ht="40.5" customHeight="1" thickBot="1" x14ac:dyDescent="0.3">
      <c r="A20" s="92">
        <f>+A18+1</f>
        <v>10</v>
      </c>
      <c r="B20" s="389" t="s">
        <v>203</v>
      </c>
    </row>
    <row r="21" spans="1:2" ht="52.5" customHeight="1" thickBot="1" x14ac:dyDescent="0.3">
      <c r="A21" s="388" t="s">
        <v>123</v>
      </c>
      <c r="B21" s="253" t="s">
        <v>204</v>
      </c>
    </row>
    <row r="24" spans="1:2" ht="17.25" customHeight="1" x14ac:dyDescent="0.25">
      <c r="A24" s="387" t="s">
        <v>93</v>
      </c>
      <c r="B24" s="387" t="s">
        <v>92</v>
      </c>
    </row>
    <row r="25" spans="1:2" x14ac:dyDescent="0.25">
      <c r="A25" s="94" t="s">
        <v>94</v>
      </c>
      <c r="B25" s="94" t="s">
        <v>72</v>
      </c>
    </row>
    <row r="26" spans="1:2" x14ac:dyDescent="0.25">
      <c r="A26" s="94" t="s">
        <v>95</v>
      </c>
      <c r="B26" s="94" t="s">
        <v>72</v>
      </c>
    </row>
    <row r="27" spans="1:2" x14ac:dyDescent="0.25">
      <c r="A27" s="94" t="s">
        <v>97</v>
      </c>
      <c r="B27" s="95" t="s">
        <v>98</v>
      </c>
    </row>
    <row r="28" spans="1:2" ht="34.5" x14ac:dyDescent="0.25">
      <c r="A28" s="96">
        <v>2.1</v>
      </c>
      <c r="B28" s="97" t="s">
        <v>63</v>
      </c>
    </row>
    <row r="29" spans="1:2" x14ac:dyDescent="0.25">
      <c r="A29" s="98" t="s">
        <v>99</v>
      </c>
      <c r="B29" s="98" t="s">
        <v>64</v>
      </c>
    </row>
    <row r="30" spans="1:2" x14ac:dyDescent="0.25">
      <c r="A30" s="98" t="s">
        <v>100</v>
      </c>
      <c r="B30" s="98" t="s">
        <v>47</v>
      </c>
    </row>
    <row r="31" spans="1:2" ht="23" x14ac:dyDescent="0.25">
      <c r="A31" s="99" t="s">
        <v>101</v>
      </c>
      <c r="B31" s="98" t="s">
        <v>66</v>
      </c>
    </row>
    <row r="32" spans="1:2" x14ac:dyDescent="0.25">
      <c r="A32" s="100" t="s">
        <v>102</v>
      </c>
      <c r="B32" s="100" t="s">
        <v>32</v>
      </c>
    </row>
    <row r="33" spans="1:2" ht="23" x14ac:dyDescent="0.25">
      <c r="A33" s="101">
        <v>4</v>
      </c>
      <c r="B33" s="101" t="s">
        <v>103</v>
      </c>
    </row>
    <row r="34" spans="1:2" x14ac:dyDescent="0.25">
      <c r="A34" s="87" t="s">
        <v>104</v>
      </c>
      <c r="B34" s="87" t="s">
        <v>190</v>
      </c>
    </row>
    <row r="35" spans="1:2" x14ac:dyDescent="0.25">
      <c r="A35" s="87" t="s">
        <v>105</v>
      </c>
      <c r="B35" s="87" t="s">
        <v>116</v>
      </c>
    </row>
    <row r="36" spans="1:2" x14ac:dyDescent="0.25">
      <c r="A36" s="87" t="s">
        <v>106</v>
      </c>
      <c r="B36" s="87" t="s">
        <v>115</v>
      </c>
    </row>
    <row r="37" spans="1:2" ht="34.5" x14ac:dyDescent="0.25">
      <c r="A37" s="87" t="s">
        <v>107</v>
      </c>
      <c r="B37" s="87" t="s">
        <v>108</v>
      </c>
    </row>
    <row r="38" spans="1:2" ht="23" x14ac:dyDescent="0.25">
      <c r="A38" s="87" t="s">
        <v>109</v>
      </c>
      <c r="B38" s="87" t="s">
        <v>76</v>
      </c>
    </row>
    <row r="39" spans="1:2" x14ac:dyDescent="0.25">
      <c r="A39" s="87" t="s">
        <v>110</v>
      </c>
      <c r="B39" s="87" t="s">
        <v>117</v>
      </c>
    </row>
    <row r="40" spans="1:2" x14ac:dyDescent="0.25">
      <c r="A40" s="307" t="s">
        <v>111</v>
      </c>
      <c r="B40" s="307" t="s">
        <v>156</v>
      </c>
    </row>
    <row r="41" spans="1:2" x14ac:dyDescent="0.25">
      <c r="A41" s="308" t="s">
        <v>175</v>
      </c>
      <c r="B41" s="308" t="s">
        <v>178</v>
      </c>
    </row>
    <row r="42" spans="1:2" x14ac:dyDescent="0.25">
      <c r="A42" s="308" t="s">
        <v>161</v>
      </c>
      <c r="B42" s="308" t="s">
        <v>120</v>
      </c>
    </row>
    <row r="43" spans="1:2" x14ac:dyDescent="0.25">
      <c r="A43" s="308" t="s">
        <v>114</v>
      </c>
      <c r="B43" s="308" t="s">
        <v>121</v>
      </c>
    </row>
    <row r="44" spans="1:2" x14ac:dyDescent="0.25">
      <c r="A44" s="102" t="s">
        <v>169</v>
      </c>
      <c r="B44" s="102" t="s">
        <v>112</v>
      </c>
    </row>
    <row r="45" spans="1:2" x14ac:dyDescent="0.25">
      <c r="A45" s="102" t="s">
        <v>170</v>
      </c>
      <c r="B45" s="103" t="s">
        <v>113</v>
      </c>
    </row>
    <row r="46" spans="1:2" x14ac:dyDescent="0.25">
      <c r="A46" s="103" t="s">
        <v>171</v>
      </c>
      <c r="B46" s="103" t="s">
        <v>118</v>
      </c>
    </row>
    <row r="47" spans="1:2" x14ac:dyDescent="0.25">
      <c r="A47" s="103" t="s">
        <v>172</v>
      </c>
      <c r="B47" s="103" t="s">
        <v>119</v>
      </c>
    </row>
    <row r="48" spans="1:2" ht="13" thickBot="1" x14ac:dyDescent="0.3">
      <c r="A48" s="310"/>
      <c r="B48" s="310"/>
    </row>
    <row r="49" spans="1:6" ht="27.75" customHeight="1" thickBot="1" x14ac:dyDescent="0.35">
      <c r="A49" s="249"/>
      <c r="B49" s="250"/>
      <c r="D49" s="254"/>
      <c r="E49" s="260" t="s">
        <v>125</v>
      </c>
      <c r="F49" s="255" t="s">
        <v>127</v>
      </c>
    </row>
    <row r="50" spans="1:6" ht="45" customHeight="1" thickBot="1" x14ac:dyDescent="0.3">
      <c r="A50" s="249"/>
      <c r="B50" s="250" t="s">
        <v>135</v>
      </c>
      <c r="C50" s="14"/>
      <c r="D50" s="265" t="s">
        <v>126</v>
      </c>
      <c r="E50" s="261" t="s">
        <v>128</v>
      </c>
      <c r="F50" s="259" t="s">
        <v>129</v>
      </c>
    </row>
    <row r="51" spans="1:6" ht="21.75" customHeight="1" x14ac:dyDescent="0.25">
      <c r="A51" s="249"/>
      <c r="B51" s="250"/>
      <c r="C51" s="14"/>
      <c r="D51" s="266" t="s">
        <v>4</v>
      </c>
      <c r="E51" s="262">
        <v>4</v>
      </c>
      <c r="F51" s="258" t="s">
        <v>136</v>
      </c>
    </row>
    <row r="52" spans="1:6" ht="21.75" customHeight="1" x14ac:dyDescent="0.25">
      <c r="A52" s="249"/>
      <c r="B52" s="250"/>
      <c r="C52" s="14"/>
      <c r="D52" s="267" t="s">
        <v>5</v>
      </c>
      <c r="E52" s="263">
        <v>3</v>
      </c>
      <c r="F52" s="256" t="s">
        <v>137</v>
      </c>
    </row>
    <row r="53" spans="1:6" ht="21.75" customHeight="1" x14ac:dyDescent="0.25">
      <c r="A53" s="249"/>
      <c r="B53" s="250"/>
      <c r="C53" s="14"/>
      <c r="D53" s="268" t="s">
        <v>42</v>
      </c>
      <c r="E53" s="263">
        <v>2</v>
      </c>
      <c r="F53" s="256" t="s">
        <v>138</v>
      </c>
    </row>
    <row r="54" spans="1:6" ht="21.75" customHeight="1" x14ac:dyDescent="0.25">
      <c r="A54" s="249"/>
      <c r="B54" s="250"/>
      <c r="C54" s="14"/>
      <c r="D54" s="269" t="s">
        <v>79</v>
      </c>
      <c r="E54" s="263">
        <v>1</v>
      </c>
      <c r="F54" s="256" t="s">
        <v>131</v>
      </c>
    </row>
    <row r="55" spans="1:6" ht="21.75" customHeight="1" thickBot="1" x14ac:dyDescent="0.3">
      <c r="A55" s="249"/>
      <c r="B55" s="250"/>
      <c r="C55" s="14"/>
      <c r="D55" s="270" t="s">
        <v>19</v>
      </c>
      <c r="E55" s="264" t="s">
        <v>130</v>
      </c>
      <c r="F55" s="257" t="s">
        <v>130</v>
      </c>
    </row>
  </sheetData>
  <sheetProtection password="CC15" sheet="1" objects="1" scenarios="1" formatRows="0"/>
  <mergeCells count="3">
    <mergeCell ref="A1:B1"/>
    <mergeCell ref="A2:B2"/>
    <mergeCell ref="A6:B6"/>
  </mergeCells>
  <phoneticPr fontId="1" type="noConversion"/>
  <conditionalFormatting sqref="A27:A28">
    <cfRule type="cellIs" dxfId="19" priority="61" operator="equal">
      <formula>$N$6</formula>
    </cfRule>
    <cfRule type="cellIs" dxfId="18" priority="62" operator="equal">
      <formula>#REF!</formula>
    </cfRule>
    <cfRule type="cellIs" dxfId="17" priority="63" operator="equal">
      <formula>$N$4</formula>
    </cfRule>
    <cfRule type="cellIs" dxfId="16" priority="64" operator="equal">
      <formula>$N$3</formula>
    </cfRule>
  </conditionalFormatting>
  <conditionalFormatting sqref="A45">
    <cfRule type="cellIs" dxfId="15" priority="13" operator="equal">
      <formula>$N$6</formula>
    </cfRule>
    <cfRule type="cellIs" dxfId="14" priority="14" operator="equal">
      <formula>#REF!</formula>
    </cfRule>
    <cfRule type="cellIs" dxfId="13" priority="15" operator="equal">
      <formula>$N$4</formula>
    </cfRule>
    <cfRule type="cellIs" dxfId="12" priority="16" operator="equal">
      <formula>$N$3</formula>
    </cfRule>
  </conditionalFormatting>
  <conditionalFormatting sqref="A25:B26">
    <cfRule type="cellIs" dxfId="11" priority="69" operator="equal">
      <formula>$N$6</formula>
    </cfRule>
    <cfRule type="cellIs" dxfId="10" priority="70" operator="equal">
      <formula>#REF!</formula>
    </cfRule>
    <cfRule type="cellIs" dxfId="9" priority="71" operator="equal">
      <formula>$N$4</formula>
    </cfRule>
    <cfRule type="cellIs" dxfId="8" priority="72" operator="equal">
      <formula>$N$3</formula>
    </cfRule>
  </conditionalFormatting>
  <conditionalFormatting sqref="A32:B40">
    <cfRule type="cellIs" dxfId="7" priority="1" operator="equal">
      <formula>$N$6</formula>
    </cfRule>
    <cfRule type="cellIs" dxfId="6" priority="2" operator="equal">
      <formula>#REF!</formula>
    </cfRule>
    <cfRule type="cellIs" dxfId="5" priority="3" operator="equal">
      <formula>$N$4</formula>
    </cfRule>
    <cfRule type="cellIs" dxfId="4" priority="4" operator="equal">
      <formula>$N$3</formula>
    </cfRule>
  </conditionalFormatting>
  <conditionalFormatting sqref="A44:B44">
    <cfRule type="cellIs" dxfId="3" priority="17" operator="equal">
      <formula>$N$6</formula>
    </cfRule>
    <cfRule type="cellIs" dxfId="2" priority="18" operator="equal">
      <formula>#REF!</formula>
    </cfRule>
    <cfRule type="cellIs" dxfId="1" priority="19" operator="equal">
      <formula>$N$4</formula>
    </cfRule>
    <cfRule type="cellIs" dxfId="0" priority="20" operator="equal">
      <formula>$N$3</formula>
    </cfRule>
  </conditionalFormatting>
  <pageMargins left="0.75" right="0.75" top="1" bottom="1" header="0.5" footer="0.5"/>
  <pageSetup paperSize="9" scale="95" orientation="landscape" r:id="rId1"/>
  <headerFooter alignWithMargins="0"/>
  <rowBreaks count="1" manualBreakCount="1">
    <brk id="24" max="16383" man="1"/>
  </rowBreaks>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PublishingExpirationDate xmlns="http://schemas.microsoft.com/sharepoint/v3" xsi:nil="true"/>
    <PublishingStartDate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CA2A9247B253747B25D6529A116ACA7" ma:contentTypeVersion="1" ma:contentTypeDescription="Create a new document." ma:contentTypeScope="" ma:versionID="ce64260c4de65b389c95145d8ac6abee">
  <xsd:schema xmlns:xsd="http://www.w3.org/2001/XMLSchema" xmlns:xs="http://www.w3.org/2001/XMLSchema" xmlns:p="http://schemas.microsoft.com/office/2006/metadata/properties" xmlns:ns1="http://schemas.microsoft.com/sharepoint/v3" targetNamespace="http://schemas.microsoft.com/office/2006/metadata/properties" ma:root="true" ma:fieldsID="a447206dab0015f8b9f8924535193e8c"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 ma:hidden="true" ma:internalName="PublishingStartDate">
      <xsd:simpleType>
        <xsd:restriction base="dms:Unknown"/>
      </xsd:simpleType>
    </xsd:element>
    <xsd:element name="PublishingExpirationDate" ma:index="9" nillable="true" ma:displayName="Scheduling End Date" ma:description="" ma:hidden="tru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D789124-D42E-41EA-9C34-CFE157928930}">
  <ds:schemaRefs>
    <ds:schemaRef ds:uri="http://purl.org/dc/elements/1.1/"/>
    <ds:schemaRef ds:uri="http://purl.org/dc/terms/"/>
    <ds:schemaRef ds:uri="http://purl.org/dc/dcmitype/"/>
    <ds:schemaRef ds:uri="http://www.w3.org/XML/1998/namespace"/>
    <ds:schemaRef ds:uri="http://schemas.microsoft.com/office/2006/documentManagement/types"/>
    <ds:schemaRef ds:uri="http://schemas.openxmlformats.org/package/2006/metadata/core-properties"/>
    <ds:schemaRef ds:uri="http://schemas.microsoft.com/office/infopath/2007/PartnerControls"/>
    <ds:schemaRef ds:uri="http://schemas.microsoft.com/sharepoint/v3"/>
    <ds:schemaRef ds:uri="http://schemas.microsoft.com/office/2006/metadata/properties"/>
  </ds:schemaRefs>
</ds:datastoreItem>
</file>

<file path=customXml/itemProps2.xml><?xml version="1.0" encoding="utf-8"?>
<ds:datastoreItem xmlns:ds="http://schemas.openxmlformats.org/officeDocument/2006/customXml" ds:itemID="{F05C8FF2-37EA-4042-A6CB-7136DC3E3313}">
  <ds:schemaRefs>
    <ds:schemaRef ds:uri="http://schemas.microsoft.com/sharepoint/v3/contenttype/forms"/>
  </ds:schemaRefs>
</ds:datastoreItem>
</file>

<file path=customXml/itemProps3.xml><?xml version="1.0" encoding="utf-8"?>
<ds:datastoreItem xmlns:ds="http://schemas.openxmlformats.org/officeDocument/2006/customXml" ds:itemID="{3990A9CF-0A02-4A06-8094-BA9C836988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Profile</vt:lpstr>
      <vt:lpstr>Register</vt:lpstr>
      <vt:lpstr>Questionnaire</vt:lpstr>
      <vt:lpstr>Guidance</vt:lpstr>
      <vt:lpstr>Profile!Print_Area</vt:lpstr>
      <vt:lpstr>Questionnaire!Print_Area</vt:lpstr>
      <vt:lpstr>Register!Print_Area</vt:lpstr>
      <vt:lpstr>Questionnaire!Print_Titles</vt:lpstr>
      <vt:lpstr>Register!Print_Titles</vt:lpstr>
    </vt:vector>
  </TitlesOfParts>
  <Company>European Commission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PF</dc:creator>
  <cp:lastModifiedBy>Heval Yildirim</cp:lastModifiedBy>
  <cp:lastPrinted>2024-09-12T14:43:33Z</cp:lastPrinted>
  <dcterms:created xsi:type="dcterms:W3CDTF">2012-01-04T16:00:22Z</dcterms:created>
  <dcterms:modified xsi:type="dcterms:W3CDTF">2026-07-23T13:00:46Z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0x0101005CA2A9247B253747B25D6529A116ACA7</vt:lpwstr>
  </property>
</Properties>
</file>