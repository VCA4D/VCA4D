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91.xml" ContentType="application/vnd.openxmlformats-officedocument.spreadsheetml.revisionLo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84.xml" ContentType="application/vnd.openxmlformats-officedocument.spreadsheetml.revisionLog+xml"/>
  <Override PartName="/xl/revisions/revisionLog89.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5.xml" ContentType="application/vnd.openxmlformats-officedocument.spreadsheetml.revisionLog+xml"/>
  <Override PartName="/xl/revisions/revisionLog90.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77.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autoCompressPictures="0" defaultThemeVersion="124226"/>
  <mc:AlternateContent xmlns:mc="http://schemas.openxmlformats.org/markup-compatibility/2006">
    <mc:Choice Requires="x15">
      <x15ac:absPath xmlns:x15ac="http://schemas.microsoft.com/office/spreadsheetml/2010/11/ac" url="C:\Users\marin\OneDrive\Desktop\Doc. Escritorio\VCA_SSF_GB\Relatorios\VCA4D fisheries GB\Draft Final\"/>
    </mc:Choice>
  </mc:AlternateContent>
  <xr:revisionPtr revIDLastSave="0" documentId="8_{5DAF59E8-6349-44F8-8D0B-94DB3E6722C6}" xr6:coauthVersionLast="47" xr6:coauthVersionMax="47" xr10:uidLastSave="{00000000-0000-0000-0000-000000000000}"/>
  <bookViews>
    <workbookView xWindow="-110" yWindow="-110" windowWidth="19420" windowHeight="10300" activeTab="2"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 name="Z_32B0C26A_BAF8_434F_BC5C_F8117C433B50_.wvu.Cols" localSheetId="0" hidden="1">Profile!$I:$I</definedName>
    <definedName name="Z_32B0C26A_BAF8_434F_BC5C_F8117C433B50_.wvu.Cols" localSheetId="2" hidden="1">Questionnaire!$M:$O</definedName>
    <definedName name="Z_32B0C26A_BAF8_434F_BC5C_F8117C433B50_.wvu.Cols" localSheetId="1" hidden="1">Register!$J:$M</definedName>
    <definedName name="Z_32B0C26A_BAF8_434F_BC5C_F8117C433B50_.wvu.FilterData" localSheetId="2" hidden="1">Questionnaire!$A$1:$N$120</definedName>
    <definedName name="Z_32B0C26A_BAF8_434F_BC5C_F8117C433B50_.wvu.PrintArea" localSheetId="0" hidden="1">Profile!$A$1:$G$29</definedName>
    <definedName name="Z_32B0C26A_BAF8_434F_BC5C_F8117C433B50_.wvu.PrintArea" localSheetId="2" hidden="1">Questionnaire!$A$1:$L$121</definedName>
    <definedName name="Z_32B0C26A_BAF8_434F_BC5C_F8117C433B50_.wvu.PrintArea" localSheetId="1" hidden="1">Register!$A$1:$I$39</definedName>
    <definedName name="Z_32B0C26A_BAF8_434F_BC5C_F8117C433B50_.wvu.PrintTitles" localSheetId="2" hidden="1">Questionnaire!$2:$2</definedName>
    <definedName name="Z_32B0C26A_BAF8_434F_BC5C_F8117C433B50_.wvu.PrintTitles" localSheetId="1" hidden="1">Register!$1:$4</definedName>
    <definedName name="Z_32B0C26A_BAF8_434F_BC5C_F8117C433B50_.wvu.Rows" localSheetId="0" hidden="1">Profile!$11:$11</definedName>
    <definedName name="Z_A7FD2B08_B74C_4011_B35C_4B9B50711590_.wvu.Cols" localSheetId="0" hidden="1">Profile!$I:$I</definedName>
    <definedName name="Z_A7FD2B08_B74C_4011_B35C_4B9B50711590_.wvu.Cols" localSheetId="2" hidden="1">Questionnaire!$M:$O</definedName>
    <definedName name="Z_A7FD2B08_B74C_4011_B35C_4B9B50711590_.wvu.Cols" localSheetId="1" hidden="1">Register!$J:$M</definedName>
    <definedName name="Z_A7FD2B08_B74C_4011_B35C_4B9B50711590_.wvu.FilterData" localSheetId="2" hidden="1">Questionnaire!$A$1:$N$120</definedName>
    <definedName name="Z_A7FD2B08_B74C_4011_B35C_4B9B50711590_.wvu.PrintArea" localSheetId="0" hidden="1">Profile!$A$1:$G$29</definedName>
    <definedName name="Z_A7FD2B08_B74C_4011_B35C_4B9B50711590_.wvu.PrintArea" localSheetId="2" hidden="1">Questionnaire!$A$1:$L$121</definedName>
    <definedName name="Z_A7FD2B08_B74C_4011_B35C_4B9B50711590_.wvu.PrintArea" localSheetId="1" hidden="1">Register!$A$1:$I$39</definedName>
    <definedName name="Z_A7FD2B08_B74C_4011_B35C_4B9B50711590_.wvu.PrintTitles" localSheetId="2" hidden="1">Questionnaire!$2:$2</definedName>
    <definedName name="Z_A7FD2B08_B74C_4011_B35C_4B9B50711590_.wvu.PrintTitles" localSheetId="1" hidden="1">Register!$1:$4</definedName>
    <definedName name="Z_A7FD2B08_B74C_4011_B35C_4B9B50711590_.wvu.Rows" localSheetId="0" hidden="1">Profile!$11:$11</definedName>
  </definedNames>
  <calcPr calcId="191029"/>
  <customWorkbookViews>
    <customWorkbookView name="merlinleunda - Personal View" guid="{A7FD2B08-B74C-4011-B35C-4B9B50711590}" mergeInterval="0" personalView="1" windowWidth="960" windowHeight="1080" activeSheetId="2"/>
    <customWorkbookView name="Marina Temudo - Personal View" guid="{32B0C26A-BAF8-434F-BC5C-F8117C433B50}" mergeInterval="0" personalView="1" maximized="1" xWindow="-11" yWindow="-11" windowWidth="1942" windowHeight="1030"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14" i="3"/>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120" i="3" l="1"/>
  <c r="E100" i="3"/>
  <c r="E95" i="3"/>
  <c r="E115" i="3"/>
  <c r="E110" i="3"/>
  <c r="E106" i="3"/>
  <c r="E91" i="3"/>
  <c r="E84" i="3"/>
  <c r="E80" i="3"/>
  <c r="E75" i="3"/>
  <c r="E71" i="3"/>
  <c r="E66" i="3"/>
  <c r="E62" i="3"/>
  <c r="E56" i="3"/>
  <c r="E49" i="3"/>
  <c r="E43"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1" i="2" l="1"/>
  <c r="C31" i="2"/>
  <c r="C32" i="2"/>
  <c r="D32" i="2"/>
  <c r="C30" i="2"/>
  <c r="D30" i="2"/>
  <c r="B33" i="2"/>
  <c r="D33" i="2" s="1"/>
  <c r="E18" i="1" s="1"/>
  <c r="I30" i="2"/>
  <c r="I20" i="2"/>
  <c r="I38" i="2"/>
  <c r="I19" i="2"/>
  <c r="I9" i="2"/>
  <c r="I35" i="2"/>
  <c r="I6" i="2"/>
  <c r="I14" i="2"/>
  <c r="I32" i="2"/>
  <c r="I13" i="2"/>
  <c r="I31" i="2"/>
  <c r="I21" i="2"/>
  <c r="I12" i="2"/>
  <c r="I37" i="2"/>
  <c r="I27" i="2"/>
  <c r="I18" i="2"/>
  <c r="I8" i="2"/>
  <c r="I26" i="2"/>
  <c r="I17" i="2"/>
  <c r="I7" i="2"/>
  <c r="I25" i="2"/>
  <c r="I36" i="2"/>
  <c r="I24" i="2"/>
  <c r="I33" i="2"/>
  <c r="F18" i="1" s="1"/>
  <c r="D62" i="3"/>
  <c r="D66" i="3"/>
  <c r="D106" i="3"/>
  <c r="D115" i="3"/>
  <c r="D110" i="3"/>
  <c r="D71" i="3"/>
  <c r="D43" i="3"/>
  <c r="D26" i="3"/>
  <c r="I26" i="3" s="1"/>
  <c r="J26" i="3" s="1"/>
  <c r="D32" i="3"/>
  <c r="D38" i="3"/>
  <c r="D84" i="3"/>
  <c r="D120" i="3"/>
  <c r="D17" i="3"/>
  <c r="D18" i="1" l="1"/>
  <c r="C33" i="2"/>
  <c r="C18" i="1" s="1"/>
  <c r="F49" i="3"/>
  <c r="D49" i="3"/>
  <c r="D14" i="3"/>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39" i="2" l="1"/>
  <c r="F19" i="1" s="1"/>
  <c r="I28" i="2"/>
  <c r="F17" i="1" s="1"/>
  <c r="I15" i="2"/>
  <c r="F15" i="1" s="1"/>
  <c r="I10" i="2"/>
  <c r="F14"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120" i="3" l="1"/>
  <c r="B38" i="2" s="1"/>
  <c r="C38" i="2" s="1"/>
  <c r="J71" i="3"/>
  <c r="B24"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<sst xmlns="http://schemas.openxmlformats.org/spreadsheetml/2006/main" count="579" uniqueCount="347">
  <si>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</si>
  <si>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</si>
  <si>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</si>
  <si>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</si>
  <si>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</si>
  <si>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</si>
  <si>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</si>
  <si>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</si>
  <si>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</si>
  <si>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</si>
  <si>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</si>
  <si>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</si>
  <si>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</si>
  <si>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</si>
  <si>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</si>
  <si>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</si>
  <si>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</si>
  <si>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</si>
  <si>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</si>
  <si>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</si>
  <si>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</si>
  <si>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</si>
  <si>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</si>
  <si>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</si>
  <si>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</si>
  <si>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</si>
  <si>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</si>
  <si>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</si>
  <si>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</si>
  <si>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</si>
  <si>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</si>
  <si>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</si>
  <si>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</si>
  <si>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</si>
  <si>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</si>
  <si>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</si>
  <si>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</si>
  <si>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</si>
  <si>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</si>
  <si>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</si>
  <si>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</si>
  <si>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</si>
  <si>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</si>
  <si>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</si>
  <si>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</si>
  <si>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</si>
  <si>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</si>
  <si>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</si>
  <si>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</si>
  <si>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</si>
  <si>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</si>
  <si>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</si>
  <si>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</si>
  <si>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</si>
  <si>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</si>
  <si>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</si>
  <si>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</si>
  <si>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</si>
  <si>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</si>
  <si>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</si>
  <si>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</si>
  <si>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</si>
  <si>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</si>
  <si>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</si>
  <si>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</si>
  <si>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</si>
  <si>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</si>
  <si>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</si>
  <si>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</si>
  <si>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</si>
  <si>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</si>
  <si>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</si>
  <si>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</si>
  <si>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</si>
  <si>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</si>
  <si>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</si>
  <si>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</si>
  <si>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</si>
  <si>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</si>
  <si>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</si>
  <si>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</si>
  <si>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</si>
  <si>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</si>
  <si>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</si>
  <si>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</si>
  <si>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</si>
  <si>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</si>
  <si>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</si>
  <si>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</si>
  <si>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</si>
  <si>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</si>
  <si>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</si>
  <si>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</si>
  <si>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</si>
  <si>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</si>
  <si>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</si>
  <si>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</si>
  <si>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</si>
  <si>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</si>
  <si>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</si>
  <si>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</si>
  <si>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</si>
  <si>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</si>
  <si>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</si>
  <si>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</si>
  <si>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</si>
  <si>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</si>
  <si>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</si>
  <si>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</si>
  <si>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</si>
  <si>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</si>
  <si>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</si>
  <si>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</si>
  <si>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</si>
  <si>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</si>
  <si>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</si>
  <si>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</si>
  <si>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</si>
  <si>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</si>
  <si>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</si>
  <si>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</si>
  <si>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</si>
  <si>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</si>
  <si>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</si>
  <si>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</si>
  <si>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</si>
  <si>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</si>
  <si>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</si>
  <si>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</si>
  <si>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</si>
  <si>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</si>
  <si>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</si>
  <si>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</si>
  <si>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</si>
  <si>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</si>
  <si>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</si>
  <si>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</si>
  <si>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</si>
  <si>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</si>
  <si>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</si>
  <si>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</si>
  <si>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</si>
  <si>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</si>
  <si>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</si>
  <si>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</si>
  <si>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</si>
  <si>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</si>
  <si>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</si>
  <si>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</si>
  <si>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</si>
  <si>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</si>
  <si>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</si>
  <si>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</si>
  <si>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</si>
  <si>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</si>
  <si>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</si>
  <si>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</si>
  <si>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</si>
  <si>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</si>
  <si>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</si>
  <si>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</si>
  <si>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</si>
  <si>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</si>
  <si>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</si>
  <si>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</si>
  <si>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</si>
  <si>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</si>
  <si>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</si>
  <si>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</si>
  <si>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</si>
  <si>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</si>
  <si>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</si>
  <si>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</si>
  <si>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</si>
  <si>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</si>
  <si>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</si>
  <si>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</si>
  <si>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</si>
  <si>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</si>
  <si>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</si>
  <si>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</si>
  <si>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</si>
  <si>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</si>
  <si>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</si>
  <si>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</si>
  <si>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</si>
  <si>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</si>
  <si>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</si>
  <si>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</si>
  <si>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</si>
  <si>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</si>
  <si>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</si>
  <si>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</si>
  <si>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</si>
  <si>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</si>
  <si>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</si>
  <si>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</si>
  <si>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</si>
  <si>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</si>
  <si>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</si>
  <si>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</si>
  <si>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</si>
  <si>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</si>
  <si>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</si>
  <si>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</si>
  <si>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</si>
  <si>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</si>
  <si>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</si>
  <si>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</si>
  <si>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</si>
  <si>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</si>
  <si>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</si>
  <si>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</si>
  <si>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</si>
  <si>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</si>
  <si>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</si>
  <si>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</si>
  <si>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Fisheries</t>
  </si>
  <si>
    <t>Guinea-Bissau</t>
  </si>
  <si>
    <t>Interviews with different stakeholders</t>
  </si>
  <si>
    <t>idem</t>
  </si>
  <si>
    <t>None according to our knowledge</t>
  </si>
  <si>
    <t xml:space="preserve">None </t>
  </si>
  <si>
    <t>None</t>
  </si>
  <si>
    <t>Women in the value chain declare they have independent sources of income from their husbands and other male relatives</t>
  </si>
  <si>
    <t>Women only make decisions in relation to the assets they own but not in relation to assets formarly by their husbands or male relatives, but to which they have contributed with labour</t>
  </si>
  <si>
    <t>Groups have elected representatives but not always are they accountable; it was frequently mentioned that leaders appropriated collective funds or assets and this is one of the motives for non-payment of membership fees.</t>
  </si>
  <si>
    <t>The relationship is considered as trustworthy among most GB fishermen/women and local traders, but the same does not apply between them and foreighners and state representatives</t>
  </si>
  <si>
    <t>Only inside protected areas runned by the IBAP.</t>
  </si>
  <si>
    <t>Most households have not enough money to pay for health services plus the transport .</t>
  </si>
  <si>
    <t>6.4.1  Does the value chain provide chances for geographical mobility?</t>
  </si>
  <si>
    <t>6.4.2 Does the value chain provide chances for socioeconomic mobility?</t>
  </si>
  <si>
    <t>6.4.3 Does the value chain facilitate international mobility?</t>
  </si>
  <si>
    <t>Creation of professional schools and professional associations and sindicates</t>
  </si>
  <si>
    <t>Better control of illegal charges for free/low price services and medicines at health centres; Free provision of contraceptives (implant type) for women and girls</t>
  </si>
  <si>
    <t>Children are not engaged in harmful tasks, although they can participate in fishing, colecting fishing bait, selling fish, removing the fish scales.</t>
  </si>
  <si>
    <t>SEE ANSWER ABOVE (3.1.1).</t>
  </si>
  <si>
    <t>Women are increasingly investing in buying assets (e.g., land, houses, boats) of their own; however, mothers tend to exclude their daughters from inheriting.</t>
  </si>
  <si>
    <t>The provision of services is scarce for both men and women.</t>
  </si>
  <si>
    <t>Women in the fisheries VC feel they are autonomous decision-makers in relation to their work.</t>
  </si>
  <si>
    <t>Guinea-Bissau organizations have been disseminating a gender rethoric that has been adopted by grassroots organizations to comply (at least in theory) with donors paradigms.</t>
  </si>
  <si>
    <t>Neither women or men ordinary citizens have this kind of power.</t>
  </si>
  <si>
    <t>At present, rice, vegetable oil and other imported food items are generally available at local markets.</t>
  </si>
  <si>
    <t>Consumers food prices are increasing fast.</t>
  </si>
  <si>
    <t>The diet is increasingly less diverse and industrial processed food is getting more relevance.</t>
  </si>
  <si>
    <t>The need for formal training in sailing, fishing, mechaniques, boat construction, accountancy, etc, is a major claim made by grassroot actors of the value chain.</t>
  </si>
  <si>
    <t>Many fishers and fishmongers develop their activity far from their home villages.</t>
  </si>
  <si>
    <t>The FVC governance must be more inclusive for both men and women.</t>
  </si>
  <si>
    <t>Idem.</t>
  </si>
  <si>
    <t>SUPPORT FOR THE CREATION OF MECHANISMS TO INCREASE TRANSPARENCY AND ACCESS TO INFORMATION FOR SMALL-SCALE FISHERS, PROCESSORS, AND WHOLESALERS.</t>
  </si>
  <si>
    <t>SUPPORT TO SOCIO-PROFESSIONAL ORGANISATIONS TO STRENGTHEN THEIR COUNTERPOWER; SUPPORT FOR THE CREATION OF MECHANISMS ENABLING SMALL-SCALE FISHERS TO BE CONSULTED AND TO CLAIM THEIR RIGHTS; BETTER PROTECTION OF SMALL-SCALE FISHERS AGAINST THE DESTRUCTION OF TRADITIONAL TERRITORIES.</t>
  </si>
  <si>
    <t>In the fishing value chain in Guinea-Bissau, most employment relationships are informal and based on customary and interpersonal agreements; formal frameworks and regulations exist only in the industrial fishing sector. The labor right of small-scale fishers is threatened by the increasing decline in their catches, mainly caused by overfishing and IUU fishing by foreign vessels. Moreover, the rights of sailors working in industrial fleets remains largely unprotected, with limited access to labour safeguards or union representation.</t>
  </si>
  <si>
    <t>Increase the capacity and training of fisheries inspection unit (FISCAP), in terms of human and technical resources; strengthen the control of foreign vessels' recruitment agencies and provide targetted training to sailors.</t>
  </si>
  <si>
    <t>Traditionally, in rural areas, children's and youth's work is socially regulated and considered part of socialisation and learning. However, increasing poverty and growing needs heighten household vulnerability and force parents to rely on children's work to cover expenses such as education, clothing, and domestic work. In situations of extreme precariousness, children also contribute to food expenses and are often unable to attend school.</t>
  </si>
  <si>
    <t>Better provision of social services in rural areas will reduce parents expenses with education and health. Support systems for the most vulnerable families (e.g. single-parent families led by a widow).</t>
  </si>
  <si>
    <t>Small-scale fishers have no safety equipment and receive no assistance from state officials when they suffer from shipwreck. Sailors on industrial vessels often face overworking conditions and are not given medical treatment when ill. In case of death, bodies are not transported to bissau. Competition for aquatic resources sometimes leads to violent encounters between local and foreign artisanal fishers</t>
  </si>
  <si>
    <t>Safety equipment must be provided at subsidized price by the state and rescue teams must be created and strengthened in each major port. Better regulation and control of illness and death cases on industrial fishing vessels. Fewer licenses should be granted to foreign fishers to avoid overcompetition.</t>
  </si>
  <si>
    <t xml:space="preserve">Fishing is among the most important sectoral activities, particularly for those without formal education. However, declining catches and lack of state support is reducing its atractiveness and contributing to increasing poverty.
</t>
  </si>
  <si>
    <t xml:space="preserve">Better control of IUU fishing; fewer licenses granted to foreign fishers; lower licenses for local fishers; provision of training for fishers and subsidized inputs to help them better compete against foreign fishing efforts.
</t>
  </si>
  <si>
    <t>Lack of knowledge about and enforcement of VGGT can lead to an increase in poverty and, thus, a greater reliance on unsustainable fishing practices by small-scale fishermen and women. There is little control to verify whether the authorized net mesh sizes match license conditions of Industrial vessels; illegal practices are often not reported by observers of industrial fishing vessels due to corruption. Foreign fishing operations frequently contribute to the uncontrolled destruction of forest and marine resources belonging to local communities.</t>
  </si>
  <si>
    <t>Better dissemination of the VGGT and of the rights of the vulnerable and poor actors in the fisheries value chain; improved control of industrial vessels use of net mesh sizes in relation to the licenses granted. Better monitoring and enforcement against forest destruction practices in foreign artisanal fishers’ camps.</t>
  </si>
  <si>
    <t>Reduced levels of transparency, participation and consultation in the management of the fishing value chain and the exploitation of other resources (such as minerals), including in the negociation of agreements with foreign actors. Lack of monitoring can increase poverty and grievances among the most vulnerable actors of the FVC.</t>
  </si>
  <si>
    <t>Improve education and training and raise awareness of people's rights. Strengthen grassroots actors in the fishing value chain and their capacity to claim their right to transparency, as framed in article 3 of the constitution, which states that the democratic state is “founded on national unity and the effective popular participation in the conduct, supervision, and direction of public activities”.</t>
  </si>
  <si>
    <t>Grievances against the state over declining catches caused by foreighners' overfishing and IUU fishing are increasing poverty and triggering the use of unsustainable practices by fishermen and women. Access to formal justice is limited, making it difficult to resolve issues such as abusive fines or conflicts with foreign artisanal fishers.</t>
  </si>
  <si>
    <t>Improve education and raise awareness of people's rights and strengthen mechanisms for access to formal justice. Subsidise local actors in the fishing value chain to better compete against foreign fishing operations (eg. lower fishing licenses, providing equipment, and offering training programmes).</t>
  </si>
  <si>
    <t>Women have access to all activities along the value chain: foot fishing, canoe fishing, processing, wholesale and retail trade, as well as roles as suppliers of credit and/or fishing materials, food, and even as boat owners. Women are increasingly vocal in claiming their rights, and no major risks of exclusion from any part of the value chain have been identified, even among muslim families.</t>
  </si>
  <si>
    <t>Although Guinea-Bissau suffers from a severe lack of services and access to credit, there is limited evidence of significant gender disparities in access to them.</t>
  </si>
  <si>
    <t>No major risks were detected among actors of the FVC even among Muslim families</t>
  </si>
  <si>
    <t>In general, women are largely underrepresented in public decision-making and political life. In the case of the fisher VC, neither women nor men ordinary citizens have the capacity to influence services, territorial power or policy decision-making.</t>
  </si>
  <si>
    <t>In the SSF value chain, rural women often carry a heavier workload than men due to the combination of income-generating activities and domestic responsibilities. However, the most labour-intensive task traditionally performed by women—rice dehusking—is now largely carried out by milling machines. In ports, the work of female wholesalers is generally seen as less risky and more stable in terms of income, compared to that of fishers, whose work is more hazardous and subject to greater fluctuations in earnings.</t>
  </si>
  <si>
    <t>While imported rice is available across all regions, local production remains insufficient and highly vulnerable to climate-related hazards. Food prices continue to rise, while the incomes of the most vulnerable groups are declining, increasing the risks of food insecurity. At the same time, diverse local food production is decreasing, and the availability of wild food and fish stocks is also diminishing due to habitat destruction and overfishing. High calories food items are generally available in local shops.</t>
  </si>
  <si>
    <t>Support adaptation measures to climate change in national agriculture to stabilize the production of food; Implement policies that favour local food production to protect coastal livelihoods, including reducing the number of fishing licences to safeguard fisheries resources.</t>
  </si>
  <si>
    <t>Few income opportunities exist, while food production and wild food harvest are declining. At the same time, cash expenses for education, health, cloth, ceremonies are increasing, reducing the available income to allocate to food. Local rice is insufficient, fish catches are decreasing as reported by many, and only actors in the fishery value chain consume fish frequently — even if it is not "peixe de primeira", which is too precious for regular consumption and thus oriented to sale.</t>
  </si>
  <si>
    <t>Due to the increasingly poor nutritional quality of the daily diet (local food is being replaced by imported, high-calorie, low-quality processed foods), malnutrition, high blood pressure and diabetes have become a public health major issue. there are also reports of uncontrolled use of pesticides in fish preservation.</t>
  </si>
  <si>
    <t>Regular monitoring of diabetes and blood pressure must be conducted at every health centre; Radio campaigns should be launched to raise awareness about the risks of a poor nutritional diet; Control measures must be implemented to regulate the use of pesticides in fish preservation within the value chain.</t>
  </si>
  <si>
    <t>Rural households suffer from seasonal food shortage and often lack sufficient income to buy enough quality food. This situation is particularly severe during the rainy season, when farmers must hire labour for agricultural work while also facing rising food prices. Fishing, processing and selling can provide additional income, but sea navigation is difficult and risky during this period, and market demand is lower.</t>
  </si>
  <si>
    <t>Support adaptation measures to climate change in agriculture to help stabilize food production; provide support to small-scale fishers through training, access to cooling facilities and subsidized inputs, including safety equipment.</t>
  </si>
  <si>
    <t>Most producers' organisations were created and formalised with external support but tend to cease functioning in the medium to long term. Despite a few reported cases of wholesalers and fishermen joining forces to resist abusive practices by the state, there are no trade unions, and local fishers and wholesalers lack real negotiating power with the state and other value chain actors.</t>
  </si>
  <si>
    <t>Considering the effective functioning of traditional groups for savings and credit (grupo de "abota"), new associations should be rooted on these structures. Support local grassroots initiatives of resistance by providing legal advice, access to justice, and assistance with organisational structuring, in order to strengthen their capacity for negotiation.</t>
  </si>
  <si>
    <t>Among most GB fishermen/women and local traders there is a relation of trust, but the same does not apply between them and foreign fishermen and state representatives. Very limited participation of fishers and wholesalers in the formulation of public policies: they have little access to information about the value chain, public affairs management processes, and official documentation. There is a widespread perception of lack of transparency and low levels of trust in the state.</t>
  </si>
  <si>
    <t>There is very limited social involvement. Socio-professional organisations (such as those of vessel owners and fishers) tend to play a symbolic role and have very limited negotiating power with the state. Beyond protected areas, small-scale fishers and wholesalers are not meaningfully involved in decision-making processes that affect their livelihoods — including the protection of traditional fishing territories from artisanal and foreign industrial fishing, access to information and consultation on fishing agreements, and transparency in the granting of licences.</t>
  </si>
  <si>
    <t>Incomes are declining for small-scale actors in the fvc. Health services are poorly distributed, making access to services and emergency evacuations particularly difficult for some communities; furthermore, health services are inadequately equipped and the price of medicines is high. Thus, rising poverty reduces the ability of FVC poor actors to afford and access essential healthcare services. Sharp increase in hypertension and diabetes problems due to poor diet, which are often underdiagnosed.</t>
  </si>
  <si>
    <t>There are risks that female headed households (eg. divorced or widows) in urban areas may become unable to afford rents, as they must make do to pay for food, health and education of their children. In general, many rural areas face health risks due to poor sanitation and lack of access to clean water.</t>
  </si>
  <si>
    <t>Legislation must be approved to allow divorced women to keep custody of their children when they want and to and oblige fathers to contribute to their children upbringing. More deep boreholes should be created to improve access to clean water, along with awareness campaigns and latrine projects to upgrade sanitation facilities.</t>
  </si>
  <si>
    <t>Increasing poverty can reduce the chances of parents being able to pay for education and training. Access to and quality of education in rural areas is low. Early pregnancy is a major cause of school dropouts among girls</t>
  </si>
  <si>
    <t>Better provision of state education and training facilities and services outside the capital city. Increase access to contraceptives (implant type) through free provision.</t>
  </si>
  <si>
    <t>Considering the lack of professional formal training, some fishermen who migrated to neighbouring countries in search of better paid jobs were forced to return penniless. Meanwhile, the chances of sailors to get permanent contracts in European vessels is null. The lack of training reduces sailors to a status of semi-servitude aboard industrial vessels. Such conditions may heighten the appeal of illegal migration to Europe</t>
  </si>
  <si>
    <t>Interviews with the different stakeholders of the FVC; journals' news; literature review.</t>
  </si>
  <si>
    <t>Interviews with the different stakeholders of the FVC; literature review.</t>
  </si>
  <si>
    <t>Although they declare adherence, interviews with powerless stakeholders revealed that not always directives are fully followed.</t>
  </si>
  <si>
    <t>none</t>
  </si>
  <si>
    <t>Increase access to credit facilities of poor FVC actors</t>
  </si>
  <si>
    <t>Country's labour laws and International conventions; interviews with the different stakeholders of the FVC; literature review.</t>
  </si>
  <si>
    <t>Country's labour laws and International conventions; interviews with the different stakeholders of the FVC.</t>
  </si>
  <si>
    <t>Guinea-Bissau has ratified all 8 fundamental ILO conventions, but they are not enforced and few workers are organized in sindicats. According to interviewees, the contracts and work conditions offered by most industrial fishing companies (especially Chinese) fail to comply with several of these conventions. A lack of training, combined with the fear to lose what is considered as a good job, often reduces sailors to a status of semi-servitude aboard industrial vessels.</t>
  </si>
  <si>
    <t>Interviews with the different stakeholders of the FVC.</t>
  </si>
  <si>
    <t>Interviews with the different stakeholders of the FVC and direct observation.</t>
  </si>
  <si>
    <t>Interviews with the different stakeholders of the FVC; Over 30 years of ethnographic research experience across all rural regions of the country.</t>
  </si>
  <si>
    <t>Interviews with the different stakeholders of the FVC; direct observation.</t>
  </si>
  <si>
    <t>Interviews with the different stakeholders of the FVC; direct observation; literature review.</t>
  </si>
  <si>
    <t>Over 30 years of ethnographic research experience across all rural regions of the country; interviews with the different stakeholders of the FVC; literature review.</t>
  </si>
  <si>
    <t>Interviews with the different stakeholders of the FVC; literature review; Over 30 years of ethnographic research experience across all rural regions of the country.</t>
  </si>
  <si>
    <t>Interviews with the different stakeholders of the FVC</t>
  </si>
  <si>
    <t>Interviews with different stakeholders of the FVC</t>
  </si>
  <si>
    <t>Interviews with different stakeholders of the FVC; direct observation.</t>
  </si>
  <si>
    <t>Freedom of association exists, but collective bargaining is rare, both among stakeholders engaged in the same economic activity and between groups, such as wholesalers and fishers. The most vulnerable actors within the vc have very limited capacity to negotiate with the state or other stakeholders of the VC.</t>
  </si>
  <si>
    <t xml:space="preserve">Sailors of industrial fishing vessels are subjected to unfair contracts and illegal working conditions. Most contracts between fishermen and the owners of the small-scale boats are informal but managed according to local agreements (people say "fishermen law") and the same applies to the agreements between fishermen and the fish processors/sellers. </t>
  </si>
  <si>
    <t>Most work along the value chain is informal, shaped by the opportunity space available to local actors, and often combined with other economic or non-economic activities. Although the workload is generally high, there is no evidence of forced labour. However, sailors working on industrial fishing vessels face curtailed rights, with risks of forced labour and no legal mechanisms in place to prevent such abuses.</t>
  </si>
  <si>
    <t>In Chinese boats, Guinea-Bissauan workers feel they are discriminated by their race (and even "treated like animals" according to statements of the sailors working in industrial vessels). These complaints were not mentioned by land companies' workers, though.</t>
  </si>
  <si>
    <t>Children’s education is a primary goal for parents and fishing/processing/selling might even be used to increase the chances of achieve higher education levels. Stakeholders across different groups consider education a key factor for greater success in their activities, as well as a means to better resist the harsh working conditions in industrial fishing. In villages, girls' education levels are lower than boys’, primarily due to early pregnancies which force many girls to drop out of school.</t>
  </si>
  <si>
    <t>In SSF, there are serious risks of shipwrecks and fishermen are not rescued by the captaincies; Sick sailors in industrial vessels are not treated and sometimes die while in sea; Fish whole sailors and retailers ("bideiras") are subject to major car accidents due to poor transport and road facilities. Accidents can also result from conflicts between local and foreign artisanal fishers. “Bideiras” engaged in fish smoking complain about harsh working conditions, where lack of sleep and daily exposure to smoke negatively affect their health.</t>
  </si>
  <si>
    <t>Most contracts are informal and in accordance with local standards grounded in custom or interpersonal ties. Sailors’ contracts in industrial vessels are formal and usually in accordance with official regulations; however, they are usually not respected regarding daily working hours and Sunday double payment. In addition, all wages are paid at the end of the contract, often with delays and in small instalments. Furthermore, intermediary agencies linking sailors to the industry take a 20% cut of their salary.</t>
  </si>
  <si>
    <t>Fishing is considered the main income-generating occupation for those without higher education and many young people use it to finance their studies or improve their standard of living. In some cases — such as sailors contracted by industrial vessels or successful boat owners — significant returns are invested in major expenditures, including housing, higher education, or migration. Lack of training is considered a barrier, along with the declining availability of aquatic resources.</t>
  </si>
  <si>
    <t>Although the land law declares respect for the customary rights of people, neither the state nor companies and national institutions consistently obtain the prior informed consent from local inhabitants before approving land concessions for large scale investments.</t>
  </si>
  <si>
    <t>When consultations do take place, only the potential benefits are presented to local stakeholders, while the drawbacks and possible reduction in their rights are often hidden.</t>
  </si>
  <si>
    <t>According to interviewees and the literature, little information is widely available to the less privileged actors of the value chain. There is a general lack of transparency throughout the entire chain - from the negotiation of fishing agreements, monitoring and enforcement, and communication between ministerial departments regarding the allocation of licences, the sharing of data by observers and the influence of political party interests on policy decisions.</t>
  </si>
  <si>
    <t>Few information is widely available to the less privileged actors of the value chain. There is a general lack of transparency throughout the entire value chain, and local artisanal fishers complain about the excessive allocation of licences, which threatens the sustainability of their livelihood and way of life based on fisheries and forest resources.</t>
  </si>
  <si>
    <t>According to interviewees, which is consistent with the literature review, no prior consent is ever sought or obtained, apart from marine protected areas (MPA).</t>
  </si>
  <si>
    <t>Although law 5/98, article 6, paragraph 4 provides for this, in practice local communities frequently feel unable to exercise management powers in accordance with their traditional uses and customs in relation to their maritime water and aquatic resources.</t>
  </si>
  <si>
    <t>Women participate across all segments of the small-scale fisheries value chain — including fishing, processing, wholesale and retail trade, as suppliers of credit and/or fishing gear and food, and even as boat owners. They are also active as retailers of national industrial fishing landings and work as processors in industrial fishing plants.</t>
  </si>
  <si>
    <t>Women do buy land, but they generaly do not inherite land from their fathers or deceised husbands.</t>
  </si>
  <si>
    <t>The provision of credit is null for both men and women. However, women play a central role as leaders of informal groups of savings and credit (“abota” in crioulo).</t>
  </si>
  <si>
    <t>Women in the fisheries VC feel they can make decisions regarding their livelihoods, but this right is also progressing in parallel with their increasing control over earnings.</t>
  </si>
  <si>
    <t>In general, women in the fisheries value chain declare they have full control over their income. This is aligned with the broader trend of increasing women's control over their earnings at the national level.</t>
  </si>
  <si>
    <t>Women participate in several different types of groups - generally informal as the legalisation of organisations in GB is costly - and are typically not affiliated with trade unions.</t>
  </si>
  <si>
    <t>In general, women are becoming increasingly vocal in expressing their opinions, although there is a diversity of situations depending on region and ethnic group. Muslim women, in particular, tend to speak more openly in the absence of men. Women remain underrepresented in public and political life.</t>
  </si>
  <si>
    <t>Within the SSF value chain, only rural women can be considered to carry a heavier workload than men. Female fish traders often perceive the work of fishermen as risky and physically demanding. Women generally engage solely in domestic work tasks when their husbands have a stable and sufficient income. overall, domestic tasks are divided among several household members, most of whom are women.</t>
  </si>
  <si>
    <t>In rural areas, among the diversified activities - including fishing and agriculture - one of the hardest demanding tasks that women used to perform regularly was manual rice dehusking; however, this work has eased in recent years, as milling machines have become widely available. In urban areas, by contrast, women often work as wholesalers and therefore tend to have a lighter workload compared to fishers, whose work is generally considered more physically demanding and risky.</t>
  </si>
  <si>
    <t>Socioecological and economic changes have led to a decline in local food production on one hand, while also diverting part of it to market channels, thereby reducing the availability of protein-rich foods. In some remote regions, the levels of available protein are alarmingly low.</t>
  </si>
  <si>
    <t>Few income opportunities exist and cash expenses with education, health, cloth, ceremonies, and new consumption needs have been increasing, thereby further reducing the available income to be allocated to food.</t>
  </si>
  <si>
    <t>Imported food is of poor quality, the local rice is being excessively milled losing all its nutritional content and local wild fruits and vegetables while available are being less used. Protein-rich food consumption is decreasing due to a sharp decline in wildlife (a consequence of cashew expansion) and a reduction in fish availability (even actors along the value chain are consuming less of it).</t>
  </si>
  <si>
    <t>On the contrary, the nutritional quality of the daily diet has been decreasing with the growing incorporation of empty calories, cheap Maggi stock cubes and sugar and the reduction of the consumption of local fruits and vegetables. Local rice production, which is much richer in vitamins, has been declining due to the negative impacts of climate change. In addition, the number of meals per day has decreased, with many households reporting only one meal a day.</t>
  </si>
  <si>
    <t>Rural households suffer from seasonal food shortage and frequently have not enough income to buy adequate, quality food. Fishing and/or processing and selling activities can provide additional income, but navigation is hard and risky during the rainy season and market demand is lower. Similarly, the biological resting period represents another time of potential food shortage. The most affected groups are rural fisher/farmers communities who are highly dependent on fishing.</t>
  </si>
  <si>
    <t xml:space="preserve">There are large fluctuations in the price of basic food items, such as rice and fish. </t>
  </si>
  <si>
    <t>Most fishermen and women and fish processors and traders are also farmers, reflecting the multiple and interdependent livelihoods common in rural areas. In Guinea-Bissau, however, farmers are seldom organized, even informally, and their participation in the fisheries value chain is largely individual, limiting their collective agency and access to opportunities.</t>
  </si>
  <si>
    <t>Groups and cooperatives in the fishing value chain are rare and mostly informal, consisting mainly of informal savings groups and socio-professional organizations of boat owners and fishers, which have negligible bargaining power and limited institutional support. Nevertheless, there was no observed or reported discrimination based on ethnicity, religion, or gender within these structures.</t>
  </si>
  <si>
    <t>In my extensive experience working with local communities, i have never come across any farmers’, fishers’, or traders’ associations with the capacity to negotiate in either input or output markets. This observation is consistent with existing literature, which often highlights the lack of collective organisation and structured representation among rural producers in Guinea-Bissau.</t>
  </si>
  <si>
    <t>To the best of my knowledge, and based on the testimonies of farmers and fishers, only cashew producers have access to market price information thanks to the system developed by the BELAB enterprise.</t>
  </si>
  <si>
    <t>Yes, within protected areas, many projects’ documents refer to the importance of respecting traditional knowledge. However, in practice this is seldom true. Outside protected areas, traditional ownership rights over marine territories and resources are seldom respected, leading to widespread grievances, both against the state for failing to protect these rights and against foreign actors. Additionally, there is a growing sense of inequality between inhabitants of protected areas and their neighbours who cannot access any resources inside protected areas, contradicting former reciprocal use arrangements.</t>
  </si>
  <si>
    <t>Yes, solidarity is often observed during crises, such as shipwrecks or major ruptures in mangrove swamp rice fields’ dikes. However, individualism is on the rise and increasing food insecurity limits people´s ability to engage in collective actions, as they are often forced to prioritize alternative sources of income-generating activities when they have time.</t>
  </si>
  <si>
    <t>There is no widespread provision of health facilities and services by the state, and most rural inhabitants need to travel (and afford the costs) to reach the capital city when severely ill. This often involves emergency evacuations that sometimes result in the patient’s death before reaching hospitals, due to poor transport links and the deteriorated state of the road infrastructure.</t>
  </si>
  <si>
    <t>Cashew nuts production, with a favourable market until recent years, has been helping rural households to improve the quality of their houses. Fishing and fish trading has also been helping many to improve the quality of their accommodations.</t>
  </si>
  <si>
    <t>Most households have no latrines and no access to potable water. In rural areas many wells are shallow, dug with basic tools, and they often run dry by the end of the dry season. Deep wells with pumps are extremely rare.</t>
  </si>
  <si>
    <t>Many rural villages have no primary school or state-paid teachers; in these cases, parents try to raise funds to construct improvised schools and collect enough money to pay a teacher’s salary. However, most teachers lack professional training, and some nor even have completed secondary school.</t>
  </si>
  <si>
    <t>The lack of secondary and/or vocational schools in the vicinity is a major complaint of both parents and young people.</t>
  </si>
  <si>
    <t>Although the income from fishing and trading is decreasing due to overexploitation of the aquatic resources, and potential earnings are further limited by a lack of training and absence of state support to subsidized inputs, many fishers and fishmongers have nevertheless been able to use the value chain to improve their livelihoods (buying land, building decent homes, or paying for the education of their children).</t>
  </si>
  <si>
    <t>Considering the lack of professional professional training, some fishermen who migrated to neighbouring countries in search of better paid jobs were forced to return penniless, and the chances of sailors securing permanent contracts on European vessels are non-existent.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</si>
</sst>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
      <sz val="11"/>
      <name val="Aptos"/>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1">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6" fillId="21" borderId="22"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0" xfId="0" applyFont="1" applyAlignment="1" applyProtection="1">
      <alignment horizontal="left" vertical="center"/>
      <protection locked="0"/>
    </xf>
    <xf numFmtId="0" fontId="7" fillId="0" borderId="72" xfId="0" applyFont="1" applyBorder="1" applyAlignment="1" applyProtection="1">
      <alignment horizontal="center" vertical="top"/>
      <protection locked="0"/>
    </xf>
    <xf numFmtId="0" fontId="7" fillId="0" borderId="74" xfId="0" applyFont="1" applyBorder="1" applyAlignment="1" applyProtection="1">
      <alignment horizontal="center" vertical="top"/>
      <protection locked="0"/>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10" fillId="0" borderId="47" xfId="0" applyFont="1" applyBorder="1" applyAlignment="1" applyProtection="1">
      <alignment vertical="top" wrapText="1"/>
      <protection locked="0"/>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xf numFmtId="0" fontId="36" fillId="7" borderId="64" xfId="0" applyFont="1" applyFill="1" applyBorder="1" applyAlignment="1" applyProtection="1">
      <alignment vertical="center" wrapText="1"/>
      <protection locked="0"/>
    </xf>
    <xf numFmtId="0" fontId="36" fillId="7" borderId="22" xfId="0" applyFont="1" applyFill="1" applyBorder="1" applyAlignment="1" applyProtection="1">
      <alignment vertical="center" wrapText="1"/>
      <protection locked="0"/>
    </xf>
    <xf numFmtId="0" fontId="36" fillId="7" borderId="47" xfId="0" applyFont="1" applyFill="1" applyBorder="1" applyAlignment="1" applyProtection="1">
      <alignment vertical="center" wrapText="1"/>
      <protection locked="0"/>
    </xf>
    <xf numFmtId="0" fontId="36" fillId="33" borderId="56" xfId="0" applyFont="1" applyFill="1" applyBorder="1" applyAlignment="1" applyProtection="1">
      <alignment vertical="center" wrapText="1"/>
      <protection locked="0"/>
    </xf>
    <xf numFmtId="0" fontId="36" fillId="21" borderId="56" xfId="0" applyFont="1" applyFill="1" applyBorder="1" applyAlignment="1" applyProtection="1">
      <alignment vertical="center" wrapText="1"/>
      <protection locked="0"/>
    </xf>
    <xf numFmtId="0" fontId="36" fillId="21" borderId="22" xfId="0" applyFont="1" applyFill="1" applyBorder="1" applyAlignment="1" applyProtection="1">
      <alignment vertical="center" wrapText="1"/>
      <protection locked="0"/>
    </xf>
    <xf numFmtId="0" fontId="36" fillId="21" borderId="74" xfId="0" applyFont="1" applyFill="1" applyBorder="1" applyAlignment="1" applyProtection="1">
      <alignment vertical="center" wrapText="1"/>
      <protection locked="0"/>
    </xf>
    <xf numFmtId="0" fontId="36" fillId="21" borderId="64" xfId="0" applyFont="1" applyFill="1" applyBorder="1" applyAlignment="1" applyProtection="1">
      <alignment vertical="center" wrapText="1"/>
      <protection locked="0"/>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2.6</c:v>
                </c:pt>
                <c:pt idx="1">
                  <c:v>1.5833333333333333</c:v>
                </c:pt>
                <c:pt idx="2">
                  <c:v>3.12</c:v>
                </c:pt>
                <c:pt idx="3">
                  <c:v>1.625</c:v>
                </c:pt>
                <c:pt idx="4">
                  <c:v>2</c:v>
                </c:pt>
                <c:pt idx="5">
                  <c:v>2.0833333333333335</c:v>
                </c:pt>
              </c:numCache>
            </c:numRef>
          </c:val>
          <c:extLst>
            <c:ext xmlns:c16="http://schemas.microsoft.com/office/drawing/2014/chart" uri="{C3380CC4-5D6E-409C-BE32-E72D297353CC}">
              <c16:uniqueId val="{00000000-0EB5-41CD-8985-371116FCD46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EB5-41CD-8985-371116FCD46E}"/>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pt-PT"/>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pt-PT"/>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evisions/_rels/revisionHeaders.xml.rels><?xml version="1.0" encoding="UTF-8" standalone="yes"?>
<Relationships xmlns="http://schemas.openxmlformats.org/package/2006/relationships"><Relationship Id="rId91" Type="http://schemas.openxmlformats.org/officeDocument/2006/relationships/revisionLog" Target="revisionLog9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5E51F453-7E3A-40A5-B130-B48B173BDA9C}" diskRevisions="1" revisionId="716" version="2">
  <header guid="{5E51F453-7E3A-40A5-B130-B48B173BDA9C}" dateTime="2025-05-16T14:45:07" maxSheetId="5" userName="Marina Temudo" r:id="rId91" minRId="706" maxRId="716">
    <sheetIdMap count="4">
      <sheetId val="1"/>
      <sheetId val="2"/>
      <sheetId val="3"/>
      <sheetId val="4"/>
    </sheetIdMap>
  </header>
</header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06" sId="3">
    <oc r="F90" t="inlineStr">
      <is>
        <t>IN MY EXTENSIVE EXPERIENCE WORKING WITH LOCAL COMMUNITIES, I HAVE NEVER COME ACROSS ANY FARMERS’, FISHERS’, OR TRADERS’ ASSOCIATIONS WITH THE CAPACITY TO NEGOTIATE IN EITHER INPUT OR OUTPUT MARKETS. THIS OBSERVATION IS CONSISTENT WITH EXISTING LITERATURE, WHICH OFTEN HIGHLIGHTS THE LACK OF COLLECTIVE ORGANISATION AND STRUCTURED REPRESENTATION AMONG RURAL PRODUCERS IN GUINEA-BISSAU.</t>
      </is>
    </oc>
    <nc r="F90" t="inlineStr">
      <is>
        <t>In my extensive experience working with local communities, i have never come across any farmers’, fishers’, or traders’ associations with the capacity to negotiate in either input or output markets. This observation is consistent with existing literature, which often highlights the lack of collective organisation and structured representation among rural producers in Guinea-Bissau.</t>
      </is>
    </nc>
  </rcc>
  <rcc rId="707" sId="3">
    <oc r="F93" t="inlineStr">
      <is>
        <t>TO THE BEST OF MY KNOWLEDGE, AND BASED ON THE TESTIMONIES OF FARMERS AND FISHERS, ONLY CASHEW PRODUCERS HAVE ACCESS TO MARKET PRICE INFORMATION THANKS TO THE SYSTEM DEVELOPED BY THE BELAB ENTERPRISE.</t>
      </is>
    </oc>
    <nc r="F93" t="inlineStr">
      <is>
        <t>To the best of my knowledge, and based on the testimonies of farmers and fishers, only cashew producers have access to market price information thanks to the system developed by the BELAB enterprise.</t>
      </is>
    </nc>
  </rcc>
  <rcc rId="708" sId="3">
    <oc r="F98" t="inlineStr">
      <is>
        <t>Yes, WITHIN protected areas, many projects documents REFER TO THE IMPORTANCE OF respectING traditional knowledge. HOWEVER, in practice this is seldom true. OUTSIDE PROTECTED AREAS, taditional ownership rights over marine territories and resources are seldom respected, LEADING TO WIDESPREAD grievances, BOTH against the state for FAILING TO PROTECT THESE RIGHTS and against foreign ACTORS. ADDITIONALLY, THERE IS A GROWING SENSE OF INEQUALITY between inhabitants of protected areas and their neighbours who cannot access any resources inside protected areas, CONTRADICTING FORMER reciprocal USE ARRANGEMENTS.</t>
      </is>
    </oc>
    <nc r="F98" t="inlineStr">
      <is>
        <t>Yes, within protected areas, many projects’ documents refer to the importance of respecting traditional knowledge. However, in practice this is seldom true. Outside protected areas, traditional ownership rights over marine territories and resources are seldom respected, leading to widespread grievances, both against the state for failing to protect these rights and against foreign actors. Additionally, there is a growing sense of inequality between inhabitants of protected areas and their neighbours who cannot access any resources inside protected areas, contradicting former reciprocal use arrangements.</t>
      </is>
    </nc>
  </rcc>
  <rcc rId="709" sId="3">
    <oc r="F99" t="inlineStr">
      <is>
        <t>Yes, SOLIDARITY IS OFTEN OBSERVED during crises, such as shipwecks or major ruptures in mangrove swamp rice fields dikes. HOWEVER, individualism is ON THE RISE, and INCREASING food insecurity LIMITS PEOPLE´s ABILITY TO ENGAGE IN COLLECTIVE ACTIONS, AS THEY ARE OFTEN FORCED to look for PRIORISE alternative sources of income-GENERATING ACTIVITIES when they have time.</t>
      </is>
    </oc>
    <nc r="F99" t="inlineStr">
      <is>
        <t>Yes, solidarity is often observed during crises, such as shipwrecks or major ruptures in mangrove swamp rice fields’ dikes. However, individualism is on the rise and increasing food insecurity limits people´s ability to engage in collective actions, as they are often forced to prioritize alternative sources of income-generating activities when they have time.</t>
      </is>
    </nc>
  </rcc>
  <rcc rId="710" sId="3">
    <oc r="F103" t="inlineStr">
      <is>
        <t>There is no widespread provision of health faciities and services by the state, and most rural inhabitants need to travel (and AFFORD THE COSTS) to REACH the capital city when severily ill. THIS OFTEN INVOLVES EMERGENCY EVACUATIONS THAT SOMETIMES RESULT IN THE PATIENT’S DEATH BEFORE REACHING HOSPITALS, DUE TO POOR TRANSPORT LINKS AND THE DETERIORATED STATE OF THE ROAD INFRASTRUCTURE.</t>
      </is>
    </oc>
    <nc r="F103" t="inlineStr">
      <is>
        <t>There is no widespread provision of health facilities and services by the state, and most rural inhabitants need to travel (and afford the costs) to reach the capital city when severely ill. This often involves emergency evacuations that sometimes result in the patient’s death before reaching hospitals, due to poor transport links and the deteriorated state of the road infrastructure.</t>
      </is>
    </nc>
  </rcc>
  <rcc rId="711" sId="3">
    <oc r="F108" t="inlineStr">
      <is>
        <t>Cashew nuts production,  WITH A FAVOURABLE MARKET UNTIL RECENT YEARS, has been helping rural households to improve the quality of their houses. Fishing and fish trading has also been helping many to improve the quality of their accomodations.</t>
      </is>
    </oc>
    <nc r="F108" t="inlineStr">
      <is>
        <t>Cashew nuts production, with a favourable market until recent years, has been helping rural households to improve the quality of their houses. Fishing and fish trading has also been helping many to improve the quality of their accommodations.</t>
      </is>
    </nc>
  </rcc>
  <rcc rId="712" sId="3">
    <oc r="F109" t="inlineStr">
      <is>
        <t>Most households have no latrines and no access to potable water. In rural areas many wells are SHALLOW, DUG WITH BASIC TOOLS, AND OFTEN run DRY by the end of the dry season. DEEP BOREHOLES ARE EXTREMELY RARE.</t>
      </is>
    </oc>
    <nc r="F109" t="inlineStr">
      <is>
        <t>Most households have no latrines and no access to potable water. In rural areas many wells are shallow, dug with basic tools, and they often run dry by the end of the dry season. Deep wells with pumps are extremely rare.</t>
      </is>
    </nc>
  </rcc>
  <rcc rId="713" sId="3">
    <oc r="F112" t="inlineStr">
      <is>
        <t>Many rural villages have no primary school or STATE-PAID teacherS; in these cases, parents try to raise funds to CONSTRUCT IMPROVISED SCHOOLS and COLLECT enough MONEY to pay A teacher´S salary. However, most teachers LACK OF professional training, and some nor even have completed secondary school.</t>
      </is>
    </oc>
    <nc r="F112" t="inlineStr">
      <is>
        <t>Many rural villages have no primary school or state-paid teachers; in these cases, parents try to raise funds to construct improvised schools and collect enough money to pay a teacher’s salary. However, most teachers lack professional training, and some nor even have completed secondary school.</t>
      </is>
    </nc>
  </rcc>
  <rcc rId="714" sId="3">
    <oc r="F113" t="inlineStr">
      <is>
        <t>THE LACK OF SECONDARY AND/OR VOCATIONAL SCHOOLS IN THE VICINITY is a major complaints of both parents and young people.</t>
      </is>
    </oc>
    <nc r="F113" t="inlineStr">
      <is>
        <t>The lack of secondary and/or vocational schools in the vicinity is a major complaint of both parents and young people.</t>
      </is>
    </nc>
  </rcc>
  <rcc rId="715" sId="3">
    <oc r="F118" t="inlineStr">
      <is>
        <t>Although the income from fishing and trading is decreasing due to overexploitation of the aquatic resources, and potential EARNINGS ARE FURTHER LIMITED by A lack of training and ABSENCE OF state support to subsidized inputs, many fishers and fishmongers have NEVERTHELESS been able to use the value chain to improve their livelihoods (buyING land, builDING DECENT HOMES, or PAYING for the education of their children).</t>
      </is>
    </oc>
    <nc r="F118" t="inlineStr">
      <is>
        <t>Although the income from fishing and trading is decreasing due to overexploitation of the aquatic resources, and potential earnings are further limited by a lack of training and absence of state support to subsidized inputs, many fishers and fishmongers have nevertheless been able to use the value chain to improve their livelihoods (buying land, building decent homes, or paying for the education of their children).</t>
      </is>
    </nc>
  </rcc>
  <rcc rId="716" sId="3">
    <oc r="F119" t="inlineStr">
      <is>
        <t>Considering the lack of professional PROFESSIONAL training, some fishermen who migrated to neighbouring countries in search of better paid jobs were forced to return PENNILESS, and the chances of sailors SECURING permanent contracts on european vessels ARE NON-EXISTENT.</t>
      </is>
    </oc>
    <nc r="F119" t="inlineStr">
      <is>
        <t>Considering the lack of professional professional training, some fishermen who migrated to neighbouring countries in search of better paid jobs were forced to return penniless, and the chances of sailors securing permanent contracts on European vessels are non-existent.</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4" activePane="bottomLeft" state="frozen"/>
      <selection pane="bottomLeft" activeCell="E2" sqref="E2:G2"/>
    </sheetView>
  </sheetViews>
  <sheetFormatPr defaultColWidth="8.81640625" defaultRowHeight="12.5" x14ac:dyDescent="0.25"/>
  <cols>
    <col min="1" max="1" width="20" customWidth="1"/>
    <col min="2" max="2" width="13.1796875" customWidth="1"/>
    <col min="3" max="3" width="14.1796875" customWidth="1"/>
    <col min="4" max="4" width="10.453125" customWidth="1"/>
    <col min="5" max="5" width="8.453125" customWidth="1"/>
    <col min="6" max="6" width="13.453125" customWidth="1"/>
    <col min="7" max="7" width="11.1796875" customWidth="1"/>
    <col min="9" max="9" width="10.81640625" hidden="1" customWidth="1"/>
  </cols>
  <sheetData>
    <row r="1" spans="1:10" ht="22.5" customHeight="1" thickBot="1" x14ac:dyDescent="0.35">
      <c r="A1" s="442" t="s">
        <v>208</v>
      </c>
      <c r="B1" s="443"/>
      <c r="C1" s="444"/>
      <c r="D1" s="386" t="s">
        <v>26</v>
      </c>
      <c r="E1" s="316"/>
      <c r="F1" s="413" t="s">
        <v>217</v>
      </c>
      <c r="G1" s="414"/>
      <c r="I1" s="215"/>
    </row>
    <row r="2" spans="1:10" ht="16.5" customHeight="1" thickBot="1" x14ac:dyDescent="0.35">
      <c r="A2" s="388"/>
      <c r="B2" s="111"/>
      <c r="C2" s="111"/>
      <c r="D2" s="317" t="s">
        <v>123</v>
      </c>
      <c r="E2" s="415" t="s">
        <v>218</v>
      </c>
      <c r="F2" s="415"/>
      <c r="G2" s="416"/>
    </row>
    <row r="3" spans="1:10" ht="18" customHeight="1" thickBot="1" x14ac:dyDescent="0.35">
      <c r="A3" s="15" t="s">
        <v>24</v>
      </c>
      <c r="B3" s="417">
        <v>45752</v>
      </c>
      <c r="C3" s="418"/>
      <c r="D3" s="16"/>
      <c r="G3" s="14"/>
      <c r="J3" s="274"/>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 hidden="1" thickBot="1" x14ac:dyDescent="0.3">
      <c r="A11" s="13"/>
      <c r="G11" s="14"/>
    </row>
    <row r="12" spans="1:10" ht="13.5" thickBot="1" x14ac:dyDescent="0.35">
      <c r="A12" s="434" t="s">
        <v>82</v>
      </c>
      <c r="B12" s="435"/>
      <c r="C12" s="438" t="s">
        <v>83</v>
      </c>
      <c r="D12" s="439"/>
      <c r="E12" s="419" t="s">
        <v>7</v>
      </c>
      <c r="F12" s="17" t="s">
        <v>84</v>
      </c>
      <c r="G12" s="18" t="str">
        <f>Register!H3</f>
        <v>../../20..</v>
      </c>
    </row>
    <row r="13" spans="1:10" ht="13.5" thickBot="1" x14ac:dyDescent="0.35">
      <c r="A13" s="436"/>
      <c r="B13" s="437"/>
      <c r="C13" s="84" t="s">
        <v>86</v>
      </c>
      <c r="D13" s="85" t="s">
        <v>87</v>
      </c>
      <c r="E13" s="420"/>
      <c r="F13" s="19" t="s">
        <v>86</v>
      </c>
      <c r="G13" s="20" t="s">
        <v>87</v>
      </c>
      <c r="I13" s="216" t="s">
        <v>15</v>
      </c>
    </row>
    <row r="14" spans="1:10" ht="14" x14ac:dyDescent="0.25">
      <c r="A14" s="424" t="str">
        <f>Register!A5</f>
        <v>1. WORKING CONDITIONS</v>
      </c>
      <c r="B14" s="425"/>
      <c r="C14" s="318" t="str">
        <f>Register!C10</f>
        <v>Substantial</v>
      </c>
      <c r="D14" s="302">
        <f>Register!B10</f>
        <v>2.6</v>
      </c>
      <c r="E14" s="303" t="str">
        <f>Register!D10</f>
        <v>↑</v>
      </c>
      <c r="F14" s="21" t="str">
        <f>Register!I10</f>
        <v>Not at all</v>
      </c>
      <c r="G14" s="309">
        <f>Register!H10</f>
        <v>0</v>
      </c>
      <c r="I14" s="217" t="e">
        <f>Register!#REF!</f>
        <v>#REF!</v>
      </c>
    </row>
    <row r="15" spans="1:10" ht="14" x14ac:dyDescent="0.25">
      <c r="A15" s="426" t="str">
        <f>Register!A11</f>
        <v>2. LAND &amp; WATER RIGHTS</v>
      </c>
      <c r="B15" s="427"/>
      <c r="C15" s="319" t="str">
        <f>Register!C15</f>
        <v>Moderate/Low</v>
      </c>
      <c r="D15" s="304">
        <f>Register!B15</f>
        <v>1.5833333333333333</v>
      </c>
      <c r="E15" s="305" t="str">
        <f>Register!D15</f>
        <v>↑</v>
      </c>
      <c r="F15" s="22" t="str">
        <f>Register!I15</f>
        <v>Not at all</v>
      </c>
      <c r="G15" s="310">
        <f>Register!H15</f>
        <v>0</v>
      </c>
      <c r="I15" s="218" t="e">
        <f>Register!#REF!</f>
        <v>#REF!</v>
      </c>
    </row>
    <row r="16" spans="1:10" ht="14" x14ac:dyDescent="0.25">
      <c r="A16" s="428" t="str">
        <f>Register!A16</f>
        <v>3. GENDER EQUALITY</v>
      </c>
      <c r="B16" s="429"/>
      <c r="C16" s="319" t="str">
        <f>Register!C22</f>
        <v>Substantial</v>
      </c>
      <c r="D16" s="304">
        <f>Register!B22</f>
        <v>3.12</v>
      </c>
      <c r="E16" s="305" t="str">
        <f>Register!D22</f>
        <v>↑</v>
      </c>
      <c r="F16" s="22" t="str">
        <f>Register!I22</f>
        <v>Not at all</v>
      </c>
      <c r="G16" s="310">
        <f>Register!H22</f>
        <v>0</v>
      </c>
      <c r="I16" s="218" t="e">
        <f>Register!#REF!</f>
        <v>#REF!</v>
      </c>
    </row>
    <row r="17" spans="1:9" ht="14" x14ac:dyDescent="0.25">
      <c r="A17" s="430" t="str">
        <f>Register!A23</f>
        <v>4. FOOD AND NUTRITION SECURITY</v>
      </c>
      <c r="B17" s="431"/>
      <c r="C17" s="319" t="str">
        <f>Register!C28</f>
        <v>Moderate/Low</v>
      </c>
      <c r="D17" s="304">
        <f>Register!B28</f>
        <v>1.625</v>
      </c>
      <c r="E17" s="305" t="str">
        <f>Register!D28</f>
        <v>↑</v>
      </c>
      <c r="F17" s="22" t="str">
        <f>Register!I28</f>
        <v>Not at all</v>
      </c>
      <c r="G17" s="310">
        <f>Register!H28</f>
        <v>0</v>
      </c>
      <c r="I17" s="218" t="e">
        <f>Register!#REF!</f>
        <v>#REF!</v>
      </c>
    </row>
    <row r="18" spans="1:9" ht="14" x14ac:dyDescent="0.25">
      <c r="A18" s="440" t="str">
        <f>Register!A29</f>
        <v>5. SOCIAL CAPITAL</v>
      </c>
      <c r="B18" s="441"/>
      <c r="C18" s="319" t="str">
        <f>Register!C33</f>
        <v>Moderate/Low</v>
      </c>
      <c r="D18" s="306">
        <f>Register!B33</f>
        <v>2</v>
      </c>
      <c r="E18" s="305" t="str">
        <f>Register!D33</f>
        <v>↑</v>
      </c>
      <c r="F18" s="296" t="str">
        <f>Register!I33</f>
        <v>Not at all</v>
      </c>
      <c r="G18" s="310">
        <f>Register!H33</f>
        <v>0</v>
      </c>
      <c r="I18" s="295"/>
    </row>
    <row r="19" spans="1:9" ht="14.5" thickBot="1" x14ac:dyDescent="0.3">
      <c r="A19" s="432" t="str">
        <f>Register!A34</f>
        <v>6. LIVING CONDITIONS</v>
      </c>
      <c r="B19" s="433"/>
      <c r="C19" s="320" t="str">
        <f>Register!C39</f>
        <v>Moderate/Low</v>
      </c>
      <c r="D19" s="307">
        <f>Register!B39</f>
        <v>2.0833333333333335</v>
      </c>
      <c r="E19" s="308" t="str">
        <f>Register!D39</f>
        <v>↑</v>
      </c>
      <c r="F19" s="23" t="str">
        <f>Register!I39</f>
        <v>Not at all</v>
      </c>
      <c r="G19" s="311">
        <f>Register!H39</f>
        <v>0</v>
      </c>
      <c r="I19" s="219" t="e">
        <f>Register!#REF!</f>
        <v>#REF!</v>
      </c>
    </row>
    <row r="20" spans="1:9" s="25" customFormat="1" ht="9" customHeight="1" thickBot="1" x14ac:dyDescent="0.3">
      <c r="A20" s="24"/>
      <c r="E20"/>
      <c r="F20"/>
      <c r="G20" s="14"/>
      <c r="I20" s="220" t="e">
        <f>AVERAGE(I14:I19)</f>
        <v>#REF!</v>
      </c>
    </row>
    <row r="21" spans="1:9" ht="13.5" thickBot="1" x14ac:dyDescent="0.35">
      <c r="A21" s="421" t="s">
        <v>8</v>
      </c>
      <c r="B21" s="422"/>
      <c r="C21" s="422"/>
      <c r="D21" s="422"/>
      <c r="E21" s="422"/>
      <c r="F21" s="422"/>
      <c r="G21" s="423"/>
    </row>
    <row r="22" spans="1:9" ht="107.25" customHeight="1" thickBot="1" x14ac:dyDescent="0.3">
      <c r="A22" s="400"/>
      <c r="B22" s="401"/>
      <c r="C22" s="401"/>
      <c r="D22" s="401"/>
      <c r="E22" s="401"/>
      <c r="F22" s="401"/>
      <c r="G22" s="402"/>
    </row>
    <row r="23" spans="1:9" ht="7.5" customHeight="1" thickBot="1" x14ac:dyDescent="0.3">
      <c r="A23" s="13"/>
      <c r="G23" s="14"/>
    </row>
    <row r="24" spans="1:9" ht="13.5" thickBot="1" x14ac:dyDescent="0.35">
      <c r="A24" s="403" t="s">
        <v>88</v>
      </c>
      <c r="B24" s="404"/>
      <c r="C24" s="404"/>
      <c r="D24" s="411"/>
      <c r="E24" s="411"/>
      <c r="F24" s="411"/>
      <c r="G24" s="412"/>
    </row>
    <row r="25" spans="1:9" ht="105.75" customHeight="1" thickBot="1" x14ac:dyDescent="0.3">
      <c r="A25" s="400"/>
      <c r="B25" s="406"/>
      <c r="C25" s="406"/>
      <c r="D25" s="406"/>
      <c r="E25" s="406"/>
      <c r="F25" s="406"/>
      <c r="G25" s="407"/>
    </row>
    <row r="26" spans="1:9" ht="13.5" thickBot="1" x14ac:dyDescent="0.35">
      <c r="A26" s="403" t="s">
        <v>89</v>
      </c>
      <c r="B26" s="404"/>
      <c r="C26" s="404"/>
      <c r="D26" s="404"/>
      <c r="E26" s="404"/>
      <c r="F26" s="404"/>
      <c r="G26" s="405"/>
    </row>
    <row r="27" spans="1:9" ht="83.25" customHeight="1" thickBot="1" x14ac:dyDescent="0.3">
      <c r="A27" s="408"/>
      <c r="B27" s="409"/>
      <c r="C27" s="409"/>
      <c r="D27" s="409"/>
      <c r="E27" s="409"/>
      <c r="F27" s="409"/>
      <c r="G27" s="410"/>
    </row>
    <row r="28" spans="1:9" ht="13.5" thickBot="1" x14ac:dyDescent="0.35">
      <c r="A28" s="403" t="s">
        <v>16</v>
      </c>
      <c r="B28" s="404"/>
      <c r="C28" s="404"/>
      <c r="D28" s="404"/>
      <c r="E28" s="404"/>
      <c r="F28" s="404"/>
      <c r="G28" s="405"/>
    </row>
    <row r="29" spans="1:9" ht="83.25" customHeight="1" thickBot="1" x14ac:dyDescent="0.3">
      <c r="A29" s="400"/>
      <c r="B29" s="401"/>
      <c r="C29" s="401"/>
      <c r="D29" s="401"/>
      <c r="E29" s="401"/>
      <c r="F29" s="401"/>
      <c r="G29" s="402"/>
    </row>
  </sheetData>
  <sheetProtection password="CC15" sheet="1" objects="1" scenarios="1" formatRows="0"/>
  <customSheetViews>
    <customSheetView guid="{A7FD2B08-B74C-4011-B35C-4B9B50711590}" showPageBreaks="1" printArea="1" hiddenRows="1" hiddenColumns="1" view="pageBreakPreview">
      <pane ySplit="3" topLeftCell="A4" activePane="bottomLeft" state="frozen"/>
      <selection pane="bottomLeft" activeCell="E2" sqref="E2:G2"/>
      <colBreaks count="1" manualBreakCount="1">
        <brk id="7" max="1048575" man="1"/>
      </colBreaks>
      <pageMargins left="0.70866141732283472" right="0.70866141732283472" top="0.74803149606299213" bottom="0.74803149606299213" header="0.31496062992125984" footer="0.31496062992125984"/>
      <pageSetup paperSize="9" scale="97" orientation="portrait" r:id="rId1"/>
      <headerFooter alignWithMargins="0"/>
    </customSheetView>
    <customSheetView guid="{32B0C26A-BAF8-434F-BC5C-F8117C433B50}" showPageBreaks="1" printArea="1" hiddenRows="1" hiddenColumns="1" view="pageBreakPreview">
      <pane ySplit="3" topLeftCell="A4" activePane="bottomLeft" state="frozen"/>
      <selection pane="bottomLeft" activeCell="E2" sqref="E2:G2"/>
      <colBreaks count="1" manualBreakCount="1">
        <brk id="7" max="1048575" man="1"/>
      </colBreaks>
      <pageMargins left="0.70866141732283472" right="0.70866141732283472" top="0.74803149606299213" bottom="0.74803149606299213" header="0.31496062992125984" footer="0.31496062992125984"/>
      <pageSetup paperSize="9" scale="97" orientation="portrait" r:id="rId2"/>
      <headerFooter alignWithMargins="0"/>
    </customSheetView>
  </customSheetViews>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3"/>
  <headerFooter alignWithMargins="0"/>
  <colBreaks count="1" manualBreakCount="1">
    <brk id="7" max="1048575" man="1"/>
  </colBreaks>
  <drawing r:id="rId4"/>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topLeftCell="B1" zoomScale="90" zoomScaleNormal="90" zoomScaleSheetLayoutView="100" workbookViewId="0">
      <pane ySplit="4" topLeftCell="A7" activePane="bottomLeft" state="frozen"/>
      <selection pane="bottomLeft" activeCell="G21" sqref="G21"/>
    </sheetView>
  </sheetViews>
  <sheetFormatPr defaultColWidth="8.81640625" defaultRowHeight="12.5" x14ac:dyDescent="0.25"/>
  <cols>
    <col min="1" max="1" width="36.81640625" customWidth="1"/>
    <col min="2" max="2" width="10.1796875" style="264" customWidth="1"/>
    <col min="3" max="3" width="15.1796875" style="25" customWidth="1"/>
    <col min="4" max="4" width="6.1796875" style="25" customWidth="1"/>
    <col min="5" max="5" width="66.453125" customWidth="1"/>
    <col min="6" max="7" width="39.1796875" customWidth="1"/>
    <col min="8" max="8" width="6" style="264" customWidth="1"/>
    <col min="9" max="9" width="14.1796875" style="25" customWidth="1"/>
    <col min="10" max="10" width="8.81640625" hidden="1" customWidth="1"/>
    <col min="11" max="11" width="9.1796875" hidden="1" customWidth="1"/>
    <col min="12" max="12" width="14.81640625" hidden="1" customWidth="1"/>
    <col min="13" max="13" width="9.1796875" hidden="1" customWidth="1"/>
    <col min="14" max="14" width="9.1796875" customWidth="1"/>
  </cols>
  <sheetData>
    <row r="1" spans="1:15" s="103" customFormat="1" ht="27.75" customHeight="1" thickBot="1" x14ac:dyDescent="0.4">
      <c r="A1" s="449" t="str">
        <f>Profile!F1</f>
        <v>Fisheries</v>
      </c>
      <c r="B1" s="450"/>
      <c r="C1" s="355" t="s">
        <v>21</v>
      </c>
      <c r="D1" s="445" t="str">
        <f>Profile!E2</f>
        <v>Guinea-Bissau</v>
      </c>
      <c r="E1" s="446"/>
      <c r="F1" s="353" t="s">
        <v>25</v>
      </c>
      <c r="G1" s="354">
        <f>Profile!B3</f>
        <v>45752</v>
      </c>
      <c r="H1" s="447" t="s">
        <v>79</v>
      </c>
      <c r="I1" s="448"/>
      <c r="M1" s="104"/>
    </row>
    <row r="2" spans="1:15" s="103" customFormat="1" ht="10.5" customHeight="1" x14ac:dyDescent="0.25">
      <c r="A2" s="453" t="s">
        <v>9</v>
      </c>
      <c r="B2" s="465" t="s">
        <v>87</v>
      </c>
      <c r="C2" s="468" t="s">
        <v>86</v>
      </c>
      <c r="D2" s="456" t="s">
        <v>7</v>
      </c>
      <c r="E2" s="462" t="s">
        <v>10</v>
      </c>
      <c r="F2" s="456" t="s">
        <v>17</v>
      </c>
      <c r="G2" s="459" t="s">
        <v>85</v>
      </c>
      <c r="H2" s="447" t="s">
        <v>81</v>
      </c>
      <c r="I2" s="448"/>
      <c r="M2" s="104"/>
    </row>
    <row r="3" spans="1:15" s="104" customFormat="1" ht="13.5" customHeight="1" thickBot="1" x14ac:dyDescent="0.3">
      <c r="A3" s="454"/>
      <c r="B3" s="466"/>
      <c r="C3" s="469"/>
      <c r="D3" s="457"/>
      <c r="E3" s="463"/>
      <c r="F3" s="457"/>
      <c r="G3" s="460"/>
      <c r="H3" s="451" t="s">
        <v>80</v>
      </c>
      <c r="I3" s="452"/>
      <c r="L3" s="105" t="str">
        <f>Questionnaire!$N$3</f>
        <v>High</v>
      </c>
      <c r="M3" s="104" t="s">
        <v>19</v>
      </c>
    </row>
    <row r="4" spans="1:15" s="106" customFormat="1" ht="13.5" thickBot="1" x14ac:dyDescent="0.3">
      <c r="A4" s="455"/>
      <c r="B4" s="467"/>
      <c r="C4" s="470"/>
      <c r="D4" s="458"/>
      <c r="E4" s="464"/>
      <c r="F4" s="458"/>
      <c r="G4" s="461"/>
      <c r="H4" s="82" t="s">
        <v>1</v>
      </c>
      <c r="I4" s="83" t="s">
        <v>6</v>
      </c>
      <c r="L4" s="105" t="str">
        <f>Questionnaire!$N$4</f>
        <v>Substantial</v>
      </c>
      <c r="M4" s="104" t="s">
        <v>3</v>
      </c>
    </row>
    <row r="5" spans="1:15" s="104" customFormat="1" ht="15" customHeight="1" thickBot="1" x14ac:dyDescent="0.3">
      <c r="A5" s="51" t="str">
        <f>Questionnaire!$A$3</f>
        <v>1. WORKING CONDITIONS</v>
      </c>
      <c r="B5" s="52"/>
      <c r="C5" s="52"/>
      <c r="D5" s="52"/>
      <c r="E5" s="53"/>
      <c r="F5" s="53"/>
      <c r="G5" s="53"/>
      <c r="H5" s="53"/>
      <c r="I5" s="268"/>
      <c r="L5" s="105" t="str">
        <f>Questionnaire!$N$5</f>
        <v>Moderate/Low</v>
      </c>
      <c r="M5" s="104" t="s">
        <v>20</v>
      </c>
    </row>
    <row r="6" spans="1:15" s="107" customFormat="1" ht="112" x14ac:dyDescent="0.25">
      <c r="A6" s="54" t="str">
        <f>Questionnaire!$A$4</f>
        <v>1.1 Respect of labour rights</v>
      </c>
      <c r="B6" s="321">
        <f>Questionnaire!J10</f>
        <v>2.4</v>
      </c>
      <c r="C6" s="322" t="str">
        <f>IF(B6&lt;1.5,$L$6,IF(B6&lt;2.5,$L$5,IF(B6&lt;3.5,$L$4,IF(B6&lt;4.5,$L$3,"n/a"))))</f>
        <v>Moderate/Low</v>
      </c>
      <c r="D6" s="323" t="str">
        <f>IF(H6&lt;B6,"↑",IF(H6&gt;B6,"↓","↔"))</f>
        <v>↑</v>
      </c>
      <c r="E6" s="2" t="s">
        <v>251</v>
      </c>
      <c r="F6" s="1" t="s">
        <v>252</v>
      </c>
      <c r="G6" s="1"/>
      <c r="H6" s="225">
        <v>0</v>
      </c>
      <c r="I6" s="267" t="str">
        <f>IF(H6&lt;1.5,$L$6,IF(H6&lt;2.5,$L$5,IF(H6&lt;3.5,$L$4,IF(H6&lt;4.5,$L$3,"n/a"))))</f>
        <v>Not at all</v>
      </c>
      <c r="K6" s="107" t="s">
        <v>11</v>
      </c>
      <c r="L6" s="105" t="str">
        <f>Questionnaire!$N$6</f>
        <v>Not at all</v>
      </c>
      <c r="M6" s="107" t="s">
        <v>4</v>
      </c>
    </row>
    <row r="7" spans="1:15" s="107" customFormat="1" ht="98" x14ac:dyDescent="0.25">
      <c r="A7" s="55" t="str">
        <f>Questionnaire!$A$11</f>
        <v>1.2 Child Labour</v>
      </c>
      <c r="B7" s="324">
        <f>Questionnaire!J14</f>
        <v>3</v>
      </c>
      <c r="C7" s="325" t="str">
        <f>IF(B7&lt;1.5,$L$6,IF(B7&lt;2.5,$L$5,IF(B7&lt;3.5,$L$4,IF(B7&lt;4.5,$L$3,"n/a"))))</f>
        <v>Substantial</v>
      </c>
      <c r="D7" s="326" t="str">
        <f>IF(H7&lt;B7,"↑",IF(H7&gt;B7,"↓","↔"))</f>
        <v>↑</v>
      </c>
      <c r="E7" s="3" t="s">
        <v>253</v>
      </c>
      <c r="F7" s="3" t="s">
        <v>254</v>
      </c>
      <c r="G7" s="3"/>
      <c r="H7" s="226">
        <v>0</v>
      </c>
      <c r="I7" s="267" t="str">
        <f>IF(H7&lt;1.5,$L$6,IF(H7&lt;2.5,$L$5,IF(H7&lt;3.5,$L$4,IF(H7&lt;4.5,$L$3,"n/a"))))</f>
        <v>Not at all</v>
      </c>
      <c r="K7" s="107" t="s">
        <v>12</v>
      </c>
      <c r="L7" s="105" t="str">
        <f>Questionnaire!$N$7</f>
        <v>n/a</v>
      </c>
    </row>
    <row r="8" spans="1:15" s="107" customFormat="1" ht="112" x14ac:dyDescent="0.25">
      <c r="A8" s="55" t="str">
        <f>Questionnaire!$A$15</f>
        <v>1.3 Job safety</v>
      </c>
      <c r="B8" s="324">
        <f>Questionnaire!J17</f>
        <v>2</v>
      </c>
      <c r="C8" s="327" t="str">
        <f>IF(B8&lt;1.5,$L$6,IF(B8&lt;2.5,$L$5,IF(B8&lt;3.5,$L$4,IF(B8&lt;4.5,$L$3,"n/a"))))</f>
        <v>Moderate/Low</v>
      </c>
      <c r="D8" s="326" t="str">
        <f>IF(H8&lt;B8,"↑",IF(H8&gt;B8,"↓","↔"))</f>
        <v>↑</v>
      </c>
      <c r="E8" s="3" t="s">
        <v>255</v>
      </c>
      <c r="F8" s="3" t="s">
        <v>256</v>
      </c>
      <c r="G8" s="3"/>
      <c r="H8" s="226">
        <v>0</v>
      </c>
      <c r="I8" s="267" t="str">
        <f>IF(H8&lt;1.5,$L$6,IF(H8&lt;2.5,$L$5,IF(H8&lt;3.5,$L$4,IF(H8&lt;4.5,$L$3,"n/a"))))</f>
        <v>Not at all</v>
      </c>
      <c r="K8" s="107" t="s">
        <v>13</v>
      </c>
      <c r="L8" s="105"/>
    </row>
    <row r="9" spans="1:15" s="107" customFormat="1" ht="98.5" thickBot="1" x14ac:dyDescent="0.3">
      <c r="A9" s="56" t="str">
        <f>Questionnaire!$A$18</f>
        <v>1.4 Attractiveness</v>
      </c>
      <c r="B9" s="328">
        <f>Questionnaire!J21</f>
        <v>3</v>
      </c>
      <c r="C9" s="325" t="str">
        <f>IF(B9&lt;1.5,$L$6,IF(B9&lt;2.5,$L$5,IF(B9&lt;3.5,$L$4,IF(B9&lt;4.5,$L$3,"n/a"))))</f>
        <v>Substantial</v>
      </c>
      <c r="D9" s="329" t="str">
        <f>IF(H9&lt;B9,"↑",IF(H9&gt;B9,"↓","↔"))</f>
        <v>↑</v>
      </c>
      <c r="E9" s="4" t="s">
        <v>257</v>
      </c>
      <c r="F9" s="4" t="s">
        <v>258</v>
      </c>
      <c r="G9" s="4"/>
      <c r="H9" s="227">
        <v>0</v>
      </c>
      <c r="I9" s="238" t="str">
        <f>IF(H9&lt;1.5,$L$6,IF(H9&lt;2.5,$L$5,IF(H9&lt;3.5,$L$4,IF(H9&lt;4.5,$L$3,"n/a"))))</f>
        <v>Not at all</v>
      </c>
      <c r="L9" s="105"/>
    </row>
    <row r="10" spans="1:15" s="107" customFormat="1" ht="18" customHeight="1" thickTop="1" thickBot="1" x14ac:dyDescent="0.35">
      <c r="A10" s="57" t="s">
        <v>14</v>
      </c>
      <c r="B10" s="330">
        <f>IF(COUNT(B6:B9)=0,"n/a",(AVERAGE(B6:B9)))</f>
        <v>2.6</v>
      </c>
      <c r="C10" s="387" t="str">
        <f>IF(B10&lt;1.5,$L$6,IF(B10&lt;2.5,$L$5,IF(B10&lt;3.5,$L$4,IF(B10&lt;4.5,$L$3,"n/a"))))</f>
        <v>Substantial</v>
      </c>
      <c r="D10" s="331" t="str">
        <f>IF(H10&lt;B10,"↑",IF(H10&gt;B10,"↓","↔"))</f>
        <v>↑</v>
      </c>
      <c r="E10" s="11"/>
      <c r="F10" s="108"/>
      <c r="G10" s="108"/>
      <c r="H10" s="12">
        <f>AVERAGE(H6:H9)</f>
        <v>0</v>
      </c>
      <c r="I10" s="266" t="str">
        <f>IF(H10&lt;1.5,$L$6,IF(H10&lt;2.5,$L$5,IF(H10&lt;3.5,$L$4,IF(H10&lt;4.5,$L$3,"n/a"))))</f>
        <v>Not at all</v>
      </c>
      <c r="O10" s="274"/>
    </row>
    <row r="11" spans="1:15" s="107" customFormat="1" ht="15" customHeight="1" thickBot="1" x14ac:dyDescent="0.3">
      <c r="A11" s="58" t="str">
        <f>Questionnaire!$A$22</f>
        <v>2. LAND &amp; WATER RIGHTS</v>
      </c>
      <c r="B11" s="332"/>
      <c r="C11" s="332"/>
      <c r="D11" s="333"/>
      <c r="E11" s="59"/>
      <c r="F11" s="59"/>
      <c r="G11" s="59"/>
      <c r="H11" s="59"/>
      <c r="I11" s="269"/>
    </row>
    <row r="12" spans="1:15" s="107" customFormat="1" ht="135" customHeight="1" x14ac:dyDescent="0.25">
      <c r="A12" s="60" t="str">
        <f>Questionnaire!$A$23</f>
        <v xml:space="preserve">2.1 Adherence to VGGT </v>
      </c>
      <c r="B12" s="334">
        <f>Questionnaire!J26</f>
        <v>1.5</v>
      </c>
      <c r="C12" s="335" t="str">
        <f>IF(B12&lt;1.5,$L$6,IF(B12&lt;2.5,$L$5,IF(B12&lt;3.5,$L$4,IF(B12&lt;4.5,$L$3,"n/a"))))</f>
        <v>Moderate/Low</v>
      </c>
      <c r="D12" s="326" t="str">
        <f>IF(H12&lt;B12,"↑",IF(H12&gt;B12,"↓","↔"))</f>
        <v>↑</v>
      </c>
      <c r="E12" s="5" t="s">
        <v>259</v>
      </c>
      <c r="F12" s="1" t="s">
        <v>260</v>
      </c>
      <c r="G12" s="1"/>
      <c r="H12" s="225">
        <v>0</v>
      </c>
      <c r="I12" s="267" t="str">
        <f>IF(H12&lt;1.5,$L$6,IF(H12&lt;2.5,$L$5,IF(H12&lt;3.5,$L$4,IF(H12&lt;4.5,$L$3,"n/a"))))</f>
        <v>Not at all</v>
      </c>
    </row>
    <row r="13" spans="1:15" s="107" customFormat="1" ht="155.4" customHeight="1" x14ac:dyDescent="0.25">
      <c r="A13" s="61" t="str">
        <f>Questionnaire!$A$27</f>
        <v>2.2 Transparency, participation and consultation</v>
      </c>
      <c r="B13" s="336">
        <f>Questionnaire!J32</f>
        <v>2</v>
      </c>
      <c r="C13" s="327" t="str">
        <f>IF(B13&lt;1.5,$L$6,IF(B13&lt;2.5,$L$5,IF(B13&lt;3.5,$L$4,IF(B13&lt;4.5,$L$3,"n/a"))))</f>
        <v>Moderate/Low</v>
      </c>
      <c r="D13" s="326" t="str">
        <f>IF(H13&lt;B13,"↑",IF(H13&gt;B13,"↓","↔"))</f>
        <v>↑</v>
      </c>
      <c r="E13" s="6" t="s">
        <v>261</v>
      </c>
      <c r="F13" s="3" t="s">
        <v>262</v>
      </c>
      <c r="G13" s="3"/>
      <c r="H13" s="226">
        <v>0</v>
      </c>
      <c r="I13" s="267" t="str">
        <f>IF(H13&lt;1.5,$L$6,IF(H13&lt;2.5,$L$5,IF(H13&lt;3.5,$L$4,IF(H13&lt;4.5,$L$3,"n/a"))))</f>
        <v>Not at all</v>
      </c>
    </row>
    <row r="14" spans="1:15" s="107" customFormat="1" ht="114.65" customHeight="1" thickBot="1" x14ac:dyDescent="0.3">
      <c r="A14" s="62" t="str">
        <f>Questionnaire!$A$33</f>
        <v>2.3  Equity,compensation and justice</v>
      </c>
      <c r="B14" s="337">
        <f>Questionnaire!J38</f>
        <v>1.25</v>
      </c>
      <c r="C14" s="325" t="str">
        <f>IF(B14&lt;1.5,$L$6,IF(B14&lt;2.5,$L$5,IF(B14&lt;3.5,$L$4,IF(B14&lt;4.5,$L$3,"n/a"))))</f>
        <v>Not at all</v>
      </c>
      <c r="D14" s="329" t="str">
        <f>IF(H14&lt;B14,"↑",IF(H14&gt;B14,"↓","↔"))</f>
        <v>↑</v>
      </c>
      <c r="E14" s="7" t="s">
        <v>263</v>
      </c>
      <c r="F14" s="4" t="s">
        <v>264</v>
      </c>
      <c r="G14" s="4"/>
      <c r="H14" s="227">
        <v>0</v>
      </c>
      <c r="I14" s="238" t="str">
        <f>IF(H14&lt;1.5,$L$6,IF(H14&lt;2.5,$L$5,IF(H14&lt;3.5,$L$4,IF(H14&lt;4.5,$L$3,"n/a"))))</f>
        <v>Not at all</v>
      </c>
    </row>
    <row r="15" spans="1:15" s="104" customFormat="1" ht="13.5" thickTop="1" thickBot="1" x14ac:dyDescent="0.3">
      <c r="A15" s="63" t="s">
        <v>14</v>
      </c>
      <c r="B15" s="338">
        <f>IF(COUNT(B12:B14)=0,"n/a",(AVERAGE(B12:B14)))</f>
        <v>1.5833333333333333</v>
      </c>
      <c r="C15" s="339" t="str">
        <f>IF(B15&lt;1.5,$L$6,IF(B15&lt;2.5,$L$5,IF(B15&lt;3.5,$L$4,IF(B15&lt;4.5,$L$3,"n/a"))))</f>
        <v>Moderate/Low</v>
      </c>
      <c r="D15" s="331" t="str">
        <f>IF(H15&lt;B15,"↑",IF(H15&gt;B15,"↓","↔"))</f>
        <v>↑</v>
      </c>
      <c r="E15" s="108"/>
      <c r="F15" s="108"/>
      <c r="G15" s="108"/>
      <c r="H15" s="10">
        <f>AVERAGE(H12:H14)</f>
        <v>0</v>
      </c>
      <c r="I15" s="266" t="str">
        <f>IF(H15&lt;1.5,$L$6,IF(H15&lt;2.5,$L$5,IF(H15&lt;3.5,$L$4,IF(H15&lt;4.5,$L$3,"n/a"))))</f>
        <v>Not at all</v>
      </c>
    </row>
    <row r="16" spans="1:15" s="107" customFormat="1" ht="15" customHeight="1" thickBot="1" x14ac:dyDescent="0.3">
      <c r="A16" s="64" t="str">
        <f>Questionnaire!$A$39</f>
        <v>3. GENDER EQUALITY</v>
      </c>
      <c r="B16" s="332"/>
      <c r="C16" s="332"/>
      <c r="D16" s="332"/>
      <c r="E16" s="65"/>
      <c r="F16" s="65"/>
      <c r="G16" s="65"/>
      <c r="H16" s="65"/>
      <c r="I16" s="270"/>
    </row>
    <row r="17" spans="1:9" s="107" customFormat="1" ht="84" x14ac:dyDescent="0.25">
      <c r="A17" s="66" t="str">
        <f>Questionnaire!$A$40</f>
        <v>3.1 Economic activities</v>
      </c>
      <c r="B17" s="334">
        <f>Questionnaire!J43</f>
        <v>4</v>
      </c>
      <c r="C17" s="335" t="str">
        <f t="shared" ref="C17:C22" si="0">IF(B17&lt;1.5,$L$6,IF(B17&lt;2.5,$L$5,IF(B17&lt;3.5,$L$4,IF(B17&lt;4.5,$L$3,"n/a"))))</f>
        <v>High</v>
      </c>
      <c r="D17" s="326" t="str">
        <f>IF(H17&lt;B17,"↑",IF(H17&gt;B17,"↓","↔"))</f>
        <v>↑</v>
      </c>
      <c r="E17" s="5" t="s">
        <v>265</v>
      </c>
      <c r="F17" s="1" t="s">
        <v>290</v>
      </c>
      <c r="G17" s="1"/>
      <c r="H17" s="225">
        <v>0</v>
      </c>
      <c r="I17" s="267" t="str">
        <f t="shared" ref="I17:I22" si="1">IF(H17&lt;1.5,$L$6,IF(H17&lt;2.5,$L$5,IF(H17&lt;3.5,$L$4,IF(H17&lt;4.5,$L$3,"n/a"))))</f>
        <v>Not at all</v>
      </c>
    </row>
    <row r="18" spans="1:9" s="107" customFormat="1" ht="42" x14ac:dyDescent="0.25">
      <c r="A18" s="66" t="str">
        <f>Questionnaire!$A$44</f>
        <v>3.2 Access to resources and services</v>
      </c>
      <c r="B18" s="336">
        <f>Questionnaire!J49</f>
        <v>2.75</v>
      </c>
      <c r="C18" s="340" t="str">
        <f t="shared" si="0"/>
        <v>Substantial</v>
      </c>
      <c r="D18" s="326" t="str">
        <f t="shared" ref="D18:D20" si="2">IF(H18&lt;B18,"↑",IF(H18&gt;B18,"↓","↔"))</f>
        <v>↑</v>
      </c>
      <c r="E18" s="6" t="s">
        <v>266</v>
      </c>
      <c r="F18" s="3" t="s">
        <v>291</v>
      </c>
      <c r="G18" s="3"/>
      <c r="H18" s="226">
        <v>0</v>
      </c>
      <c r="I18" s="267" t="str">
        <f t="shared" si="1"/>
        <v>Not at all</v>
      </c>
    </row>
    <row r="19" spans="1:9" s="107" customFormat="1" ht="32.4" customHeight="1" x14ac:dyDescent="0.25">
      <c r="A19" s="66" t="str">
        <f>Questionnaire!$A$50</f>
        <v>3.3 Decision making</v>
      </c>
      <c r="B19" s="336">
        <f>Questionnaire!J56</f>
        <v>3.6</v>
      </c>
      <c r="C19" s="327" t="str">
        <f t="shared" si="0"/>
        <v>High</v>
      </c>
      <c r="D19" s="341" t="str">
        <f t="shared" si="2"/>
        <v>↑</v>
      </c>
      <c r="E19" s="230" t="s">
        <v>267</v>
      </c>
      <c r="F19" s="3" t="s">
        <v>290</v>
      </c>
      <c r="G19" s="231"/>
      <c r="H19" s="229">
        <v>0</v>
      </c>
      <c r="I19" s="267" t="str">
        <f t="shared" si="1"/>
        <v>Not at all</v>
      </c>
    </row>
    <row r="20" spans="1:9" s="107" customFormat="1" ht="44.4" customHeight="1" x14ac:dyDescent="0.25">
      <c r="A20" s="66" t="str">
        <f>Questionnaire!$A$57</f>
        <v>3.4 Leadership and empowerment</v>
      </c>
      <c r="B20" s="336">
        <f>Questionnaire!J62</f>
        <v>2.75</v>
      </c>
      <c r="C20" s="325" t="str">
        <f t="shared" si="0"/>
        <v>Substantial</v>
      </c>
      <c r="D20" s="326" t="str">
        <f t="shared" si="2"/>
        <v>↑</v>
      </c>
      <c r="E20" s="397" t="s">
        <v>268</v>
      </c>
      <c r="F20" s="81" t="s">
        <v>247</v>
      </c>
      <c r="G20" s="81"/>
      <c r="H20" s="226">
        <v>0</v>
      </c>
      <c r="I20" s="267" t="str">
        <f t="shared" si="1"/>
        <v>Not at all</v>
      </c>
    </row>
    <row r="21" spans="1:9" s="107" customFormat="1" ht="112.5" thickBot="1" x14ac:dyDescent="0.3">
      <c r="A21" s="67" t="str">
        <f>Questionnaire!$A$63</f>
        <v>3.5 Hardship and division of labour</v>
      </c>
      <c r="B21" s="337">
        <f>Questionnaire!J66</f>
        <v>2.5</v>
      </c>
      <c r="C21" s="342" t="str">
        <f t="shared" si="0"/>
        <v>Substantial</v>
      </c>
      <c r="D21" s="329" t="str">
        <f>IF(H21&lt;B21,"↑",IF(H21&gt;B21,"↓","↔"))</f>
        <v>↑</v>
      </c>
      <c r="E21" s="80" t="s">
        <v>269</v>
      </c>
      <c r="F21" s="4"/>
      <c r="G21" s="4"/>
      <c r="H21" s="227">
        <v>0</v>
      </c>
      <c r="I21" s="238" t="str">
        <f t="shared" si="1"/>
        <v>Not at all</v>
      </c>
    </row>
    <row r="22" spans="1:9" s="104" customFormat="1" ht="13.5" thickTop="1" thickBot="1" x14ac:dyDescent="0.3">
      <c r="A22" s="79" t="s">
        <v>14</v>
      </c>
      <c r="B22" s="338">
        <f>IF(COUNT(B17:B21)=0,"n/a",(AVERAGE(B17:B21)))</f>
        <v>3.12</v>
      </c>
      <c r="C22" s="343" t="str">
        <f t="shared" si="0"/>
        <v>Substantial</v>
      </c>
      <c r="D22" s="331" t="str">
        <f>IF(H22&lt;B22,"↑",IF(H22&gt;B22,"↓","↔"))</f>
        <v>↑</v>
      </c>
      <c r="E22" s="108"/>
      <c r="F22" s="108"/>
      <c r="G22" s="108"/>
      <c r="H22" s="10">
        <f>AVERAGE(H17:H21)</f>
        <v>0</v>
      </c>
      <c r="I22" s="266" t="str">
        <f t="shared" si="1"/>
        <v>Not at all</v>
      </c>
    </row>
    <row r="23" spans="1:9" s="107" customFormat="1" ht="15" customHeight="1" thickBot="1" x14ac:dyDescent="0.3">
      <c r="A23" s="50" t="str">
        <f>Questionnaire!$A$67</f>
        <v>4. FOOD AND NUTRITION SECURITY</v>
      </c>
      <c r="B23" s="332"/>
      <c r="C23" s="332"/>
      <c r="D23" s="332"/>
      <c r="E23" s="68"/>
      <c r="F23" s="68"/>
      <c r="G23" s="68"/>
      <c r="H23" s="68"/>
      <c r="I23" s="271"/>
    </row>
    <row r="24" spans="1:9" s="107" customFormat="1" ht="122.4" customHeight="1" x14ac:dyDescent="0.25">
      <c r="A24" s="69" t="str">
        <f>Questionnaire!$A$68</f>
        <v xml:space="preserve">4.1 Availability of food </v>
      </c>
      <c r="B24" s="334">
        <f>Questionnaire!J71</f>
        <v>2.5</v>
      </c>
      <c r="C24" s="335" t="str">
        <f>IF(B24&lt;1.5,$L$6,IF(B24&lt;2.5,$L$5,IF(B24&lt;3.5,$L$4,IF(B24&lt;4.5,$L$3,"n/a"))))</f>
        <v>Substantial</v>
      </c>
      <c r="D24" s="323" t="str">
        <f>IF(H24&lt;B24,"↑",IF(H24&gt;B24,"↓","↔"))</f>
        <v>↑</v>
      </c>
      <c r="E24" s="5" t="s">
        <v>270</v>
      </c>
      <c r="F24" s="1" t="s">
        <v>271</v>
      </c>
      <c r="G24" s="1"/>
      <c r="H24" s="225">
        <v>0</v>
      </c>
      <c r="I24" s="267" t="str">
        <f>IF(H24&lt;1.5,$L$6,IF(H24&lt;2.5,$L$5,IF(H24&lt;3.5,$L$4,IF(H24&lt;4.5,$L$3,"n/a"))))</f>
        <v>Not at all</v>
      </c>
    </row>
    <row r="25" spans="1:9" s="107" customFormat="1" ht="125.4" customHeight="1" x14ac:dyDescent="0.25">
      <c r="A25" s="70" t="str">
        <f>Questionnaire!$A$72</f>
        <v xml:space="preserve">4.2 Accessibility of food </v>
      </c>
      <c r="B25" s="336">
        <f>Questionnaire!J75</f>
        <v>1</v>
      </c>
      <c r="C25" s="327" t="str">
        <f>IF(B25&lt;1.5,$L$6,IF(B25&lt;2.5,$L$5,IF(B25&lt;3.5,$L$4,IF(B25&lt;4.5,$L$3,"n/a"))))</f>
        <v>Not at all</v>
      </c>
      <c r="D25" s="326" t="str">
        <f>IF(H25&lt;B25,"↑",IF(H25&gt;B25,"↓","↔"))</f>
        <v>↑</v>
      </c>
      <c r="E25" s="6" t="s">
        <v>272</v>
      </c>
      <c r="F25" s="3" t="s">
        <v>248</v>
      </c>
      <c r="G25" s="3"/>
      <c r="H25" s="226">
        <v>0</v>
      </c>
      <c r="I25" s="267" t="str">
        <f>IF(H25&lt;1.5,$L$6,IF(H25&lt;2.5,$L$5,IF(H25&lt;3.5,$L$4,IF(H25&lt;4.5,$L$3,"n/a"))))</f>
        <v>Not at all</v>
      </c>
    </row>
    <row r="26" spans="1:9" s="107" customFormat="1" ht="112" x14ac:dyDescent="0.25">
      <c r="A26" s="71" t="str">
        <f>Questionnaire!$A$76</f>
        <v xml:space="preserve">4.3 Utilisation and nutritional adequacy </v>
      </c>
      <c r="B26" s="336">
        <f>Questionnaire!J80</f>
        <v>1</v>
      </c>
      <c r="C26" s="327" t="str">
        <f>IF(B26&lt;1.5,$L$6,IF(B26&lt;2.5,$L$5,IF(B26&lt;3.5,$L$4,IF(B26&lt;4.5,$L$3,"n/a"))))</f>
        <v>Not at all</v>
      </c>
      <c r="D26" s="326" t="str">
        <f>IF(H26&lt;B26,"↑",IF(H26&gt;B26,"↓","↔"))</f>
        <v>↑</v>
      </c>
      <c r="E26" s="6" t="s">
        <v>273</v>
      </c>
      <c r="F26" s="3" t="s">
        <v>274</v>
      </c>
      <c r="G26" s="3"/>
      <c r="H26" s="226">
        <v>0</v>
      </c>
      <c r="I26" s="267" t="str">
        <f>IF(H26&lt;1.5,$L$6,IF(H26&lt;2.5,$L$5,IF(H26&lt;3.5,$L$4,IF(H26&lt;4.5,$L$3,"n/a"))))</f>
        <v>Not at all</v>
      </c>
    </row>
    <row r="27" spans="1:9" s="107" customFormat="1" ht="84.5" thickBot="1" x14ac:dyDescent="0.3">
      <c r="A27" s="72" t="str">
        <f>Questionnaire!$A$81</f>
        <v xml:space="preserve">4.4 Stability </v>
      </c>
      <c r="B27" s="337">
        <f>Questionnaire!J84</f>
        <v>2</v>
      </c>
      <c r="C27" s="325" t="str">
        <f>IF(B27&lt;1.5,$L$6,IF(B27&lt;2.5,$L$5,IF(B27&lt;3.5,$L$4,IF(B27&lt;4.5,$L$3,"n/a"))))</f>
        <v>Moderate/Low</v>
      </c>
      <c r="D27" s="329" t="str">
        <f>IF(H27&lt;B27,"↑",IF(H27&gt;B27,"↓","↔"))</f>
        <v>↑</v>
      </c>
      <c r="E27" s="7" t="s">
        <v>275</v>
      </c>
      <c r="F27" s="4" t="s">
        <v>276</v>
      </c>
      <c r="G27" s="4"/>
      <c r="H27" s="227">
        <v>0</v>
      </c>
      <c r="I27" s="238" t="str">
        <f>IF(H27&lt;1.5,$L$6,IF(H27&lt;2.5,$L$5,IF(H27&lt;3.5,$L$4,IF(H27&lt;4.5,$L$3,"n/a"))))</f>
        <v>Not at all</v>
      </c>
    </row>
    <row r="28" spans="1:9" s="104" customFormat="1" ht="13.5" thickTop="1" thickBot="1" x14ac:dyDescent="0.3">
      <c r="A28" s="73" t="s">
        <v>14</v>
      </c>
      <c r="B28" s="338">
        <f>IF(COUNT(B24:B27)=0,"n/a",(AVERAGE(B24:B27)))</f>
        <v>1.625</v>
      </c>
      <c r="C28" s="339" t="str">
        <f>IF(B28&lt;1.5,$L$6,IF(B28&lt;2.5,$L$5,IF(B28&lt;3.5,$L$4,IF(B28&lt;4.5,$L$3,"n/a"))))</f>
        <v>Moderate/Low</v>
      </c>
      <c r="D28" s="331" t="str">
        <f>IF(H28&lt;B28,"↑",IF(H28&gt;B28,"↓","↔"))</f>
        <v>↑</v>
      </c>
      <c r="E28" s="108"/>
      <c r="F28" s="108"/>
      <c r="G28" s="108"/>
      <c r="H28" s="10">
        <f>AVERAGE(H24:H27)</f>
        <v>0</v>
      </c>
      <c r="I28" s="266" t="str">
        <f>IF(H28&lt;1.5,$L$6,IF(H28&lt;2.5,$L$5,IF(H28&lt;3.5,$L$4,IF(H28&lt;4.5,$L$3,"n/a"))))</f>
        <v>Not at all</v>
      </c>
    </row>
    <row r="29" spans="1:9" s="104" customFormat="1" ht="13.5" thickBot="1" x14ac:dyDescent="0.3">
      <c r="A29" s="294" t="str">
        <f>Questionnaire!$A$85</f>
        <v>5. SOCIAL CAPITAL</v>
      </c>
      <c r="B29" s="344"/>
      <c r="C29" s="345"/>
      <c r="D29" s="345"/>
      <c r="E29" s="286"/>
      <c r="F29" s="286"/>
      <c r="G29" s="286"/>
      <c r="H29" s="287"/>
      <c r="I29" s="288"/>
    </row>
    <row r="30" spans="1:9" s="104" customFormat="1" ht="55.25" customHeight="1" x14ac:dyDescent="0.25">
      <c r="A30" s="291" t="str">
        <f>Questionnaire!$A$86</f>
        <v>5.1 Strength of producer organisations</v>
      </c>
      <c r="B30" s="346">
        <f>Questionnaire!J91</f>
        <v>2</v>
      </c>
      <c r="C30" s="322" t="str">
        <f>IF(B30&lt;1.5,$L$6,IF(B30&lt;2.5,$L$5,IF(B30&lt;3.5,$L$4,IF(B30&lt;4.5,$L$3,"n/a"))))</f>
        <v>Moderate/Low</v>
      </c>
      <c r="D30" s="323" t="str">
        <f t="shared" ref="D30:D32" si="3">IF(H30&lt;B30,"↑",IF(H30&gt;B30,"↓","↔"))</f>
        <v>↑</v>
      </c>
      <c r="E30" s="389" t="s">
        <v>277</v>
      </c>
      <c r="F30" s="390" t="s">
        <v>278</v>
      </c>
      <c r="G30" s="391"/>
      <c r="H30" s="225">
        <v>0</v>
      </c>
      <c r="I30" s="267" t="str">
        <f>IF(H30&lt;1.5,$L$6,IF(H30&lt;2.5,$L$5,IF(H30&lt;3.5,$L$4,IF(H30&lt;4.5,$L$3,"n/a"))))</f>
        <v>Not at all</v>
      </c>
    </row>
    <row r="31" spans="1:9" s="104" customFormat="1" ht="26.4" customHeight="1" x14ac:dyDescent="0.25">
      <c r="A31" s="292" t="str">
        <f>Questionnaire!$A$92</f>
        <v>5.2 Information and confidence</v>
      </c>
      <c r="B31" s="347">
        <f>Questionnaire!J95</f>
        <v>2</v>
      </c>
      <c r="C31" s="327" t="str">
        <f>IF(B31&lt;1.5,$L$6,IF(B31&lt;2.5,$L$5,IF(B31&lt;3.5,$L$4,IF(B31&lt;4.5,$L$3,"n/a"))))</f>
        <v>Moderate/Low</v>
      </c>
      <c r="D31" s="340" t="str">
        <f t="shared" si="3"/>
        <v>↑</v>
      </c>
      <c r="E31" s="392" t="s">
        <v>279</v>
      </c>
      <c r="F31" t="s">
        <v>249</v>
      </c>
      <c r="G31" s="393"/>
      <c r="H31" s="225">
        <v>0</v>
      </c>
      <c r="I31" s="267" t="str">
        <f>IF(H31&lt;1.5,$L$6,IF(H31&lt;2.5,$L$5,IF(H31&lt;3.5,$L$4,IF(H31&lt;4.5,$L$3,"n/a"))))</f>
        <v>Not at all</v>
      </c>
    </row>
    <row r="32" spans="1:9" s="104" customFormat="1" ht="26.4" customHeight="1" thickBot="1" x14ac:dyDescent="0.3">
      <c r="A32" s="293" t="str">
        <f>Questionnaire!$A$96</f>
        <v>5.3 Social involvement</v>
      </c>
      <c r="B32" s="348">
        <f>Questionnaire!J100</f>
        <v>2</v>
      </c>
      <c r="C32" s="325" t="str">
        <f>IF(B32&lt;1.5,$L$6,IF(B32&lt;2.5,$L$5,IF(B32&lt;3.5,$L$4,IF(B32&lt;4.5,$L$3,"n/a"))))</f>
        <v>Moderate/Low</v>
      </c>
      <c r="D32" s="342" t="str">
        <f t="shared" si="3"/>
        <v>↑</v>
      </c>
      <c r="E32" s="394" t="s">
        <v>280</v>
      </c>
      <c r="F32" t="s">
        <v>250</v>
      </c>
      <c r="G32" s="395"/>
      <c r="H32" s="227">
        <v>0</v>
      </c>
      <c r="I32" s="234" t="str">
        <f>IF(H32&lt;1.5,$L$6,IF(H32&lt;2.5,$L$5,IF(H32&lt;3.5,$L$4,IF(H32&lt;4.5,$L$3,"n/a"))))</f>
        <v>Not at all</v>
      </c>
    </row>
    <row r="33" spans="1:9" s="104" customFormat="1" ht="13.5" thickTop="1" thickBot="1" x14ac:dyDescent="0.3">
      <c r="A33" s="289" t="s">
        <v>14</v>
      </c>
      <c r="B33" s="338">
        <f>IF(COUNT(B30:B32)=0,"n/a",(AVERAGE(B30:B32)))</f>
        <v>2</v>
      </c>
      <c r="C33" s="339" t="str">
        <f>IF(B33&lt;1.5,$L$6,IF(B33&lt;2.5,$L$5,IF(B33&lt;3.5,$L$4,IF(B33&lt;4.5,$L$3,"n/a"))))</f>
        <v>Moderate/Low</v>
      </c>
      <c r="D33" s="331" t="str">
        <f>IF(H33&lt;B33,"↑",IF(H33&gt;B33,"↓","↔"))</f>
        <v>↑</v>
      </c>
      <c r="E33" s="108"/>
      <c r="F33" s="290"/>
      <c r="G33" s="108"/>
      <c r="H33" s="10">
        <f>AVERAGE(H30:H32)</f>
        <v>0</v>
      </c>
      <c r="I33" s="275" t="str">
        <f>IF(H33&lt;1.5,$L$6,IF(H33&lt;2.5,$L$5,IF(H33&lt;3.5,$L$4,IF(H33&lt;4.5,$L$3,"n/a"))))</f>
        <v>Not at all</v>
      </c>
    </row>
    <row r="34" spans="1:9" s="107" customFormat="1" ht="15" customHeight="1" thickBot="1" x14ac:dyDescent="0.3">
      <c r="A34" s="74" t="str">
        <f>Questionnaire!$A$101</f>
        <v>6. LIVING CONDITIONS</v>
      </c>
      <c r="B34" s="349"/>
      <c r="C34" s="350"/>
      <c r="D34" s="350"/>
      <c r="E34" s="76"/>
      <c r="F34" s="76"/>
      <c r="G34" s="76"/>
      <c r="H34" s="75"/>
      <c r="I34" s="272"/>
    </row>
    <row r="35" spans="1:9" s="107" customFormat="1" ht="99.65" customHeight="1" thickBot="1" x14ac:dyDescent="0.3">
      <c r="A35" s="235" t="str">
        <f>Questionnaire!$A$102</f>
        <v>6.1 Health services</v>
      </c>
      <c r="B35" s="351">
        <f>Questionnaire!J106</f>
        <v>2</v>
      </c>
      <c r="C35" s="335" t="str">
        <f>IF(B35&lt;1.5,$L$6,IF(B35&lt;2.5,$L$5,IF(B35&lt;3.5,$L$4,IF(B35&lt;4.5,$L$3,"n/a"))))</f>
        <v>Moderate/Low</v>
      </c>
      <c r="D35" s="352" t="str">
        <f>IF(H35&lt;B35,"↑",IF(H35&gt;B35,"↓","↔"))</f>
        <v>↑</v>
      </c>
      <c r="E35" s="5" t="s">
        <v>281</v>
      </c>
      <c r="F35" s="232" t="s">
        <v>234</v>
      </c>
      <c r="G35" s="5"/>
      <c r="H35" s="228">
        <v>0</v>
      </c>
      <c r="I35" s="267" t="str">
        <f>IF(H35&lt;1.5,$L$6,IF(H35&lt;2.5,$L$5,IF(H35&lt;3.5,$L$4,IF(H35&lt;4.5,$L$3,"n/a"))))</f>
        <v>Not at all</v>
      </c>
    </row>
    <row r="36" spans="1:9" s="107" customFormat="1" ht="79.25" customHeight="1" thickTop="1" thickBot="1" x14ac:dyDescent="0.3">
      <c r="A36" s="77" t="str">
        <f>Questionnaire!$A$107</f>
        <v>6.2 Housing</v>
      </c>
      <c r="B36" s="336">
        <f>Questionnaire!J110</f>
        <v>2</v>
      </c>
      <c r="C36" s="327" t="str">
        <f>IF(B36&lt;1.5,$L$6,IF(B36&lt;2.5,$L$5,IF(B36&lt;3.5,$L$4,IF(B36&lt;4.5,$L$3,"n/a"))))</f>
        <v>Moderate/Low</v>
      </c>
      <c r="D36" s="327" t="str">
        <f>IF(H36&lt;B36,"↑",IF(H36&gt;B36,"↓","↔"))</f>
        <v>↑</v>
      </c>
      <c r="E36" s="6" t="s">
        <v>282</v>
      </c>
      <c r="F36" s="233" t="s">
        <v>283</v>
      </c>
      <c r="G36" s="6"/>
      <c r="H36" s="228">
        <v>0</v>
      </c>
      <c r="I36" s="267" t="str">
        <f>IF(H36&lt;1.5,$L$6,IF(H36&lt;2.5,$L$5,IF(H36&lt;3.5,$L$4,IF(H36&lt;4.5,$L$3,"n/a"))))</f>
        <v>Not at all</v>
      </c>
    </row>
    <row r="37" spans="1:9" s="107" customFormat="1" ht="43.25" customHeight="1" thickTop="1" thickBot="1" x14ac:dyDescent="0.3">
      <c r="A37" s="236" t="str">
        <f>Questionnaire!$A$111</f>
        <v>6.3 Education and training</v>
      </c>
      <c r="B37" s="351">
        <f>Questionnaire!J115</f>
        <v>1.6666666666666667</v>
      </c>
      <c r="C37" s="327" t="str">
        <f>IF(B37&lt;1.5,$L$6,IF(B37&lt;2.5,$L$5,IF(B37&lt;3.5,$L$4,IF(B37&lt;4.5,$L$3,"n/a"))))</f>
        <v>Moderate/Low</v>
      </c>
      <c r="D37" s="352" t="str">
        <f>IF(H37&lt;B37,"↑",IF(H37&gt;B37,"↓","↔"))</f>
        <v>↑</v>
      </c>
      <c r="E37" s="6" t="s">
        <v>284</v>
      </c>
      <c r="F37" s="233" t="s">
        <v>285</v>
      </c>
      <c r="G37" s="6"/>
      <c r="H37" s="228">
        <v>0</v>
      </c>
      <c r="I37" s="267" t="str">
        <f>IF(H37&lt;1.5,$L$6,IF(H37&lt;2.5,$L$5,IF(H37&lt;3.5,$L$4,IF(H37&lt;4.5,$L$3,"n/a"))))</f>
        <v>Not at all</v>
      </c>
    </row>
    <row r="38" spans="1:9" s="107" customFormat="1" ht="70.75" customHeight="1" thickTop="1" thickBot="1" x14ac:dyDescent="0.3">
      <c r="A38" s="237" t="str">
        <f>Questionnaire!$A$116</f>
        <v>6.4 Mobility ??????</v>
      </c>
      <c r="B38" s="337">
        <f>Questionnaire!J120</f>
        <v>2.6666666666666665</v>
      </c>
      <c r="C38" s="325" t="str">
        <f>IF(B38&lt;1.5,$L$6,IF(B38&lt;2.5,$L$5,IF(B38&lt;3.5,$L$4,IF(B38&lt;4.5,$L$3,"n/a"))))</f>
        <v>Substantial</v>
      </c>
      <c r="D38" s="342" t="str">
        <f>IF(H38&lt;B38,"↑",IF(H38&gt;B38,"↓","↔"))</f>
        <v>↑</v>
      </c>
      <c r="E38" s="8" t="s">
        <v>286</v>
      </c>
      <c r="F38" s="9" t="s">
        <v>233</v>
      </c>
      <c r="G38" s="9"/>
      <c r="H38" s="228">
        <v>0</v>
      </c>
      <c r="I38" s="238" t="str">
        <f>IF(H38&lt;1.5,$L$6,IF(H38&lt;2.5,$L$5,IF(H38&lt;3.5,$L$4,IF(H38&lt;4.5,$L$3,"n/a"))))</f>
        <v>Not at all</v>
      </c>
    </row>
    <row r="39" spans="1:9" s="104" customFormat="1" ht="14.4" customHeight="1" thickTop="1" thickBot="1" x14ac:dyDescent="0.3">
      <c r="A39" s="78" t="s">
        <v>14</v>
      </c>
      <c r="B39" s="330">
        <f>IF(COUNT(B35:B38)=0,"n/a",(AVERAGE(B35:B38)))</f>
        <v>2.0833333333333335</v>
      </c>
      <c r="C39" s="339" t="str">
        <f>IF(B39&lt;1.5,$L$6,IF(B39&lt;2.5,$L$5,IF(B39&lt;3.5,$L$4,IF(B39&lt;4.5,$L$3,"n/a"))))</f>
        <v>Moderate/Low</v>
      </c>
      <c r="D39" s="331" t="str">
        <f>IF(H39&lt;B39,"↑",IF(H39&gt;B39,"↓","↔"))</f>
        <v>↑</v>
      </c>
      <c r="E39" s="108"/>
      <c r="F39" s="108"/>
      <c r="G39" s="108"/>
      <c r="H39" s="10">
        <f>AVERAGE(H35:H38)</f>
        <v>0</v>
      </c>
      <c r="I39" s="273" t="str">
        <f>IF(H39&lt;1.5,$L$6,IF(H39&lt;2.5,$L$5,IF(H39&lt;3.5,$L$4,IF(H39&lt;4.5,$L$3,"n/a"))))</f>
        <v>Not at all</v>
      </c>
    </row>
    <row r="40" spans="1:9" x14ac:dyDescent="0.25">
      <c r="B40" s="263"/>
      <c r="C40" s="265"/>
      <c r="I40" s="265"/>
    </row>
    <row r="41" spans="1:9" x14ac:dyDescent="0.25">
      <c r="C41" s="109"/>
    </row>
    <row r="44" spans="1:9" x14ac:dyDescent="0.25">
      <c r="D44"/>
      <c r="I44"/>
    </row>
    <row r="45" spans="1:9" x14ac:dyDescent="0.25">
      <c r="F45" s="110"/>
    </row>
    <row r="46" spans="1:9" x14ac:dyDescent="0.25">
      <c r="B46" s="262"/>
    </row>
  </sheetData>
  <sheetProtection password="CC15" sheet="1" objects="1" scenarios="1" formatRows="0"/>
  <customSheetViews>
    <customSheetView guid="{A7FD2B08-B74C-4011-B35C-4B9B50711590}" scale="90" printArea="1" hiddenColumns="1">
      <pane ySplit="4" topLeftCell="A32" activePane="bottomLeft" state="frozen"/>
      <selection pane="bottomLeft" activeCell="E36" sqref="E36"/>
      <pageMargins left="0.70866141732283472" right="0.70866141732283472" top="0.74803149606299213" bottom="0.74803149606299213" header="0.31496062992125984" footer="0.31496062992125984"/>
      <pageSetup paperSize="9" scale="61" orientation="landscape" r:id="rId1"/>
      <headerFooter alignWithMargins="0"/>
    </customSheetView>
    <customSheetView guid="{32B0C26A-BAF8-434F-BC5C-F8117C433B50}" scale="90" hiddenColumns="1">
      <pane ySplit="4" topLeftCell="A9" activePane="bottomLeft" state="frozen"/>
      <selection pane="bottomLeft" activeCell="E12" sqref="E12"/>
      <pageMargins left="0.70866141732283472" right="0.70866141732283472" top="0.74803149606299213" bottom="0.74803149606299213" header="0.31496062992125984" footer="0.31496062992125984"/>
      <pageSetup paperSize="9" scale="61" orientation="landscape" r:id="rId2"/>
      <headerFooter alignWithMargins="0"/>
    </customSheetView>
  </customSheetViews>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A16:I19 A20:D20 F20:I20 A21:I21">
    <cfRule type="cellIs" dxfId="87" priority="6" operator="equal">
      <formula>$L$4</formula>
    </cfRule>
  </conditionalFormatting>
  <conditionalFormatting sqref="A5:I9 A10 C10:I10 A11:I14 A15 C15:I15 A22 C22:I22 A23:I27 A34:I38 A39 C39:I39">
    <cfRule type="cellIs" dxfId="86" priority="47" operator="equal">
      <formula>$L$4</formula>
    </cfRule>
    <cfRule type="cellIs" dxfId="85" priority="48" operator="equal">
      <formula>$L$3</formula>
    </cfRule>
    <cfRule type="cellIs" dxfId="84" priority="57" operator="equal">
      <formula>$L$6</formula>
    </cfRule>
  </conditionalFormatting>
  <conditionalFormatting sqref="A5:I9 C10:I10 A11:I14 C15:I15 A16:I19 C22:I22 A23:I27 A34:I38 C39:I39 A20:D20 F20:I20 A21:I21 A10 A15 A22 A39">
    <cfRule type="cellIs" dxfId="83" priority="46" operator="equal">
      <formula>$L$5</formula>
    </cfRule>
  </conditionalFormatting>
  <conditionalFormatting sqref="A16:I19 A20:D20 F20:I20 A21:I21 A28:A33 C28:I33">
    <cfRule type="cellIs" dxfId="82" priority="7" operator="equal">
      <formula>$L$3</formula>
    </cfRule>
    <cfRule type="cellIs" dxfId="81" priority="8" operator="equal">
      <formula>$L$6</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ontainsText" dxfId="71" priority="44" operator="containsText" text="Low">
      <formula>NOT(ISERROR(SEARCH("Low",G2)))</formula>
    </cfRule>
  </conditionalFormatting>
  <conditionalFormatting sqref="G15:G16 G2 G5 G10:G11 G22:G23">
    <cfRule type="cellIs" dxfId="70" priority="41" operator="equal">
      <formula>"High"</formula>
    </cfRule>
    <cfRule type="cellIs" dxfId="69" priority="42" operator="equal">
      <formula>"Substantial"</formula>
    </cfRule>
    <cfRule type="cellIs" dxfId="68" priority="43" operator="equal">
      <formula>"Moderate"</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3"/>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tabSelected="1" zoomScale="70" zoomScaleNormal="70" zoomScaleSheetLayoutView="100" workbookViewId="0">
      <pane ySplit="2" topLeftCell="A3" activePane="bottomLeft" state="frozen"/>
      <selection pane="bottomLeft" activeCell="F119" sqref="F119:K119"/>
    </sheetView>
  </sheetViews>
  <sheetFormatPr defaultColWidth="8.81640625" defaultRowHeight="12.5" x14ac:dyDescent="0.25"/>
  <cols>
    <col min="1" max="1" width="18" customWidth="1"/>
    <col min="2" max="2" width="29" customWidth="1"/>
    <col min="3" max="3" width="30.54296875" style="158" customWidth="1"/>
    <col min="4" max="4" width="14.453125" style="159" customWidth="1"/>
    <col min="5" max="6" width="7.453125" style="25" customWidth="1"/>
    <col min="7" max="7" width="1.1796875" style="25" customWidth="1"/>
    <col min="8" max="8" width="7.453125" style="25" customWidth="1"/>
    <col min="9" max="9" width="12.54296875" style="25" customWidth="1"/>
    <col min="10" max="10" width="12.1796875" style="25" customWidth="1"/>
    <col min="11" max="11" width="65.81640625" customWidth="1"/>
    <col min="12" max="12" width="15.54296875" style="158" customWidth="1"/>
    <col min="13" max="13" width="13.453125" hidden="1" customWidth="1"/>
    <col min="14" max="14" width="14.81640625" hidden="1" customWidth="1"/>
    <col min="15" max="15" width="11.1796875" hidden="1" customWidth="1"/>
    <col min="16" max="16" width="13.81640625" customWidth="1"/>
  </cols>
  <sheetData>
    <row r="1" spans="1:15" ht="21" customHeight="1" thickBot="1" x14ac:dyDescent="0.4">
      <c r="A1" s="356" t="s">
        <v>26</v>
      </c>
      <c r="B1" s="357" t="str">
        <f>Profile!F1</f>
        <v>Fisheries</v>
      </c>
      <c r="C1" s="355" t="s">
        <v>21</v>
      </c>
      <c r="D1" s="445" t="str">
        <f>Profile!E2</f>
        <v>Guinea-Bissau</v>
      </c>
      <c r="E1" s="446"/>
      <c r="F1" s="353" t="s">
        <v>25</v>
      </c>
      <c r="G1" s="358"/>
      <c r="H1" s="359"/>
      <c r="I1" s="360"/>
      <c r="J1" s="354">
        <f>Profile!B3</f>
        <v>45752</v>
      </c>
      <c r="K1" s="111"/>
      <c r="L1" s="361" t="s">
        <v>176</v>
      </c>
    </row>
    <row r="2" spans="1:15" s="103" customFormat="1" ht="15" customHeight="1" thickBot="1" x14ac:dyDescent="0.3">
      <c r="A2" s="557" t="s">
        <v>0</v>
      </c>
      <c r="B2" s="558"/>
      <c r="C2" s="362" t="s">
        <v>2</v>
      </c>
      <c r="D2" s="362" t="s">
        <v>86</v>
      </c>
      <c r="E2" s="362" t="s">
        <v>87</v>
      </c>
      <c r="F2" s="557" t="s">
        <v>85</v>
      </c>
      <c r="G2" s="558"/>
      <c r="H2" s="558"/>
      <c r="I2" s="558"/>
      <c r="J2" s="558"/>
      <c r="K2" s="558"/>
      <c r="L2" s="363"/>
      <c r="M2" s="105"/>
    </row>
    <row r="3" spans="1:15" s="103" customFormat="1" ht="24.75" customHeight="1" thickBot="1" x14ac:dyDescent="0.35">
      <c r="A3" s="112" t="s">
        <v>211</v>
      </c>
      <c r="B3" s="113"/>
      <c r="C3" s="113"/>
      <c r="D3" s="113"/>
      <c r="E3" s="113"/>
      <c r="F3" s="113"/>
      <c r="G3" s="113"/>
      <c r="H3" s="113"/>
      <c r="I3" s="113"/>
      <c r="J3" s="113"/>
      <c r="K3" s="113"/>
      <c r="L3" s="364"/>
      <c r="N3" s="16" t="s">
        <v>4</v>
      </c>
      <c r="O3" s="103">
        <v>4.5</v>
      </c>
    </row>
    <row r="4" spans="1:15" s="103" customFormat="1" ht="21" customHeight="1" x14ac:dyDescent="0.3">
      <c r="A4" s="114" t="s">
        <v>28</v>
      </c>
      <c r="B4" s="115"/>
      <c r="C4" s="115"/>
      <c r="D4" s="115"/>
      <c r="E4" s="115"/>
      <c r="F4" s="115"/>
      <c r="G4" s="115"/>
      <c r="H4" s="115"/>
      <c r="I4" s="115"/>
      <c r="J4" s="115"/>
      <c r="K4" s="115"/>
      <c r="L4" s="364"/>
      <c r="N4" s="16" t="s">
        <v>5</v>
      </c>
      <c r="O4" s="103">
        <v>3.5</v>
      </c>
    </row>
    <row r="5" spans="1:15" s="103" customFormat="1" ht="79.75" customHeight="1" x14ac:dyDescent="0.25">
      <c r="A5" s="536" t="s">
        <v>70</v>
      </c>
      <c r="B5" s="536"/>
      <c r="C5" s="37" t="s">
        <v>292</v>
      </c>
      <c r="D5" s="46" t="s">
        <v>41</v>
      </c>
      <c r="E5" s="116">
        <f>IF(D5=$N$6,1,IF(D5=$N$5,2,IF(D5=$N$4,3,IF(D5=$N$3,4,"n/a"))))</f>
        <v>2</v>
      </c>
      <c r="F5" s="565" t="s">
        <v>294</v>
      </c>
      <c r="G5" s="565"/>
      <c r="H5" s="565"/>
      <c r="I5" s="565"/>
      <c r="J5" s="565"/>
      <c r="K5" s="565"/>
      <c r="L5" s="364"/>
      <c r="N5" s="105" t="s">
        <v>41</v>
      </c>
      <c r="O5" s="104">
        <v>2.5</v>
      </c>
    </row>
    <row r="6" spans="1:15" s="103" customFormat="1" ht="73.25" customHeight="1" x14ac:dyDescent="0.25">
      <c r="A6" s="536" t="s">
        <v>29</v>
      </c>
      <c r="B6" s="536"/>
      <c r="C6" s="37" t="s">
        <v>293</v>
      </c>
      <c r="D6" s="46" t="s">
        <v>5</v>
      </c>
      <c r="E6" s="116">
        <f>IF(D6=$N$6,1,IF(D6=$N$5,2,IF(D6=$N$4,3,IF(D6=$N$3,4,"n/a"))))</f>
        <v>3</v>
      </c>
      <c r="F6" s="565" t="s">
        <v>305</v>
      </c>
      <c r="G6" s="565"/>
      <c r="H6" s="565"/>
      <c r="I6" s="565"/>
      <c r="J6" s="565"/>
      <c r="K6" s="565"/>
      <c r="L6" s="364"/>
      <c r="N6" s="105" t="s">
        <v>78</v>
      </c>
      <c r="O6" s="104">
        <v>1.5</v>
      </c>
    </row>
    <row r="7" spans="1:15" s="103" customFormat="1" ht="66" customHeight="1" x14ac:dyDescent="0.3">
      <c r="A7" s="536" t="s">
        <v>185</v>
      </c>
      <c r="B7" s="536"/>
      <c r="C7" s="37" t="s">
        <v>295</v>
      </c>
      <c r="D7" s="46" t="s">
        <v>41</v>
      </c>
      <c r="E7" s="116">
        <f>IF(D7=$N$6,1,IF(D7=$N$5,2,IF(D7=$N$4,3,IF(D7=$N$3,4,"n/a"))))</f>
        <v>2</v>
      </c>
      <c r="F7" s="565" t="s">
        <v>306</v>
      </c>
      <c r="G7" s="565"/>
      <c r="H7" s="565"/>
      <c r="I7" s="565"/>
      <c r="J7" s="565"/>
      <c r="K7" s="565"/>
      <c r="L7" s="364"/>
      <c r="N7" s="16" t="s">
        <v>18</v>
      </c>
    </row>
    <row r="8" spans="1:15" s="103" customFormat="1" ht="90" customHeight="1" x14ac:dyDescent="0.25">
      <c r="A8" s="536" t="s">
        <v>39</v>
      </c>
      <c r="B8" s="536"/>
      <c r="C8" s="37" t="s">
        <v>295</v>
      </c>
      <c r="D8" s="46" t="s">
        <v>5</v>
      </c>
      <c r="E8" s="116">
        <f>IF(D8=$N$6,1,IF(D8=$N$5,2,IF(D8=$N$4,3,IF(D8=$N$3,4,"n/a"))))</f>
        <v>3</v>
      </c>
      <c r="F8" s="565" t="s">
        <v>307</v>
      </c>
      <c r="G8" s="565"/>
      <c r="H8" s="565"/>
      <c r="I8" s="565"/>
      <c r="J8" s="565"/>
      <c r="K8" s="565"/>
      <c r="L8" s="364"/>
      <c r="N8" s="105"/>
    </row>
    <row r="9" spans="1:15" s="103" customFormat="1" ht="55.25" customHeight="1" thickBot="1" x14ac:dyDescent="0.3">
      <c r="A9" s="535" t="s">
        <v>58</v>
      </c>
      <c r="B9" s="535"/>
      <c r="C9" s="177" t="s">
        <v>295</v>
      </c>
      <c r="D9" s="165" t="s">
        <v>41</v>
      </c>
      <c r="E9" s="173">
        <f>IF(D9=$N$6,1,IF(D9=$N$5,2,IF(D9=$N$4,3,IF(D9=$N$3,4,"n/a"))))</f>
        <v>2</v>
      </c>
      <c r="F9" s="521" t="s">
        <v>308</v>
      </c>
      <c r="G9" s="522"/>
      <c r="H9" s="521"/>
      <c r="I9" s="521"/>
      <c r="J9" s="521"/>
      <c r="K9" s="521"/>
      <c r="L9" s="364"/>
      <c r="N9" s="117"/>
    </row>
    <row r="10" spans="1:15" s="103" customFormat="1" ht="28.5" customHeight="1" thickBot="1" x14ac:dyDescent="0.35">
      <c r="A10" s="545"/>
      <c r="B10" s="561"/>
      <c r="C10" s="181" t="s">
        <v>23</v>
      </c>
      <c r="D10" s="88" t="str">
        <f>IF(E10&lt;1.5,$N$6,IF(E10&lt;2.5,$N$5,IF(E10&lt;3.5,$N$4,IF(E10&lt;4.5,$N$3,"n/a"))))</f>
        <v>Moderate/Low</v>
      </c>
      <c r="E10" s="239">
        <f>IF(COUNT(E5:E9)=0,"n/a",AVERAGE(E5:E9))</f>
        <v>2.4</v>
      </c>
      <c r="F10" s="47">
        <f>E10</f>
        <v>2.4</v>
      </c>
      <c r="G10" s="213"/>
      <c r="H10" s="48" t="s">
        <v>22</v>
      </c>
      <c r="I10" s="26" t="str">
        <f>D10</f>
        <v>Moderate/Low</v>
      </c>
      <c r="J10" s="89">
        <f>IF(I10=$N$7,"n/a",IF(AND(I10=$N$5,D10=$N$6),1.5,IF(AND(I10=$N$4,D10=$N$5),2.5,IF(AND(I10=$N$3,D10=$N$4),3.5,IF(AND(I10=$N$6,D10=$N$5),1.49,IF(AND(I10=$N$5,D10=$N$4),2.49,IF(AND(I10=$N$4,D10=$N$3),3.49,E10)))))))</f>
        <v>2.4</v>
      </c>
      <c r="K10" s="90" t="s">
        <v>90</v>
      </c>
      <c r="L10" s="365"/>
      <c r="N10" s="16"/>
    </row>
    <row r="11" spans="1:15" s="103" customFormat="1" ht="20.25" customHeight="1" thickBot="1" x14ac:dyDescent="0.35">
      <c r="A11" s="119" t="s">
        <v>27</v>
      </c>
      <c r="B11" s="120"/>
      <c r="C11" s="178"/>
      <c r="D11" s="121"/>
      <c r="E11" s="121"/>
      <c r="F11" s="121"/>
      <c r="G11" s="121"/>
      <c r="H11" s="121"/>
      <c r="I11" s="121"/>
      <c r="J11" s="121"/>
      <c r="K11" s="121"/>
      <c r="L11" s="364"/>
      <c r="N11" s="16"/>
    </row>
    <row r="12" spans="1:15" ht="94.75" customHeight="1" x14ac:dyDescent="0.3">
      <c r="A12" s="536" t="s">
        <v>186</v>
      </c>
      <c r="B12" s="536"/>
      <c r="C12" s="37" t="s">
        <v>295</v>
      </c>
      <c r="D12" s="164" t="s">
        <v>4</v>
      </c>
      <c r="E12" s="175">
        <f>IF(D12=$N$6,1,IF(D12=$N$5,2,IF(D12=$N$4,3,IF(D12=$N$3,4,"n/a"))))</f>
        <v>4</v>
      </c>
      <c r="F12" s="547" t="s">
        <v>309</v>
      </c>
      <c r="G12" s="547"/>
      <c r="H12" s="547"/>
      <c r="I12" s="547"/>
      <c r="J12" s="547"/>
      <c r="K12" s="547"/>
      <c r="L12" s="366" t="s">
        <v>95</v>
      </c>
      <c r="N12" s="16"/>
    </row>
    <row r="13" spans="1:15" ht="43.5" customHeight="1" thickBot="1" x14ac:dyDescent="0.3">
      <c r="A13" s="523" t="s">
        <v>187</v>
      </c>
      <c r="B13" s="523"/>
      <c r="C13" s="182" t="s">
        <v>296</v>
      </c>
      <c r="D13" s="180" t="s">
        <v>41</v>
      </c>
      <c r="E13" s="176">
        <f>IF(D13=$N$6,1,IF(D13=$N$5,2,IF(D13=$N$4,3,IF(D13=$N$3,4,"n/a"))))</f>
        <v>2</v>
      </c>
      <c r="F13" s="542" t="s">
        <v>235</v>
      </c>
      <c r="G13" s="488"/>
      <c r="H13" s="488"/>
      <c r="I13" s="488"/>
      <c r="J13" s="488"/>
      <c r="K13" s="526"/>
      <c r="L13" s="366" t="s">
        <v>95</v>
      </c>
    </row>
    <row r="14" spans="1:15" s="106" customFormat="1" ht="28.5" customHeight="1" thickBot="1" x14ac:dyDescent="0.35">
      <c r="A14" s="545"/>
      <c r="B14" s="546"/>
      <c r="C14" s="181" t="s">
        <v>23</v>
      </c>
      <c r="D14" s="27" t="str">
        <f>IF(E14&lt;1.5,$N$6,IF(E14&lt;2.5,$N$5,IF(E14&lt;3.5,$N$4,IF(E14&lt;4.5,$N$3,"n/a"))))</f>
        <v>Substantial</v>
      </c>
      <c r="E14" s="143">
        <f>IF(COUNT(E12:E13)=0,"n/a",AVERAGE(E12:E13))</f>
        <v>3</v>
      </c>
      <c r="F14" s="28">
        <f>E14</f>
        <v>3</v>
      </c>
      <c r="G14" s="213"/>
      <c r="H14" s="29" t="s">
        <v>22</v>
      </c>
      <c r="I14" s="26" t="s">
        <v>5</v>
      </c>
      <c r="J14" s="30">
        <f>IF(I14=$N$7,"n/a",IF(AND(I14=$N$5,D14=$N$6),1.5,IF(AND(I14=$N$4,D14=$N$5),2.5,IF(AND(I14=$N$3,D14=$N$4),3.5,IF(AND(I14=$N$6,D14=$N$5),1.49,IF(AND(I14=$N$5,D14=$N$4),2.49,IF(AND(I14=$N$4,D14=$N$3),3.49,E14)))))))</f>
        <v>3</v>
      </c>
      <c r="K14" s="179" t="s">
        <v>90</v>
      </c>
      <c r="L14" s="367"/>
      <c r="N14" s="16"/>
    </row>
    <row r="15" spans="1:15" ht="21.75" customHeight="1" x14ac:dyDescent="0.3">
      <c r="A15" s="385" t="s">
        <v>30</v>
      </c>
      <c r="B15" s="119"/>
      <c r="C15" s="119"/>
      <c r="D15" s="119"/>
      <c r="E15" s="119"/>
      <c r="F15" s="119"/>
      <c r="G15" s="119"/>
      <c r="H15" s="119"/>
      <c r="I15" s="119"/>
      <c r="J15" s="119"/>
      <c r="K15" s="119"/>
      <c r="L15" s="368"/>
      <c r="N15" s="16"/>
    </row>
    <row r="16" spans="1:15" ht="93.65" customHeight="1" thickBot="1" x14ac:dyDescent="0.3">
      <c r="A16" s="535" t="s">
        <v>188</v>
      </c>
      <c r="B16" s="535"/>
      <c r="C16" s="182" t="s">
        <v>295</v>
      </c>
      <c r="D16" s="165" t="s">
        <v>41</v>
      </c>
      <c r="E16" s="169">
        <f>IF(D16=$N$6,1,IF(D16=$N$5,2,IF(D16=$N$4,3,IF(D16=$N$3,4,"n/a"))))</f>
        <v>2</v>
      </c>
      <c r="F16" s="524" t="s">
        <v>310</v>
      </c>
      <c r="G16" s="488"/>
      <c r="H16" s="525"/>
      <c r="I16" s="525"/>
      <c r="J16" s="488"/>
      <c r="K16" s="526"/>
      <c r="L16" s="368"/>
    </row>
    <row r="17" spans="1:14" s="103" customFormat="1" ht="24.75" customHeight="1" thickBot="1" x14ac:dyDescent="0.3">
      <c r="A17" s="568"/>
      <c r="B17" s="569"/>
      <c r="C17" s="181" t="s">
        <v>23</v>
      </c>
      <c r="D17" s="27" t="str">
        <f>IF(E17&lt;1.5,$N$6,IF(E17&lt;2.5,$N$5,IF(E17&lt;3.5,$N$4,IF(E17&lt;4.5,$N$3,"n/a"))))</f>
        <v>Moderate/Low</v>
      </c>
      <c r="E17" s="143">
        <f>IF(COUNT(E16)=0,"n/a",AVERAGE(E16))</f>
        <v>2</v>
      </c>
      <c r="F17" s="28">
        <f>E17</f>
        <v>2</v>
      </c>
      <c r="G17" s="213"/>
      <c r="H17" s="29" t="s">
        <v>22</v>
      </c>
      <c r="I17" s="26" t="str">
        <f>D17</f>
        <v>Moderate/Low</v>
      </c>
      <c r="J17" s="30">
        <f>IF(I17=$N$7,"n/a",IF(AND(I17=$N$5,D17=$N$6),1.5,IF(AND(I17=$N$4,D17=$N$5),2.5,IF(AND(I17=$N$3,D17=$N$4),3.5,IF(AND(I17=$N$6,D17=$N$5),1.49,IF(AND(I17=$N$5,D17=$N$4),2.49,IF(AND(I17=$N$4,D17=$N$3),3.49,E17)))))))</f>
        <v>2</v>
      </c>
      <c r="K17" s="179" t="s">
        <v>90</v>
      </c>
      <c r="L17" s="364"/>
      <c r="N17" s="105"/>
    </row>
    <row r="18" spans="1:14" s="122" customFormat="1" ht="21" customHeight="1" x14ac:dyDescent="0.3">
      <c r="A18" s="119" t="s">
        <v>68</v>
      </c>
      <c r="B18" s="119"/>
      <c r="C18" s="119"/>
      <c r="D18" s="119"/>
      <c r="E18" s="119"/>
      <c r="F18" s="119"/>
      <c r="G18" s="119"/>
      <c r="H18" s="119"/>
      <c r="I18" s="119"/>
      <c r="J18" s="119"/>
      <c r="K18" s="119"/>
      <c r="L18" s="368"/>
      <c r="N18" s="16"/>
    </row>
    <row r="19" spans="1:14" s="122" customFormat="1" ht="96.65" customHeight="1" x14ac:dyDescent="0.3">
      <c r="A19" s="536" t="s">
        <v>72</v>
      </c>
      <c r="B19" s="536"/>
      <c r="C19" s="37" t="s">
        <v>295</v>
      </c>
      <c r="D19" s="46" t="s">
        <v>5</v>
      </c>
      <c r="E19" s="161">
        <f>IF(D19=$N$6,1,IF(D19=$N$5,2,IF(D19=$N$4,3,IF(D19=$N$3,4,"n/a"))))</f>
        <v>3</v>
      </c>
      <c r="F19" s="524" t="s">
        <v>311</v>
      </c>
      <c r="G19" s="525"/>
      <c r="H19" s="525"/>
      <c r="I19" s="525"/>
      <c r="J19" s="525"/>
      <c r="K19" s="526"/>
      <c r="L19" s="366" t="s">
        <v>95</v>
      </c>
      <c r="N19" s="16"/>
    </row>
    <row r="20" spans="1:14" s="122" customFormat="1" ht="111" customHeight="1" thickBot="1" x14ac:dyDescent="0.35">
      <c r="A20" s="523" t="s">
        <v>69</v>
      </c>
      <c r="B20" s="523"/>
      <c r="C20" s="182" t="s">
        <v>295</v>
      </c>
      <c r="D20" s="174" t="s">
        <v>5</v>
      </c>
      <c r="E20" s="173">
        <f>IF(D20=$N$6,1,IF(D20=$N$5,2,IF(D20=$N$4,3,IF(D20=$N$3,4,"n/a"))))</f>
        <v>3</v>
      </c>
      <c r="F20" s="472" t="s">
        <v>312</v>
      </c>
      <c r="G20" s="488"/>
      <c r="H20" s="473"/>
      <c r="I20" s="473"/>
      <c r="J20" s="473"/>
      <c r="K20" s="474"/>
      <c r="L20" s="369"/>
      <c r="N20" s="16"/>
    </row>
    <row r="21" spans="1:14" s="103" customFormat="1" ht="29.25" customHeight="1" thickBot="1" x14ac:dyDescent="0.3">
      <c r="A21" s="545"/>
      <c r="B21" s="546"/>
      <c r="C21" s="181" t="s">
        <v>23</v>
      </c>
      <c r="D21" s="27" t="str">
        <f>IF(E21&lt;1.5,$N$6,IF(E21&lt;2.5,$N$5,IF(E21&lt;3.5,$N$4,IF(E21&lt;4.5,$N$3,"n/a"))))</f>
        <v>Substantial</v>
      </c>
      <c r="E21" s="143">
        <f>IF(COUNT(E19:E20)=0,"n/a",AVERAGE(E19:E20))</f>
        <v>3</v>
      </c>
      <c r="F21" s="28">
        <f>E21</f>
        <v>3</v>
      </c>
      <c r="G21" s="213"/>
      <c r="H21" s="29" t="s">
        <v>22</v>
      </c>
      <c r="I21" s="26" t="str">
        <f>D21</f>
        <v>Substantial</v>
      </c>
      <c r="J21" s="89">
        <f>IF(I21=$N$7,"n/a",IF(AND(I21=$N$5,D21=$N$6),1.5,IF(AND(I21=$N$4,D21=$N$5),2.5,IF(AND(I21=$N$3,D21=$N$4),3.5,IF(AND(I21=$N$6,D21=$N$5),1.49,IF(AND(I21=$N$5,D21=$N$4),2.49,IF(AND(I21=$N$4,D21=$N$3),3.49,E21)))))))</f>
        <v>3</v>
      </c>
      <c r="K21" s="87" t="s">
        <v>90</v>
      </c>
      <c r="L21" s="370"/>
    </row>
    <row r="22" spans="1:14" s="103" customFormat="1" ht="22.5" customHeight="1" thickBot="1" x14ac:dyDescent="0.3">
      <c r="A22" s="123" t="s">
        <v>212</v>
      </c>
      <c r="B22" s="124"/>
      <c r="C22" s="124"/>
      <c r="D22" s="125"/>
      <c r="E22" s="125"/>
      <c r="F22" s="125"/>
      <c r="G22" s="125"/>
      <c r="H22" s="125"/>
      <c r="I22" s="125"/>
      <c r="J22" s="125"/>
      <c r="K22" s="125"/>
      <c r="L22" s="364"/>
    </row>
    <row r="23" spans="1:14" ht="21.75" customHeight="1" thickBot="1" x14ac:dyDescent="0.3">
      <c r="A23" s="126" t="s">
        <v>43</v>
      </c>
      <c r="B23" s="127"/>
      <c r="C23" s="127"/>
      <c r="D23" s="127"/>
      <c r="E23" s="127"/>
      <c r="F23" s="127"/>
      <c r="G23" s="127"/>
      <c r="H23" s="127"/>
      <c r="I23" s="127"/>
      <c r="J23" s="127"/>
      <c r="K23" s="127"/>
      <c r="L23" s="366" t="s">
        <v>95</v>
      </c>
    </row>
    <row r="24" spans="1:14" ht="54" customHeight="1" x14ac:dyDescent="0.25">
      <c r="A24" s="559" t="s">
        <v>44</v>
      </c>
      <c r="B24" s="560"/>
      <c r="C24" s="171" t="s">
        <v>288</v>
      </c>
      <c r="D24" s="162" t="s">
        <v>41</v>
      </c>
      <c r="E24" s="172">
        <f>IF(D24=$N$6,1,IF(D24=$N$5,2,IF(D24=$N$4,3,IF(D24=$N$3,4,"n/a"))))</f>
        <v>2</v>
      </c>
      <c r="F24" s="547" t="s">
        <v>289</v>
      </c>
      <c r="G24" s="547"/>
      <c r="H24" s="547"/>
      <c r="I24" s="547"/>
      <c r="J24" s="547"/>
      <c r="K24" s="547"/>
      <c r="L24" s="366" t="s">
        <v>95</v>
      </c>
    </row>
    <row r="25" spans="1:14" ht="73.5" customHeight="1" thickBot="1" x14ac:dyDescent="0.3">
      <c r="A25" s="566" t="s">
        <v>61</v>
      </c>
      <c r="B25" s="567"/>
      <c r="C25" s="183" t="s">
        <v>287</v>
      </c>
      <c r="D25" s="163" t="s">
        <v>78</v>
      </c>
      <c r="E25" s="173">
        <f>IF(D25=$N$6,1,IF(D25=$N$5,2,IF(D25=$N$4,3,IF(D25=$N$3,4,"n/a"))))</f>
        <v>1</v>
      </c>
      <c r="F25" s="472" t="s">
        <v>313</v>
      </c>
      <c r="G25" s="473"/>
      <c r="H25" s="473"/>
      <c r="I25" s="473"/>
      <c r="J25" s="473"/>
      <c r="K25" s="474"/>
      <c r="L25" s="368"/>
    </row>
    <row r="26" spans="1:14" ht="35.25" customHeight="1" thickBot="1" x14ac:dyDescent="0.3">
      <c r="A26" s="533"/>
      <c r="B26" s="534"/>
      <c r="C26" s="40" t="s">
        <v>23</v>
      </c>
      <c r="D26" s="27" t="str">
        <f>IF(E26&lt;1.5,"Low",IF(E26&lt;2.5,"Moderate",IF(E26&lt;3.5,"Substantial",IF(E26&lt;4.5,"High","n/a"))))</f>
        <v>Moderate</v>
      </c>
      <c r="E26" s="143">
        <f>IF(COUNT(E24:E25)=0,"n/a",AVERAGE(E24:E25))</f>
        <v>1.5</v>
      </c>
      <c r="F26" s="47">
        <f>E26</f>
        <v>1.5</v>
      </c>
      <c r="G26" s="213"/>
      <c r="H26" s="48" t="s">
        <v>22</v>
      </c>
      <c r="I26" s="26" t="str">
        <f>D26</f>
        <v>Moderate</v>
      </c>
      <c r="J26" s="89">
        <f>IF(I26=$N$7,"n/a",IF(AND(I26=$N$5,D26=$N$6),1.5,IF(AND(I26=$N$4,D26=$N$5),2.5,IF(AND(I26=$N$3,D26=$N$4),3.5,IF(AND(I26=$N$6,D26=$N$5),1.49,IF(AND(I26=$N$5,D26=$N$4),2.49,IF(AND(I26=$N$4,D26=$N$3),3.49,E26)))))))</f>
        <v>1.5</v>
      </c>
      <c r="K26" s="314" t="s">
        <v>90</v>
      </c>
      <c r="L26" s="368"/>
    </row>
    <row r="27" spans="1:14" ht="20.25" customHeight="1" thickBot="1" x14ac:dyDescent="0.3">
      <c r="A27" s="128" t="s">
        <v>47</v>
      </c>
      <c r="B27" s="129"/>
      <c r="C27" s="130"/>
      <c r="D27" s="131"/>
      <c r="E27" s="131"/>
      <c r="F27" s="131"/>
      <c r="G27" s="131"/>
      <c r="H27" s="131"/>
      <c r="I27" s="131"/>
      <c r="J27" s="131"/>
      <c r="K27" s="131"/>
      <c r="L27" s="368"/>
    </row>
    <row r="28" spans="1:14" ht="39.65" customHeight="1" thickBot="1" x14ac:dyDescent="0.3">
      <c r="A28" s="477" t="s">
        <v>64</v>
      </c>
      <c r="B28" s="478"/>
      <c r="C28" s="171" t="s">
        <v>288</v>
      </c>
      <c r="D28" s="164" t="s">
        <v>41</v>
      </c>
      <c r="E28" s="175">
        <f>IF(D28=$N$6,1,IF(D28=$N$5,2,IF(D28=$N$4,3,IF(D28=$N$3,4,"n/a"))))</f>
        <v>2</v>
      </c>
      <c r="F28" s="527" t="s">
        <v>314</v>
      </c>
      <c r="G28" s="528"/>
      <c r="H28" s="528"/>
      <c r="I28" s="528"/>
      <c r="J28" s="528"/>
      <c r="K28" s="529"/>
      <c r="L28" s="368"/>
    </row>
    <row r="29" spans="1:14" ht="82.25" customHeight="1" thickBot="1" x14ac:dyDescent="0.3">
      <c r="A29" s="477" t="s">
        <v>45</v>
      </c>
      <c r="B29" s="478"/>
      <c r="C29" s="171" t="s">
        <v>288</v>
      </c>
      <c r="D29" s="46" t="s">
        <v>41</v>
      </c>
      <c r="E29" s="161">
        <f>IF(D29=$N$6,1,IF(D29=$N$5,2,IF(D29=$N$4,3,IF(D29=$N$3,4,"n/a"))))</f>
        <v>2</v>
      </c>
      <c r="F29" s="524" t="s">
        <v>315</v>
      </c>
      <c r="G29" s="525"/>
      <c r="H29" s="525"/>
      <c r="I29" s="525"/>
      <c r="J29" s="525"/>
      <c r="K29" s="526"/>
      <c r="L29" s="368"/>
    </row>
    <row r="30" spans="1:14" s="132" customFormat="1" ht="64.75" customHeight="1" thickBot="1" x14ac:dyDescent="0.3">
      <c r="A30" s="477" t="s">
        <v>59</v>
      </c>
      <c r="B30" s="478"/>
      <c r="C30" s="171" t="s">
        <v>288</v>
      </c>
      <c r="D30" s="46" t="s">
        <v>41</v>
      </c>
      <c r="E30" s="161">
        <f>IF(D30=$N$6,1,IF(D30=$N$5,2,IF(D30=$N$4,3,IF(D30=$N$3,4,"n/a"))))</f>
        <v>2</v>
      </c>
      <c r="F30" s="471" t="s">
        <v>316</v>
      </c>
      <c r="G30" s="471"/>
      <c r="H30" s="471"/>
      <c r="I30" s="471"/>
      <c r="J30" s="471"/>
      <c r="K30" s="471"/>
      <c r="L30" s="364"/>
    </row>
    <row r="31" spans="1:14" s="103" customFormat="1" ht="36" customHeight="1" thickBot="1" x14ac:dyDescent="0.3">
      <c r="A31" s="540" t="s">
        <v>60</v>
      </c>
      <c r="B31" s="541"/>
      <c r="C31" s="171" t="s">
        <v>288</v>
      </c>
      <c r="D31" s="165" t="s">
        <v>41</v>
      </c>
      <c r="E31" s="170">
        <f>IF(D31=$N$6,1,IF(D31=$N$5,2,IF(D31=$N$4,3,IF(D31=$N$3,4,"n/a"))))</f>
        <v>2</v>
      </c>
      <c r="F31" s="542" t="s">
        <v>317</v>
      </c>
      <c r="G31" s="488"/>
      <c r="H31" s="488"/>
      <c r="I31" s="488"/>
      <c r="J31" s="488"/>
      <c r="K31" s="489"/>
      <c r="L31" s="366" t="s">
        <v>95</v>
      </c>
    </row>
    <row r="32" spans="1:14" s="103" customFormat="1" ht="25.5" customHeight="1" thickBot="1" x14ac:dyDescent="0.3">
      <c r="A32" s="186"/>
      <c r="B32" s="187"/>
      <c r="C32" s="40" t="s">
        <v>23</v>
      </c>
      <c r="D32" s="27" t="str">
        <f>IF(E32&lt;1.5,"Low",IF(E32&lt;2.5,"Moderate",IF(E32&lt;3.5,"Substantial",IF(E32&lt;4.5,"High","n/a"))))</f>
        <v>Moderate</v>
      </c>
      <c r="E32" s="143">
        <f>IF(COUNT(E28:E31)=0,"n/a",AVERAGE(E28:E31))</f>
        <v>2</v>
      </c>
      <c r="F32" s="28">
        <f>E32</f>
        <v>2</v>
      </c>
      <c r="G32" s="213"/>
      <c r="H32" s="29" t="s">
        <v>22</v>
      </c>
      <c r="I32" s="26" t="str">
        <f>D32</f>
        <v>Moderate</v>
      </c>
      <c r="J32" s="30">
        <f>IF(I32=$N$7,"n/a",IF(AND(I32=$N$5,D32=$N$6),1.5,IF(AND(I32=$N$4,D32=$N$5),2.5,IF(AND(I32=$N$3,D32=$N$4),3.5,IF(AND(I32=$N$6,D32=$N$5),1.49,IF(AND(I32=$N$5,D32=$N$4),2.49,IF(AND(I32=$N$4,D32=$N$3),3.49,E32)))))))</f>
        <v>2</v>
      </c>
      <c r="K32" s="179" t="s">
        <v>90</v>
      </c>
      <c r="L32" s="364"/>
    </row>
    <row r="33" spans="1:12" s="103" customFormat="1" ht="25.5" customHeight="1" thickBot="1" x14ac:dyDescent="0.3">
      <c r="A33" s="184" t="s">
        <v>48</v>
      </c>
      <c r="B33" s="185"/>
      <c r="C33" s="185"/>
      <c r="D33" s="185"/>
      <c r="E33" s="185"/>
      <c r="F33" s="185"/>
      <c r="G33" s="185"/>
      <c r="H33" s="185"/>
      <c r="I33" s="185"/>
      <c r="J33" s="185"/>
      <c r="K33" s="185"/>
      <c r="L33" s="364"/>
    </row>
    <row r="34" spans="1:12" s="103" customFormat="1" ht="45.75" customHeight="1" thickBot="1" x14ac:dyDescent="0.3">
      <c r="A34" s="562" t="s">
        <v>49</v>
      </c>
      <c r="B34" s="563"/>
      <c r="C34" s="171" t="s">
        <v>288</v>
      </c>
      <c r="D34" s="46" t="s">
        <v>41</v>
      </c>
      <c r="E34" s="116">
        <f>IF(D34=$N$6,1,IF(D34=$N$5,2,IF(D34=$N$4,3,IF(D34=$N$3,4,"n/a"))))</f>
        <v>2</v>
      </c>
      <c r="F34" s="547" t="s">
        <v>318</v>
      </c>
      <c r="G34" s="547"/>
      <c r="H34" s="547"/>
      <c r="I34" s="547"/>
      <c r="J34" s="547"/>
      <c r="K34" s="547"/>
      <c r="L34" s="366" t="s">
        <v>95</v>
      </c>
    </row>
    <row r="35" spans="1:12" s="103" customFormat="1" ht="71.400000000000006" customHeight="1" thickBot="1" x14ac:dyDescent="0.3">
      <c r="A35" s="564" t="s">
        <v>50</v>
      </c>
      <c r="B35" s="478"/>
      <c r="C35" s="171" t="s">
        <v>297</v>
      </c>
      <c r="D35" s="166" t="s">
        <v>78</v>
      </c>
      <c r="E35" s="116">
        <f>IF(D35=$N$6,1,IF(D35=$N$5,2,IF(D35=$N$4,3,IF(D35=$N$3,4,"n/a"))))</f>
        <v>1</v>
      </c>
      <c r="F35" s="524" t="s">
        <v>221</v>
      </c>
      <c r="G35" s="525"/>
      <c r="H35" s="525"/>
      <c r="I35" s="525"/>
      <c r="J35" s="525"/>
      <c r="K35" s="526"/>
      <c r="L35" s="364"/>
    </row>
    <row r="36" spans="1:12" s="103" customFormat="1" ht="71.400000000000006" customHeight="1" thickBot="1" x14ac:dyDescent="0.3">
      <c r="A36" s="562" t="s">
        <v>66</v>
      </c>
      <c r="B36" s="563"/>
      <c r="C36" s="171" t="s">
        <v>297</v>
      </c>
      <c r="D36" s="166" t="s">
        <v>78</v>
      </c>
      <c r="E36" s="116">
        <f>IF(D36=$N$6,1,IF(D36=$N$5,2,IF(D36=$N$4,3,IF(D36=$N$3,4,"n/a"))))</f>
        <v>1</v>
      </c>
      <c r="F36" s="524" t="s">
        <v>222</v>
      </c>
      <c r="G36" s="525"/>
      <c r="H36" s="525"/>
      <c r="I36" s="525"/>
      <c r="J36" s="525"/>
      <c r="K36" s="526"/>
      <c r="L36" s="364"/>
    </row>
    <row r="37" spans="1:12" s="103" customFormat="1" ht="60.75" customHeight="1" thickBot="1" x14ac:dyDescent="0.3">
      <c r="A37" s="553" t="s">
        <v>67</v>
      </c>
      <c r="B37" s="554"/>
      <c r="C37" s="171" t="s">
        <v>301</v>
      </c>
      <c r="D37" s="165" t="s">
        <v>78</v>
      </c>
      <c r="E37" s="169">
        <f>IF(D37=$N$6,1,IF(D37=$N$5,2,IF(D37=$N$4,3,IF(D37=$N$3,4,"n/a"))))</f>
        <v>1</v>
      </c>
      <c r="F37" s="555" t="s">
        <v>223</v>
      </c>
      <c r="G37" s="471"/>
      <c r="H37" s="471"/>
      <c r="I37" s="471"/>
      <c r="J37" s="471"/>
      <c r="K37" s="556"/>
      <c r="L37" s="364"/>
    </row>
    <row r="38" spans="1:12" s="103" customFormat="1" ht="25.5" customHeight="1" thickBot="1" x14ac:dyDescent="0.3">
      <c r="A38" s="41"/>
      <c r="B38" s="42"/>
      <c r="C38" s="43" t="s">
        <v>23</v>
      </c>
      <c r="D38" s="27" t="str">
        <f>IF(E38&lt;1.5,"Low",IF(E38&lt;2.5,"Moderate",IF(E38&lt;3.5,"Substantial",IF(E38&lt;4.5,"High","n/a"))))</f>
        <v>Low</v>
      </c>
      <c r="E38" s="143">
        <f>IF(COUNT(E34:E37)=0,"n/a",AVERAGE(E34:E37))</f>
        <v>1.25</v>
      </c>
      <c r="F38" s="28">
        <f>E38</f>
        <v>1.25</v>
      </c>
      <c r="G38" s="213"/>
      <c r="H38" s="29" t="s">
        <v>22</v>
      </c>
      <c r="I38" s="26" t="str">
        <f>D38</f>
        <v>Low</v>
      </c>
      <c r="J38" s="30">
        <f>IF(I38=$N$7,"n/a",IF(AND(I38=$N$5,D38=$N$6),1.5,IF(AND(I38=$N$4,D38=$N$5),2.5,IF(AND(I38=$N$3,D38=$N$4),3.5,IF(AND(I38=$N$6,D38=$N$5),1.49,IF(AND(I38=$N$5,D38=$N$4),2.49,IF(AND(I38=$N$4,D38=$N$3),3.49,E38)))))))</f>
        <v>1.25</v>
      </c>
      <c r="K38" s="179" t="s">
        <v>90</v>
      </c>
      <c r="L38" s="364"/>
    </row>
    <row r="39" spans="1:12" s="122" customFormat="1" ht="22.5" customHeight="1" thickBot="1" x14ac:dyDescent="0.35">
      <c r="A39" s="31" t="s">
        <v>213</v>
      </c>
      <c r="B39" s="32"/>
      <c r="C39" s="33"/>
      <c r="D39" s="35"/>
      <c r="E39" s="35"/>
      <c r="F39" s="34"/>
      <c r="G39" s="133"/>
      <c r="H39" s="35"/>
      <c r="I39" s="35"/>
      <c r="J39" s="34"/>
      <c r="K39" s="134"/>
      <c r="L39" s="368"/>
    </row>
    <row r="40" spans="1:12" s="122" customFormat="1" ht="22.5" customHeight="1" x14ac:dyDescent="0.3">
      <c r="A40" s="135" t="s">
        <v>32</v>
      </c>
      <c r="B40" s="136"/>
      <c r="C40" s="136"/>
      <c r="D40" s="136"/>
      <c r="E40" s="136"/>
      <c r="F40" s="136"/>
      <c r="G40" s="136"/>
      <c r="H40" s="136"/>
      <c r="I40" s="136"/>
      <c r="J40" s="136"/>
      <c r="K40" s="136"/>
      <c r="L40" s="368"/>
    </row>
    <row r="41" spans="1:12" s="103" customFormat="1" ht="75" customHeight="1" x14ac:dyDescent="0.25">
      <c r="A41" s="483" t="s">
        <v>40</v>
      </c>
      <c r="B41" s="483"/>
      <c r="C41" s="38" t="s">
        <v>295</v>
      </c>
      <c r="D41" s="46" t="s">
        <v>4</v>
      </c>
      <c r="E41" s="161">
        <f>IF(D41=$N$6,1,IF(D41=$N$5,2,IF(D41=$N$4,3,IF(D41=$N$3,4,"n/a"))))</f>
        <v>4</v>
      </c>
      <c r="F41" s="488" t="s">
        <v>319</v>
      </c>
      <c r="G41" s="488"/>
      <c r="H41" s="488"/>
      <c r="I41" s="488"/>
      <c r="J41" s="488"/>
      <c r="K41" s="488"/>
      <c r="L41" s="366" t="s">
        <v>95</v>
      </c>
    </row>
    <row r="42" spans="1:12" s="103" customFormat="1" ht="44.25" customHeight="1" thickBot="1" x14ac:dyDescent="0.3">
      <c r="A42" s="550" t="s">
        <v>138</v>
      </c>
      <c r="B42" s="551"/>
      <c r="C42" s="188" t="s">
        <v>295</v>
      </c>
      <c r="D42" s="46" t="s">
        <v>4</v>
      </c>
      <c r="E42" s="161">
        <f>IF(D42=$N$6,1,IF(D42=$N$5,2,IF(D42=$N$4,3,IF(D42=$N$3,4,"n/a"))))</f>
        <v>4</v>
      </c>
      <c r="F42" s="488" t="s">
        <v>236</v>
      </c>
      <c r="G42" s="488"/>
      <c r="H42" s="488"/>
      <c r="I42" s="488"/>
      <c r="J42" s="488"/>
      <c r="K42" s="489"/>
      <c r="L42" s="364"/>
    </row>
    <row r="43" spans="1:12" s="122" customFormat="1" ht="30" customHeight="1" thickBot="1" x14ac:dyDescent="0.35">
      <c r="A43" s="548"/>
      <c r="B43" s="549"/>
      <c r="C43" s="36" t="s">
        <v>23</v>
      </c>
      <c r="D43" s="27" t="str">
        <f>IF(E43&lt;1.5,"Low",IF(E43&lt;2.5,"Moderate",IF(E43&lt;3.5,"Substantial",IF(E43&lt;4.5,"High","n/a"))))</f>
        <v>High</v>
      </c>
      <c r="E43" s="143">
        <f>IF(COUNT(E41:E42)=0,"n/a",AVERAGE(E41:E42))</f>
        <v>4</v>
      </c>
      <c r="F43" s="28">
        <f>E43</f>
        <v>4</v>
      </c>
      <c r="G43" s="213"/>
      <c r="H43" s="29" t="s">
        <v>22</v>
      </c>
      <c r="I43" s="26" t="str">
        <f>D43</f>
        <v>High</v>
      </c>
      <c r="J43" s="30">
        <f>IF(I43=$N$7,"n/a",IF(AND(I43=$N$5,D43=$N$6),1.5,IF(AND(I43=$N$4,D43=$N$5),2.5,IF(AND(I43=$N$3,D43=$N$4),3.5,IF(AND(I43=$N$6,D43=$N$5),1.49,IF(AND(I43=$N$5,D43=$N$4),2.49,IF(AND(I43=$N$4,D43=$N$3),3.49,E43)))))))</f>
        <v>4</v>
      </c>
      <c r="K43" s="189" t="s">
        <v>90</v>
      </c>
      <c r="L43" s="371"/>
    </row>
    <row r="44" spans="1:12" s="122" customFormat="1" ht="18" customHeight="1" thickBot="1" x14ac:dyDescent="0.35">
      <c r="A44" s="137" t="s">
        <v>33</v>
      </c>
      <c r="B44" s="138"/>
      <c r="C44" s="138"/>
      <c r="D44" s="139"/>
      <c r="E44" s="139"/>
      <c r="F44" s="139"/>
      <c r="G44" s="139"/>
      <c r="H44" s="139"/>
      <c r="I44" s="139"/>
      <c r="J44" s="139"/>
      <c r="K44" s="139"/>
      <c r="L44" s="368"/>
    </row>
    <row r="45" spans="1:12" s="103" customFormat="1" ht="31.75" customHeight="1" x14ac:dyDescent="0.3">
      <c r="A45" s="483" t="s">
        <v>139</v>
      </c>
      <c r="B45" s="578"/>
      <c r="C45" s="38" t="s">
        <v>298</v>
      </c>
      <c r="D45" s="46" t="s">
        <v>4</v>
      </c>
      <c r="E45" s="161">
        <f>IF(D45=$N$6,1,IF(D45=$N$5,2,IF(D45=$N$4,3,IF(D45=$N$3,4,"n/a"))))</f>
        <v>4</v>
      </c>
      <c r="F45" s="527" t="s">
        <v>237</v>
      </c>
      <c r="G45" s="528"/>
      <c r="H45" s="528"/>
      <c r="I45" s="528"/>
      <c r="J45" s="528"/>
      <c r="K45" s="529"/>
      <c r="L45" s="364"/>
    </row>
    <row r="46" spans="1:12" s="103" customFormat="1" ht="31.75" customHeight="1" x14ac:dyDescent="0.25">
      <c r="A46" s="552" t="s">
        <v>38</v>
      </c>
      <c r="B46" s="480"/>
      <c r="C46" s="38" t="s">
        <v>299</v>
      </c>
      <c r="D46" s="46" t="s">
        <v>5</v>
      </c>
      <c r="E46" s="161">
        <f>IF(D46=$N$6,1,IF(D46=$N$5,2,IF(D46=$N$4,3,IF(D46=$N$3,4,"n/a"))))</f>
        <v>3</v>
      </c>
      <c r="F46" s="531" t="s">
        <v>320</v>
      </c>
      <c r="G46" s="531"/>
      <c r="H46" s="531"/>
      <c r="I46" s="531"/>
      <c r="J46" s="531"/>
      <c r="K46" s="531"/>
      <c r="L46" s="364"/>
    </row>
    <row r="47" spans="1:12" s="103" customFormat="1" ht="31.75" customHeight="1" x14ac:dyDescent="0.25">
      <c r="A47" s="552" t="s">
        <v>141</v>
      </c>
      <c r="B47" s="480"/>
      <c r="C47" s="38" t="s">
        <v>299</v>
      </c>
      <c r="D47" s="46" t="s">
        <v>41</v>
      </c>
      <c r="E47" s="161">
        <f>IF(D47=$N$6,1,IF(D47=$N$5,2,IF(D47=$N$4,3,IF(D47=$N$3,4,"n/a"))))</f>
        <v>2</v>
      </c>
      <c r="F47" s="525" t="s">
        <v>321</v>
      </c>
      <c r="G47" s="525"/>
      <c r="H47" s="525"/>
      <c r="I47" s="525"/>
      <c r="J47" s="525"/>
      <c r="K47" s="525"/>
      <c r="L47" s="364"/>
    </row>
    <row r="48" spans="1:12" s="103" customFormat="1" ht="31.75" customHeight="1" thickBot="1" x14ac:dyDescent="0.3">
      <c r="A48" s="550" t="s">
        <v>142</v>
      </c>
      <c r="B48" s="551"/>
      <c r="C48" s="38" t="s">
        <v>299</v>
      </c>
      <c r="D48" s="165" t="s">
        <v>41</v>
      </c>
      <c r="E48" s="161">
        <f>IF(D48=$N$6,1,IF(D48=$N$5,2,IF(D48=$N$4,3,IF(D48=$N$3,4,"n/a"))))</f>
        <v>2</v>
      </c>
      <c r="F48" s="472" t="s">
        <v>238</v>
      </c>
      <c r="G48" s="473"/>
      <c r="H48" s="473"/>
      <c r="I48" s="473"/>
      <c r="J48" s="473"/>
      <c r="K48" s="474"/>
      <c r="L48" s="364"/>
    </row>
    <row r="49" spans="1:19" s="122" customFormat="1" ht="32.25" customHeight="1" thickBot="1" x14ac:dyDescent="0.35">
      <c r="A49" s="549"/>
      <c r="B49" s="579"/>
      <c r="C49" s="36" t="s">
        <v>23</v>
      </c>
      <c r="D49" s="27" t="str">
        <f>IF(E49&lt;1.5,"Low",IF(E49&lt;2.5,"Moderate",IF(E49&lt;3.5,"Substantial",IF(E49&lt;4.5,"High","n/a"))))</f>
        <v>Substantial</v>
      </c>
      <c r="E49" s="143">
        <f>IF(COUNT(E45:E48)=0,"n/a",AVERAGE(E45:E48))</f>
        <v>2.75</v>
      </c>
      <c r="F49" s="47">
        <f>E49</f>
        <v>2.75</v>
      </c>
      <c r="G49" s="213"/>
      <c r="H49" s="48" t="s">
        <v>22</v>
      </c>
      <c r="I49" s="313" t="str">
        <f>D49</f>
        <v>Substantial</v>
      </c>
      <c r="J49" s="89">
        <f>IF(I49=$N$7,"n/a",IF(AND(I49=$N$5,D49=$N$6),1.5,IF(AND(I49=$N$4,D49=$N$5),2.5,IF(AND(I49=$N$3,D49=$N$4),3.5,IF(AND(I49=$N$6,D49=$N$5),1.49,IF(AND(I49=$N$5,D49=$N$4),2.49,IF(AND(I49=$N$4,D49=$N$3),3.49,E49)))))))</f>
        <v>2.75</v>
      </c>
      <c r="K49" s="90" t="s">
        <v>90</v>
      </c>
      <c r="L49" s="368"/>
    </row>
    <row r="50" spans="1:19" s="122" customFormat="1" ht="22.5" customHeight="1" thickBot="1" x14ac:dyDescent="0.35">
      <c r="A50" s="140" t="s">
        <v>145</v>
      </c>
      <c r="B50" s="141"/>
      <c r="C50" s="167"/>
      <c r="D50" s="167"/>
      <c r="E50" s="168"/>
      <c r="F50" s="142"/>
      <c r="G50" s="142"/>
      <c r="H50" s="142"/>
      <c r="I50" s="142"/>
      <c r="J50" s="142"/>
      <c r="K50" s="142"/>
      <c r="L50" s="368"/>
    </row>
    <row r="51" spans="1:19" s="122" customFormat="1" ht="67.25" customHeight="1" x14ac:dyDescent="0.3">
      <c r="A51" s="492" t="s">
        <v>144</v>
      </c>
      <c r="B51" s="492"/>
      <c r="C51" s="190" t="s">
        <v>298</v>
      </c>
      <c r="D51" s="166" t="s">
        <v>4</v>
      </c>
      <c r="E51" s="160">
        <f>IF(D51=$N$6,1,IF(D51=$N$5,2,IF(D51=$N$4,3,IF(D51=$N$3,4,"n/a"))))</f>
        <v>4</v>
      </c>
      <c r="F51" s="527" t="s">
        <v>322</v>
      </c>
      <c r="G51" s="528"/>
      <c r="H51" s="528"/>
      <c r="I51" s="528"/>
      <c r="J51" s="528"/>
      <c r="K51" s="529"/>
      <c r="L51" s="368"/>
    </row>
    <row r="52" spans="1:19" s="122" customFormat="1" ht="71.400000000000006" customHeight="1" x14ac:dyDescent="0.3">
      <c r="A52" s="492" t="s">
        <v>140</v>
      </c>
      <c r="B52" s="492"/>
      <c r="C52" s="190" t="s">
        <v>298</v>
      </c>
      <c r="D52" s="166" t="s">
        <v>4</v>
      </c>
      <c r="E52" s="160">
        <f>IF(D52=$N$6,1,IF(D52=$N$5,2,IF(D52=$N$4,3,IF(D52=$N$3,4,"n/a"))))</f>
        <v>4</v>
      </c>
      <c r="F52" s="524" t="s">
        <v>239</v>
      </c>
      <c r="G52" s="525"/>
      <c r="H52" s="525"/>
      <c r="I52" s="525"/>
      <c r="J52" s="525"/>
      <c r="K52" s="526"/>
      <c r="L52" s="368"/>
    </row>
    <row r="53" spans="1:19" s="122" customFormat="1" ht="66.650000000000006" customHeight="1" x14ac:dyDescent="0.3">
      <c r="A53" s="483" t="s">
        <v>143</v>
      </c>
      <c r="B53" s="483"/>
      <c r="C53" s="38" t="s">
        <v>298</v>
      </c>
      <c r="D53" s="166" t="s">
        <v>4</v>
      </c>
      <c r="E53" s="160">
        <f>IF(D53=$N$6,1,IF(D53=$N$5,2,IF(D53=$N$4,3,IF(D53=$N$3,4,"n/a"))))</f>
        <v>4</v>
      </c>
      <c r="F53" s="530" t="s">
        <v>323</v>
      </c>
      <c r="G53" s="531"/>
      <c r="H53" s="531"/>
      <c r="I53" s="531"/>
      <c r="J53" s="531"/>
      <c r="K53" s="532"/>
      <c r="L53" s="368"/>
    </row>
    <row r="54" spans="1:19" s="122" customFormat="1" ht="73.25" customHeight="1" x14ac:dyDescent="0.3">
      <c r="A54" s="492" t="s">
        <v>146</v>
      </c>
      <c r="B54" s="492"/>
      <c r="C54" s="38" t="s">
        <v>298</v>
      </c>
      <c r="D54" s="46" t="s">
        <v>4</v>
      </c>
      <c r="E54" s="169">
        <f>IF(D54=$N$6,1,IF(D54=$N$5,2,IF(D54=$N$4,3,IF(D54=$N$3,4,"n/a"))))</f>
        <v>4</v>
      </c>
      <c r="F54" s="524" t="s">
        <v>224</v>
      </c>
      <c r="G54" s="488"/>
      <c r="H54" s="525"/>
      <c r="I54" s="525"/>
      <c r="J54" s="525"/>
      <c r="K54" s="526"/>
      <c r="L54" s="368"/>
    </row>
    <row r="55" spans="1:19" s="122" customFormat="1" ht="73.25" customHeight="1" thickBot="1" x14ac:dyDescent="0.35">
      <c r="A55" s="483" t="s">
        <v>147</v>
      </c>
      <c r="B55" s="483"/>
      <c r="C55" s="38" t="s">
        <v>298</v>
      </c>
      <c r="D55" s="166" t="s">
        <v>41</v>
      </c>
      <c r="E55" s="161">
        <f>IF(D55=$N$6,1,IF(D55=$N$5,2,IF(D55=$N$4,3,IF(D55=$N$3,4,"n/a"))))</f>
        <v>2</v>
      </c>
      <c r="F55" s="525" t="s">
        <v>225</v>
      </c>
      <c r="G55" s="525"/>
      <c r="H55" s="525"/>
      <c r="I55" s="525"/>
      <c r="J55" s="488"/>
      <c r="K55" s="525"/>
      <c r="L55" s="368"/>
    </row>
    <row r="56" spans="1:19" s="103" customFormat="1" ht="28.5" customHeight="1" thickBot="1" x14ac:dyDescent="0.3">
      <c r="A56" s="543"/>
      <c r="B56" s="544"/>
      <c r="C56" s="36" t="s">
        <v>23</v>
      </c>
      <c r="D56" s="27" t="str">
        <f>IF(E56&lt;1.5,"Low",IF(E56&lt;2.5,"Moderate",IF(E56&lt;3.5,"Substantial",IF(E56&lt;4.5,"High","n/a"))))</f>
        <v>High</v>
      </c>
      <c r="E56" s="143">
        <f>IF(COUNT(E51:E55)=0,"n/a",AVERAGE(E51:E55))</f>
        <v>3.6</v>
      </c>
      <c r="F56" s="28">
        <f>E56</f>
        <v>3.6</v>
      </c>
      <c r="G56" s="213"/>
      <c r="H56" s="29" t="s">
        <v>22</v>
      </c>
      <c r="I56" s="26" t="str">
        <f>D56</f>
        <v>High</v>
      </c>
      <c r="J56" s="30">
        <f>IF(I56=$N$7,"n/a",IF(AND(I56=$N$5,D56=$N$6),1.5,IF(AND(I56=$N$4,D56=$N$5),2.5,IF(AND(I56=$N$3,D56=$N$4),3.5,IF(AND(I56=$N$6,D56=$N$5),1.49,IF(AND(I56=$N$5,D56=$N$4),2.49,IF(AND(I56=$N$4,D56=$N$3),3.49,E56)))))))</f>
        <v>3.6</v>
      </c>
      <c r="K56" s="87" t="s">
        <v>90</v>
      </c>
      <c r="L56" s="364"/>
    </row>
    <row r="57" spans="1:19" s="103" customFormat="1" ht="19.5" customHeight="1" thickBot="1" x14ac:dyDescent="0.3">
      <c r="A57" s="137" t="s">
        <v>148</v>
      </c>
      <c r="B57" s="144"/>
      <c r="C57" s="191"/>
      <c r="D57" s="145"/>
      <c r="E57" s="145"/>
      <c r="F57" s="145"/>
      <c r="G57" s="145"/>
      <c r="H57" s="145"/>
      <c r="I57" s="145"/>
      <c r="J57" s="145"/>
      <c r="K57" s="145"/>
      <c r="L57" s="364"/>
    </row>
    <row r="58" spans="1:19" s="122" customFormat="1" ht="59.4" customHeight="1" x14ac:dyDescent="0.3">
      <c r="A58" s="483" t="s">
        <v>37</v>
      </c>
      <c r="B58" s="483"/>
      <c r="C58" s="38" t="s">
        <v>298</v>
      </c>
      <c r="D58" s="164" t="s">
        <v>5</v>
      </c>
      <c r="E58" s="169">
        <f>IF(D58=$N$6,1,IF(D58=$N$5,2,IF(D58=$N$4,3,IF(D58=$N$3,4,"n/a"))))</f>
        <v>3</v>
      </c>
      <c r="F58" s="537" t="s">
        <v>324</v>
      </c>
      <c r="G58" s="538"/>
      <c r="H58" s="538"/>
      <c r="I58" s="538"/>
      <c r="J58" s="538"/>
      <c r="K58" s="539"/>
      <c r="L58" s="368"/>
    </row>
    <row r="59" spans="1:19" s="122" customFormat="1" ht="60.65" customHeight="1" x14ac:dyDescent="0.3">
      <c r="A59" s="483" t="s">
        <v>34</v>
      </c>
      <c r="B59" s="483"/>
      <c r="C59" s="38" t="s">
        <v>298</v>
      </c>
      <c r="D59" s="46" t="s">
        <v>4</v>
      </c>
      <c r="E59" s="116">
        <f>IF(D59=$N$6,1,IF(D59=$N$5,2,IF(D59=$N$4,3,IF(D59=$N$3,4,"n/a"))))</f>
        <v>4</v>
      </c>
      <c r="F59" s="524" t="s">
        <v>240</v>
      </c>
      <c r="G59" s="525"/>
      <c r="H59" s="525"/>
      <c r="I59" s="525"/>
      <c r="J59" s="525"/>
      <c r="K59" s="526"/>
      <c r="L59" s="368"/>
    </row>
    <row r="60" spans="1:19" s="122" customFormat="1" ht="58.25" customHeight="1" x14ac:dyDescent="0.3">
      <c r="A60" s="483" t="s">
        <v>35</v>
      </c>
      <c r="B60" s="483"/>
      <c r="C60" s="38" t="s">
        <v>298</v>
      </c>
      <c r="D60" s="46" t="s">
        <v>78</v>
      </c>
      <c r="E60" s="116">
        <f>IF(D60=$N$6,1,IF(D60=$N$5,2,IF(D60=$N$4,3,IF(D60=$N$3,4,"n/a"))))</f>
        <v>1</v>
      </c>
      <c r="F60" s="524" t="s">
        <v>241</v>
      </c>
      <c r="G60" s="525"/>
      <c r="H60" s="525"/>
      <c r="I60" s="525"/>
      <c r="J60" s="525"/>
      <c r="K60" s="526"/>
      <c r="L60" s="372"/>
    </row>
    <row r="61" spans="1:19" s="122" customFormat="1" ht="61.25" customHeight="1" thickBot="1" x14ac:dyDescent="0.35">
      <c r="A61" s="492" t="s">
        <v>36</v>
      </c>
      <c r="B61" s="492"/>
      <c r="C61" s="190" t="s">
        <v>298</v>
      </c>
      <c r="D61" s="174" t="s">
        <v>5</v>
      </c>
      <c r="E61" s="173">
        <f>IF(D61=$N$6,1,IF(D61=$N$5,2,IF(D61=$N$4,3,IF(D61=$N$3,4,"n/a"))))</f>
        <v>3</v>
      </c>
      <c r="F61" s="472" t="s">
        <v>325</v>
      </c>
      <c r="G61" s="473"/>
      <c r="H61" s="473"/>
      <c r="I61" s="473"/>
      <c r="J61" s="473"/>
      <c r="K61" s="474"/>
      <c r="L61" s="368"/>
    </row>
    <row r="62" spans="1:19" s="103" customFormat="1" ht="28.5" customHeight="1" thickBot="1" x14ac:dyDescent="0.3">
      <c r="A62" s="493"/>
      <c r="B62" s="494"/>
      <c r="C62" s="36" t="s">
        <v>23</v>
      </c>
      <c r="D62" s="27" t="str">
        <f>IF(E62&lt;1.5,"Low",IF(E62&lt;2.5,"Moderate",IF(E62&lt;3.5,"Substantial",IF(E62&lt;4.5,"High","n/a"))))</f>
        <v>Substantial</v>
      </c>
      <c r="E62" s="143">
        <f>IF(COUNT(E58:E61)=0,"n/a",AVERAGE(E58:E61))</f>
        <v>2.75</v>
      </c>
      <c r="F62" s="47">
        <f>E62</f>
        <v>2.75</v>
      </c>
      <c r="G62" s="118"/>
      <c r="H62" s="48" t="s">
        <v>22</v>
      </c>
      <c r="I62" s="313" t="str">
        <f>D62</f>
        <v>Substantial</v>
      </c>
      <c r="J62" s="89">
        <f>IF(I62=$N$7,"n/a",IF(AND(I62=$N$5,D62=$N$6),1.5,IF(AND(I62=$N$4,D62=$N$5),2.5,IF(AND(I62=$N$3,D62=$N$4),3.5,IF(AND(I62=$N$6,D62=$N$5),1.49,IF(AND(I62=$N$5,D62=$N$4),2.49,IF(AND(I62=$N$4,D62=$N$3),3.49,E62)))))))</f>
        <v>2.75</v>
      </c>
      <c r="K62" s="314" t="s">
        <v>90</v>
      </c>
      <c r="L62" s="364"/>
    </row>
    <row r="63" spans="1:19" s="103" customFormat="1" ht="21.75" customHeight="1" x14ac:dyDescent="0.25">
      <c r="A63" s="195" t="s">
        <v>149</v>
      </c>
      <c r="B63" s="136"/>
      <c r="C63" s="144"/>
      <c r="D63" s="136"/>
      <c r="E63" s="191"/>
      <c r="F63" s="191"/>
      <c r="G63" s="191"/>
      <c r="H63" s="191"/>
      <c r="I63" s="191"/>
      <c r="J63" s="191"/>
      <c r="K63" s="194"/>
      <c r="L63" s="364"/>
    </row>
    <row r="64" spans="1:19" s="146" customFormat="1" ht="84.65" customHeight="1" x14ac:dyDescent="0.25">
      <c r="A64" s="479" t="s">
        <v>150</v>
      </c>
      <c r="B64" s="480"/>
      <c r="C64" s="38" t="s">
        <v>298</v>
      </c>
      <c r="D64" s="192" t="s">
        <v>5</v>
      </c>
      <c r="E64" s="193">
        <f>IF(D64=$N$6,1,IF(D64=$N$5,2,IF(D64=$N$4,3,IF(D64=$N$3,4,"n/a"))))</f>
        <v>3</v>
      </c>
      <c r="F64" s="471" t="s">
        <v>326</v>
      </c>
      <c r="G64" s="471"/>
      <c r="H64" s="471"/>
      <c r="I64" s="471"/>
      <c r="J64" s="471"/>
      <c r="K64" s="471"/>
      <c r="L64" s="373"/>
      <c r="S64" s="147"/>
    </row>
    <row r="65" spans="1:19" s="146" customFormat="1" ht="76.25" customHeight="1" thickBot="1" x14ac:dyDescent="0.3">
      <c r="A65" s="484" t="s">
        <v>151</v>
      </c>
      <c r="B65" s="485"/>
      <c r="C65" s="188" t="s">
        <v>298</v>
      </c>
      <c r="D65" s="163" t="s">
        <v>41</v>
      </c>
      <c r="E65" s="161">
        <f>IF(D65=$N$6,1,IF(D65=$N$5,2,IF(D65=$N$4,3,IF(D65=$N$3,4,"n/a"))))</f>
        <v>2</v>
      </c>
      <c r="F65" s="472" t="s">
        <v>327</v>
      </c>
      <c r="G65" s="473"/>
      <c r="H65" s="473"/>
      <c r="I65" s="473"/>
      <c r="J65" s="473"/>
      <c r="K65" s="474"/>
      <c r="L65" s="373"/>
      <c r="S65" s="147"/>
    </row>
    <row r="66" spans="1:19" s="146" customFormat="1" ht="30" customHeight="1" thickBot="1" x14ac:dyDescent="0.3">
      <c r="A66" s="481"/>
      <c r="B66" s="482"/>
      <c r="C66" s="36" t="s">
        <v>23</v>
      </c>
      <c r="D66" s="27" t="str">
        <f>IF(E66&lt;1.5,"Low",IF(E66&lt;2.5,"Moderate",IF(E66&lt;3.5,"Substantial",IF(E66&lt;4.5,"High","n/a"))))</f>
        <v>Substantial</v>
      </c>
      <c r="E66" s="143">
        <f>IF(COUNT(E64:E65)=0,"n/a",AVERAGE(E64:E65))</f>
        <v>2.5</v>
      </c>
      <c r="F66" s="47">
        <f>E66</f>
        <v>2.5</v>
      </c>
      <c r="G66" s="213"/>
      <c r="H66" s="48" t="s">
        <v>22</v>
      </c>
      <c r="I66" s="313" t="str">
        <f>D66</f>
        <v>Substantial</v>
      </c>
      <c r="J66" s="89">
        <f>IF(I66=$N$7,"n/a",IF(AND(I66=$N$5,D66=$N$6),1.5,IF(AND(I66=$N$4,D66=$N$5),2.5,IF(AND(I66=$N$3,D66=$N$4),3.5,IF(AND(I66=$N$6,D66=$N$5),1.49,IF(AND(I66=$N$5,D66=$N$4),2.49,IF(AND(I66=$N$4,D66=$N$3),3.49,E66)))))))</f>
        <v>2.5</v>
      </c>
      <c r="K66" s="315" t="s">
        <v>90</v>
      </c>
      <c r="L66" s="374"/>
      <c r="S66" s="147"/>
    </row>
    <row r="67" spans="1:19" s="150" customFormat="1" ht="24.75" customHeight="1" thickBot="1" x14ac:dyDescent="0.3">
      <c r="A67" s="148" t="s">
        <v>214</v>
      </c>
      <c r="B67" s="149"/>
      <c r="C67" s="205"/>
      <c r="D67" s="205"/>
      <c r="E67" s="205"/>
      <c r="F67" s="205"/>
      <c r="G67" s="205"/>
      <c r="H67" s="205"/>
      <c r="I67" s="205"/>
      <c r="J67" s="205"/>
      <c r="K67" s="206"/>
      <c r="L67" s="366" t="s">
        <v>95</v>
      </c>
      <c r="Q67" s="151"/>
    </row>
    <row r="68" spans="1:19" s="150" customFormat="1" ht="23.25" customHeight="1" x14ac:dyDescent="0.25">
      <c r="A68" s="199" t="s">
        <v>207</v>
      </c>
      <c r="B68" s="200"/>
      <c r="C68" s="202"/>
      <c r="D68" s="203"/>
      <c r="E68" s="203"/>
      <c r="F68" s="203"/>
      <c r="G68" s="203"/>
      <c r="H68" s="203"/>
      <c r="I68" s="203"/>
      <c r="J68" s="203"/>
      <c r="K68" s="204"/>
      <c r="L68" s="373"/>
    </row>
    <row r="69" spans="1:19" s="150" customFormat="1" ht="79.75" customHeight="1" x14ac:dyDescent="0.25">
      <c r="A69" s="506" t="s">
        <v>51</v>
      </c>
      <c r="B69" s="577"/>
      <c r="C69" s="221" t="s">
        <v>300</v>
      </c>
      <c r="D69" s="222" t="s">
        <v>41</v>
      </c>
      <c r="E69" s="116">
        <f>IF(D69=$N$6,1,IF(D69=$N$5,2,IF(D69=$N$4,3,IF(D69=$N$3,4,"n/a"))))</f>
        <v>2</v>
      </c>
      <c r="F69" s="501" t="s">
        <v>328</v>
      </c>
      <c r="G69" s="501"/>
      <c r="H69" s="501"/>
      <c r="I69" s="501"/>
      <c r="J69" s="501"/>
      <c r="K69" s="501"/>
      <c r="L69" s="366" t="s">
        <v>95</v>
      </c>
    </row>
    <row r="70" spans="1:19" s="150" customFormat="1" ht="93.65" customHeight="1" thickBot="1" x14ac:dyDescent="0.3">
      <c r="A70" s="486" t="s">
        <v>52</v>
      </c>
      <c r="B70" s="487"/>
      <c r="C70" s="603" t="s">
        <v>300</v>
      </c>
      <c r="D70" s="163" t="s">
        <v>5</v>
      </c>
      <c r="E70" s="173">
        <f>IF(D70=$N$6,1,IF(D70=$N$5,2,IF(D70=$N$4,3,IF(D70=$N$3,4,"n/a"))))</f>
        <v>3</v>
      </c>
      <c r="F70" s="495" t="s">
        <v>242</v>
      </c>
      <c r="G70" s="496"/>
      <c r="H70" s="495"/>
      <c r="I70" s="495"/>
      <c r="J70" s="496"/>
      <c r="K70" s="495"/>
      <c r="L70" s="366" t="s">
        <v>95</v>
      </c>
    </row>
    <row r="71" spans="1:19" s="150" customFormat="1" ht="27" customHeight="1" thickBot="1" x14ac:dyDescent="0.3">
      <c r="A71" s="490"/>
      <c r="B71" s="491"/>
      <c r="C71" s="209" t="s">
        <v>23</v>
      </c>
      <c r="D71" s="45" t="str">
        <f>IF(E71&lt;1.5,"Low",IF(E71&lt;2.5,"Moderate",IF(E71&lt;3.5,"Substantial",IF(E71&lt;4.5,"High","n/a"))))</f>
        <v>Substantial</v>
      </c>
      <c r="E71" s="143">
        <f>IF(COUNT(E69:E70)=0,"n/a",AVERAGE(E69:E70))</f>
        <v>2.5</v>
      </c>
      <c r="F71" s="28">
        <f>E71</f>
        <v>2.5</v>
      </c>
      <c r="G71" s="213"/>
      <c r="H71" s="29" t="s">
        <v>22</v>
      </c>
      <c r="I71" s="26" t="str">
        <f>D71</f>
        <v>Substantial</v>
      </c>
      <c r="J71" s="30">
        <f>IF(I71=$N$7,"n/a",IF(AND(I71=$N$5,D71=$N$6),1.5,IF(AND(I71=$N$4,D71=$N$5),2.5,IF(AND(I71=$N$3,D71=$N$4),3.5,IF(AND(I71=$N$6,D71=$N$5),1.49,IF(AND(I71=$N$5,D71=$N$4),2.49,IF(AND(I71=$N$4,D71=$N$3),3.49,E71)))))))</f>
        <v>2.5</v>
      </c>
      <c r="K71" s="179" t="s">
        <v>90</v>
      </c>
      <c r="L71" s="373"/>
    </row>
    <row r="72" spans="1:19" s="150" customFormat="1" ht="20.25" customHeight="1" x14ac:dyDescent="0.25">
      <c r="A72" s="301" t="s">
        <v>42</v>
      </c>
      <c r="B72" s="202"/>
      <c r="C72" s="203"/>
      <c r="D72" s="196"/>
      <c r="E72" s="197"/>
      <c r="F72" s="203"/>
      <c r="G72" s="203"/>
      <c r="H72" s="203"/>
      <c r="I72" s="203"/>
      <c r="J72" s="203"/>
      <c r="K72" s="204"/>
      <c r="L72" s="373"/>
    </row>
    <row r="73" spans="1:19" s="150" customFormat="1" ht="87.65" customHeight="1" x14ac:dyDescent="0.25">
      <c r="A73" s="475" t="s">
        <v>73</v>
      </c>
      <c r="B73" s="476"/>
      <c r="C73" s="604" t="s">
        <v>300</v>
      </c>
      <c r="D73" s="166" t="s">
        <v>78</v>
      </c>
      <c r="E73" s="116">
        <f>IF(D73=$N$6,1,IF(D73=$N$5,2,IF(D73=$N$4,3,IF(D73=$N$3,4,"n/a"))))</f>
        <v>1</v>
      </c>
      <c r="F73" s="582" t="s">
        <v>329</v>
      </c>
      <c r="G73" s="495"/>
      <c r="H73" s="495"/>
      <c r="I73" s="495"/>
      <c r="J73" s="495"/>
      <c r="K73" s="583"/>
      <c r="L73" s="366"/>
    </row>
    <row r="74" spans="1:19" s="150" customFormat="1" ht="87.65" customHeight="1" thickBot="1" x14ac:dyDescent="0.3">
      <c r="A74" s="486" t="s">
        <v>56</v>
      </c>
      <c r="B74" s="487"/>
      <c r="C74" s="605" t="s">
        <v>300</v>
      </c>
      <c r="D74" s="165" t="s">
        <v>78</v>
      </c>
      <c r="E74" s="173">
        <f>IF(D74=$N$6,1,IF(D74=$N$5,2,IF(D74=$N$4,3,IF(D74=$N$3,4,"n/a"))))</f>
        <v>1</v>
      </c>
      <c r="F74" s="574" t="s">
        <v>243</v>
      </c>
      <c r="G74" s="575"/>
      <c r="H74" s="575"/>
      <c r="I74" s="575"/>
      <c r="J74" s="575"/>
      <c r="K74" s="595"/>
      <c r="L74" s="366" t="s">
        <v>95</v>
      </c>
    </row>
    <row r="75" spans="1:19" s="150" customFormat="1" ht="25.5" customHeight="1" thickBot="1" x14ac:dyDescent="0.3">
      <c r="A75" s="502"/>
      <c r="B75" s="503"/>
      <c r="C75" s="44" t="s">
        <v>23</v>
      </c>
      <c r="D75" s="27" t="str">
        <f>IF(E75&lt;1.5,"Low",IF(E75&lt;2.5,"Moderate",IF(E75&lt;3.5,"Substantial",IF(E75&lt;4.5,"High","n/a"))))</f>
        <v>Low</v>
      </c>
      <c r="E75" s="143">
        <f>IF(COUNT(E73:E74)=0,"n/a",AVERAGE(E73:E74))</f>
        <v>1</v>
      </c>
      <c r="F75" s="47">
        <f>E75</f>
        <v>1</v>
      </c>
      <c r="G75" s="213"/>
      <c r="H75" s="48" t="s">
        <v>22</v>
      </c>
      <c r="I75" s="313" t="str">
        <f>D75</f>
        <v>Low</v>
      </c>
      <c r="J75" s="89">
        <f>IF(I75=$N$7,"n/a",IF(AND(I75=$N$5,D75=$N$6),1.5,IF(AND(I75=$N$4,D75=$N$5),2.5,IF(AND(I75=$N$3,D75=$N$4),3.5,IF(AND(I75=$N$6,D75=$N$5),1.49,IF(AND(I75=$N$5,D75=$N$4),2.49,IF(AND(I75=$N$4,D75=$N$3),3.49,E75)))))))</f>
        <v>1</v>
      </c>
      <c r="K75" s="90" t="s">
        <v>90</v>
      </c>
      <c r="L75" s="373"/>
    </row>
    <row r="76" spans="1:19" s="150" customFormat="1" ht="21" customHeight="1" x14ac:dyDescent="0.25">
      <c r="A76" s="199" t="s">
        <v>53</v>
      </c>
      <c r="B76" s="200"/>
      <c r="C76" s="196"/>
      <c r="D76" s="196"/>
      <c r="E76" s="196"/>
      <c r="F76" s="196"/>
      <c r="G76" s="196"/>
      <c r="H76" s="196"/>
      <c r="I76" s="196"/>
      <c r="J76" s="196"/>
      <c r="K76" s="198"/>
      <c r="L76" s="373"/>
    </row>
    <row r="77" spans="1:19" s="150" customFormat="1" ht="66.650000000000006" customHeight="1" x14ac:dyDescent="0.25">
      <c r="A77" s="506" t="s">
        <v>54</v>
      </c>
      <c r="B77" s="577"/>
      <c r="C77" s="605" t="s">
        <v>300</v>
      </c>
      <c r="D77" s="166" t="s">
        <v>78</v>
      </c>
      <c r="E77" s="116">
        <f>IF(D77=$N$6,1,IF(D77=$N$5,2,IF(D77=$N$4,3,IF(D77=$N$3,4,"n/a"))))</f>
        <v>1</v>
      </c>
      <c r="F77" s="501" t="s">
        <v>330</v>
      </c>
      <c r="G77" s="501"/>
      <c r="H77" s="501"/>
      <c r="I77" s="501"/>
      <c r="J77" s="501"/>
      <c r="K77" s="501"/>
      <c r="L77" s="373"/>
    </row>
    <row r="78" spans="1:19" s="150" customFormat="1" ht="71.400000000000006" customHeight="1" x14ac:dyDescent="0.25">
      <c r="A78" s="506" t="s">
        <v>55</v>
      </c>
      <c r="B78" s="507"/>
      <c r="C78" s="605" t="s">
        <v>300</v>
      </c>
      <c r="D78" s="46" t="s">
        <v>78</v>
      </c>
      <c r="E78" s="116">
        <f>IF(D78=$N$6,1,IF(D78=$N$5,2,IF(D78=$N$4,3,IF(D78=$N$3,4,"n/a"))))</f>
        <v>1</v>
      </c>
      <c r="F78" s="582" t="s">
        <v>331</v>
      </c>
      <c r="G78" s="495"/>
      <c r="H78" s="495"/>
      <c r="I78" s="495"/>
      <c r="J78" s="495"/>
      <c r="K78" s="596"/>
      <c r="L78" s="366" t="s">
        <v>95</v>
      </c>
    </row>
    <row r="79" spans="1:19" s="150" customFormat="1" ht="88.75" customHeight="1" thickBot="1" x14ac:dyDescent="0.3">
      <c r="A79" s="506" t="s">
        <v>74</v>
      </c>
      <c r="B79" s="507"/>
      <c r="C79" s="605" t="s">
        <v>300</v>
      </c>
      <c r="D79" s="165" t="s">
        <v>78</v>
      </c>
      <c r="E79" s="173">
        <f>IF(D79=$N$6,1,IF(D79=$N$5,2,IF(D79=$N$4,3,IF(D79=$N$3,4,"n/a"))))</f>
        <v>1</v>
      </c>
      <c r="F79" s="495" t="s">
        <v>244</v>
      </c>
      <c r="G79" s="496"/>
      <c r="H79" s="495"/>
      <c r="I79" s="495"/>
      <c r="J79" s="496"/>
      <c r="K79" s="495"/>
      <c r="L79" s="366" t="s">
        <v>95</v>
      </c>
    </row>
    <row r="80" spans="1:19" s="150" customFormat="1" ht="27.75" customHeight="1" thickBot="1" x14ac:dyDescent="0.3">
      <c r="A80" s="502"/>
      <c r="B80" s="503"/>
      <c r="C80" s="44" t="s">
        <v>23</v>
      </c>
      <c r="D80" s="27" t="str">
        <f>IF(E80&lt;1.5,"Low",IF(E80&lt;2.5,"Moderate",IF(E80&lt;3.5,"Substantial",IF(E80&lt;4.5,"High","n/a"))))</f>
        <v>Low</v>
      </c>
      <c r="E80" s="143">
        <f>IF(COUNT(E77:E79)=0,"n/a",AVERAGE(E77:E79))</f>
        <v>1</v>
      </c>
      <c r="F80" s="28">
        <f>E80</f>
        <v>1</v>
      </c>
      <c r="G80" s="213"/>
      <c r="H80" s="29" t="s">
        <v>22</v>
      </c>
      <c r="I80" s="26" t="str">
        <f>D80</f>
        <v>Low</v>
      </c>
      <c r="J80" s="30">
        <f>IF(I80=$N$7,"n/a",IF(AND(I80=$N$5,D80=$N$6),1.5,IF(AND(I80=$N$4,D80=$N$5),2.5,IF(AND(I80=$N$3,D80=$N$4),3.5,IF(AND(I80=$N$6,D80=$N$5),1.49,IF(AND(I80=$N$5,D80=$N$4),2.49,IF(AND(I80=$N$4,D80=$N$3),3.49,E80)))))))</f>
        <v>1</v>
      </c>
      <c r="K80" s="87" t="s">
        <v>90</v>
      </c>
      <c r="L80" s="373"/>
    </row>
    <row r="81" spans="1:17" s="150" customFormat="1" ht="21" customHeight="1" x14ac:dyDescent="0.25">
      <c r="A81" s="201" t="s">
        <v>57</v>
      </c>
      <c r="B81" s="196"/>
      <c r="C81" s="196"/>
      <c r="D81" s="196"/>
      <c r="E81" s="196"/>
      <c r="F81" s="196"/>
      <c r="G81" s="196"/>
      <c r="H81" s="196"/>
      <c r="I81" s="196"/>
      <c r="J81" s="196"/>
      <c r="K81" s="198"/>
      <c r="L81" s="373"/>
    </row>
    <row r="82" spans="1:17" s="150" customFormat="1" ht="86.4" customHeight="1" x14ac:dyDescent="0.25">
      <c r="A82" s="506" t="s">
        <v>76</v>
      </c>
      <c r="B82" s="577"/>
      <c r="C82" s="605" t="s">
        <v>300</v>
      </c>
      <c r="D82" s="166" t="s">
        <v>41</v>
      </c>
      <c r="E82" s="116">
        <f>IF(D82=$N$6,1,IF(D82=$N$5,2,IF(D82=$N$4,3,IF(D82=$N$3,4,"n/a"))))</f>
        <v>2</v>
      </c>
      <c r="F82" s="501" t="s">
        <v>332</v>
      </c>
      <c r="G82" s="501"/>
      <c r="H82" s="501"/>
      <c r="I82" s="501"/>
      <c r="J82" s="501"/>
      <c r="K82" s="501"/>
      <c r="L82" s="373"/>
    </row>
    <row r="83" spans="1:17" s="150" customFormat="1" ht="55.25" customHeight="1" thickBot="1" x14ac:dyDescent="0.3">
      <c r="A83" s="486" t="s">
        <v>77</v>
      </c>
      <c r="B83" s="487"/>
      <c r="C83" s="605" t="s">
        <v>300</v>
      </c>
      <c r="D83" s="165" t="s">
        <v>41</v>
      </c>
      <c r="E83" s="173">
        <f>IF(D83=$N$6,1,IF(D83=$N$5,2,IF(D83=$N$4,3,IF(D83=$N$3,4,"n/a"))))</f>
        <v>2</v>
      </c>
      <c r="F83" s="574" t="s">
        <v>333</v>
      </c>
      <c r="G83" s="575"/>
      <c r="H83" s="575"/>
      <c r="I83" s="575"/>
      <c r="J83" s="575"/>
      <c r="K83" s="576"/>
      <c r="L83" s="366" t="s">
        <v>95</v>
      </c>
      <c r="Q83" s="152"/>
    </row>
    <row r="84" spans="1:17" s="150" customFormat="1" ht="26.25" customHeight="1" thickBot="1" x14ac:dyDescent="0.3">
      <c r="A84" s="207"/>
      <c r="B84" s="208"/>
      <c r="C84" s="209" t="s">
        <v>23</v>
      </c>
      <c r="D84" s="27" t="str">
        <f>IF(E84&lt;1.5,"Low",IF(E84&lt;2.5,"Moderate",IF(E84&lt;3.5,"Substantial",IF(E84&lt;4.5,"High","n/a"))))</f>
        <v>Moderate</v>
      </c>
      <c r="E84" s="143">
        <f>IF(COUNT(E82:E83)=0,"n/a",AVERAGE(E82:E83))</f>
        <v>2</v>
      </c>
      <c r="F84" s="47">
        <f>E84</f>
        <v>2</v>
      </c>
      <c r="G84" s="214"/>
      <c r="H84" s="312" t="s">
        <v>22</v>
      </c>
      <c r="I84" s="313" t="str">
        <f>D84</f>
        <v>Moderate</v>
      </c>
      <c r="J84" s="89">
        <f>IF(I84=$N$7,"n/a",IF(AND(I84=$N$5,D84=$N$6),1.5,IF(AND(I84=$N$4,D84=$N$5),2.5,IF(AND(I84=$N$3,D84=$N$4),3.5,IF(AND(I84=$N$6,D84=$N$5),1.49,IF(AND(I84=$N$5,D84=$N$4),2.49,IF(AND(I84=$N$4,D84=$N$3),3.49,E84)))))))</f>
        <v>2</v>
      </c>
      <c r="K84" s="314" t="s">
        <v>90</v>
      </c>
      <c r="L84" s="373"/>
      <c r="Q84" s="153"/>
    </row>
    <row r="85" spans="1:17" s="150" customFormat="1" ht="26.25" customHeight="1" thickBot="1" x14ac:dyDescent="0.3">
      <c r="A85" s="278" t="s">
        <v>215</v>
      </c>
      <c r="B85" s="277"/>
      <c r="C85" s="277"/>
      <c r="D85" s="277"/>
      <c r="E85" s="277"/>
      <c r="F85" s="277"/>
      <c r="G85" s="277"/>
      <c r="H85" s="277"/>
      <c r="I85" s="277"/>
      <c r="J85" s="277"/>
      <c r="K85" s="277"/>
      <c r="L85" s="373"/>
      <c r="Q85" s="153"/>
    </row>
    <row r="86" spans="1:17" s="150" customFormat="1" ht="21.75" customHeight="1" x14ac:dyDescent="0.25">
      <c r="A86" s="382" t="s">
        <v>172</v>
      </c>
      <c r="B86" s="279"/>
      <c r="C86" s="279"/>
      <c r="D86" s="279"/>
      <c r="E86" s="279"/>
      <c r="F86" s="279"/>
      <c r="G86" s="279"/>
      <c r="H86" s="279"/>
      <c r="I86" s="279"/>
      <c r="J86" s="279"/>
      <c r="K86" s="280"/>
      <c r="L86" s="373"/>
      <c r="Q86" s="153"/>
    </row>
    <row r="87" spans="1:17" s="150" customFormat="1" ht="69" customHeight="1" x14ac:dyDescent="0.25">
      <c r="A87" s="514" t="s">
        <v>152</v>
      </c>
      <c r="B87" s="515"/>
      <c r="C87" s="281" t="s">
        <v>302</v>
      </c>
      <c r="D87" s="222" t="s">
        <v>41</v>
      </c>
      <c r="E87" s="210">
        <f>IF(D87=$N$6,1,IF(D87=$N$5,2,IF(D87=$N$4,3,IF(D87=$N$3,4,"n/a"))))</f>
        <v>2</v>
      </c>
      <c r="F87" s="501" t="s">
        <v>334</v>
      </c>
      <c r="G87" s="501"/>
      <c r="H87" s="501"/>
      <c r="I87" s="501"/>
      <c r="J87" s="501"/>
      <c r="K87" s="501"/>
      <c r="L87" s="373"/>
      <c r="Q87" s="153"/>
    </row>
    <row r="88" spans="1:17" s="150" customFormat="1" ht="60.65" customHeight="1" x14ac:dyDescent="0.25">
      <c r="A88" s="514" t="s">
        <v>153</v>
      </c>
      <c r="B88" s="515"/>
      <c r="C88" s="281" t="s">
        <v>298</v>
      </c>
      <c r="D88" s="222" t="s">
        <v>5</v>
      </c>
      <c r="E88" s="210">
        <f>IF(D88=$N$6,1,IF(D88=$N$5,2,IF(D88=$N$4,3,IF(D88=$N$3,4,"n/a"))))</f>
        <v>3</v>
      </c>
      <c r="F88" s="501" t="s">
        <v>335</v>
      </c>
      <c r="G88" s="501"/>
      <c r="H88" s="501"/>
      <c r="I88" s="501"/>
      <c r="J88" s="501"/>
      <c r="K88" s="501"/>
      <c r="L88" s="366" t="s">
        <v>95</v>
      </c>
      <c r="Q88" s="153"/>
    </row>
    <row r="89" spans="1:17" s="150" customFormat="1" ht="30.75" customHeight="1" x14ac:dyDescent="0.25">
      <c r="A89" s="514" t="s">
        <v>154</v>
      </c>
      <c r="B89" s="515"/>
      <c r="C89" s="281" t="s">
        <v>298</v>
      </c>
      <c r="D89" s="222" t="s">
        <v>41</v>
      </c>
      <c r="E89" s="210">
        <f>IF(D89=$N$6,1,IF(D89=$N$5,2,IF(D89=$N$4,3,IF(D89=$N$3,4,"n/a"))))</f>
        <v>2</v>
      </c>
      <c r="F89" s="501" t="s">
        <v>226</v>
      </c>
      <c r="G89" s="501"/>
      <c r="H89" s="501"/>
      <c r="I89" s="501"/>
      <c r="J89" s="501"/>
      <c r="K89" s="501"/>
      <c r="L89" s="373"/>
      <c r="Q89" s="153"/>
    </row>
    <row r="90" spans="1:17" s="150" customFormat="1" ht="88.25" customHeight="1" thickBot="1" x14ac:dyDescent="0.3">
      <c r="A90" s="514" t="s">
        <v>173</v>
      </c>
      <c r="B90" s="515"/>
      <c r="C90" s="606" t="s">
        <v>300</v>
      </c>
      <c r="D90" s="222" t="s">
        <v>78</v>
      </c>
      <c r="E90" s="210">
        <f>IF(D90=$N$6,1,IF(D90=$N$5,2,IF(D90=$N$4,3,IF(D90=$N$3,4,"n/a"))))</f>
        <v>1</v>
      </c>
      <c r="F90" s="501" t="s">
        <v>336</v>
      </c>
      <c r="G90" s="501"/>
      <c r="H90" s="501"/>
      <c r="I90" s="501"/>
      <c r="J90" s="516"/>
      <c r="K90" s="501"/>
      <c r="L90" s="373"/>
      <c r="Q90" s="153"/>
    </row>
    <row r="91" spans="1:17" s="150" customFormat="1" ht="26.25" customHeight="1" thickBot="1" x14ac:dyDescent="0.3">
      <c r="A91" s="519"/>
      <c r="B91" s="520"/>
      <c r="C91" s="282" t="s">
        <v>23</v>
      </c>
      <c r="D91" s="27" t="str">
        <f>IF(E91&lt;1.5,"Low",IF(E91&lt;2.5,"Moderate",IF(E91&lt;3.5,"Substantial",IF(E91&lt;4.5,"High","n/a"))))</f>
        <v>Moderate</v>
      </c>
      <c r="E91" s="143">
        <f>IF(COUNT(E87:E90)=0,"n/a",AVERAGE(E87:E90))</f>
        <v>2</v>
      </c>
      <c r="F91" s="28">
        <f>E91</f>
        <v>2</v>
      </c>
      <c r="G91" s="214"/>
      <c r="H91" s="49" t="s">
        <v>22</v>
      </c>
      <c r="I91" s="26" t="str">
        <f>D91</f>
        <v>Moderate</v>
      </c>
      <c r="J91" s="30">
        <f>IF(I91=$N$7,"n/a",IF(AND(I91=$N$5,D91=$N$6),1.5,IF(AND(I91=$N$4,D91=$N$5),2.5,IF(AND(I91=$N$3,D91=$N$4),3.5,IF(AND(I91=$N$6,D91=$N$5),1.49,IF(AND(I91=$N$5,D91=$N$4),2.49,IF(AND(I91=$N$4,D91=$N$3),3.49,E91)))))))</f>
        <v>2</v>
      </c>
      <c r="K91" s="87" t="s">
        <v>90</v>
      </c>
      <c r="L91" s="373"/>
      <c r="Q91" s="153"/>
    </row>
    <row r="92" spans="1:17" s="150" customFormat="1" ht="21" customHeight="1" x14ac:dyDescent="0.25">
      <c r="A92" s="382" t="s">
        <v>165</v>
      </c>
      <c r="B92" s="279"/>
      <c r="C92" s="279"/>
      <c r="D92" s="279"/>
      <c r="E92" s="279"/>
      <c r="F92" s="279"/>
      <c r="G92" s="279"/>
      <c r="H92" s="279"/>
      <c r="I92" s="279"/>
      <c r="J92" s="279"/>
      <c r="K92" s="280"/>
      <c r="L92" s="373"/>
      <c r="Q92" s="153"/>
    </row>
    <row r="93" spans="1:17" s="150" customFormat="1" ht="47.25" customHeight="1" x14ac:dyDescent="0.25">
      <c r="A93" s="514" t="s">
        <v>166</v>
      </c>
      <c r="B93" s="515"/>
      <c r="C93" s="606" t="s">
        <v>300</v>
      </c>
      <c r="D93" s="166" t="s">
        <v>41</v>
      </c>
      <c r="E93" s="210">
        <f>IF(D93=$N$6,1,IF(D93=$N$5,2,IF(D93=$N$4,3,IF(D93=$N$3,4,"n/a"))))</f>
        <v>2</v>
      </c>
      <c r="F93" s="501" t="s">
        <v>337</v>
      </c>
      <c r="G93" s="501"/>
      <c r="H93" s="501"/>
      <c r="I93" s="501"/>
      <c r="J93" s="501"/>
      <c r="K93" s="501"/>
      <c r="L93" s="373"/>
      <c r="Q93" s="153"/>
    </row>
    <row r="94" spans="1:17" s="150" customFormat="1" ht="31.5" customHeight="1" thickBot="1" x14ac:dyDescent="0.3">
      <c r="A94" s="588" t="s">
        <v>175</v>
      </c>
      <c r="B94" s="589"/>
      <c r="C94" s="283" t="s">
        <v>219</v>
      </c>
      <c r="D94" s="165" t="s">
        <v>41</v>
      </c>
      <c r="E94" s="173">
        <f>IF(D94=$N$6,1,IF(D94=$N$5,2,IF(D94=$N$4,3,IF(D94=$N$3,4,"n/a"))))</f>
        <v>2</v>
      </c>
      <c r="F94" s="586" t="s">
        <v>227</v>
      </c>
      <c r="G94" s="587"/>
      <c r="H94" s="587"/>
      <c r="I94" s="587"/>
      <c r="J94" s="587"/>
      <c r="K94" s="585"/>
      <c r="L94" s="366" t="s">
        <v>95</v>
      </c>
      <c r="Q94" s="153"/>
    </row>
    <row r="95" spans="1:17" s="150" customFormat="1" ht="26.25" customHeight="1" thickBot="1" x14ac:dyDescent="0.3">
      <c r="A95" s="590"/>
      <c r="B95" s="591"/>
      <c r="C95" s="282" t="s">
        <v>23</v>
      </c>
      <c r="D95" s="27" t="str">
        <f>IF(E95&lt;1.5,"Low",IF(E95&lt;2.5,"Moderate",IF(E95&lt;3.5,"Substantial",IF(E95&lt;4.5,"High","n/a"))))</f>
        <v>Moderate</v>
      </c>
      <c r="E95" s="143">
        <f>IF(COUNT(E93:E94)=0,"n/a",AVERAGE(E93:E94))</f>
        <v>2</v>
      </c>
      <c r="F95" s="28">
        <f>E95</f>
        <v>2</v>
      </c>
      <c r="G95" s="213"/>
      <c r="H95" s="29" t="s">
        <v>22</v>
      </c>
      <c r="I95" s="26" t="str">
        <f>D95</f>
        <v>Moderate</v>
      </c>
      <c r="J95" s="30">
        <f>IF(I95=$N$7,"n/a",IF(AND(I95=$N$5,D95=$N$6),1.5,IF(AND(I95=$N$4,D95=$N$5),2.5,IF(AND(I95=$N$3,D95=$N$4),3.5,IF(AND(I95=$N$6,D95=$N$5),1.49,IF(AND(I95=$N$5,D95=$N$4),2.49,IF(AND(I95=$N$4,D95=$N$3),3.49,E95)))))))</f>
        <v>2</v>
      </c>
      <c r="K95" s="87" t="s">
        <v>90</v>
      </c>
      <c r="L95" s="373"/>
      <c r="Q95" s="153"/>
    </row>
    <row r="96" spans="1:17" s="150" customFormat="1" ht="21" customHeight="1" x14ac:dyDescent="0.25">
      <c r="A96" s="382" t="s">
        <v>156</v>
      </c>
      <c r="B96" s="279"/>
      <c r="C96" s="279"/>
      <c r="D96" s="279"/>
      <c r="E96" s="279"/>
      <c r="F96" s="279"/>
      <c r="G96" s="279"/>
      <c r="H96" s="279"/>
      <c r="I96" s="279"/>
      <c r="J96" s="279"/>
      <c r="K96" s="280"/>
      <c r="L96" s="373"/>
      <c r="Q96" s="153"/>
    </row>
    <row r="97" spans="1:17" s="150" customFormat="1" ht="33.75" customHeight="1" x14ac:dyDescent="0.25">
      <c r="A97" s="514" t="s">
        <v>157</v>
      </c>
      <c r="B97" s="515"/>
      <c r="C97" s="284" t="s">
        <v>288</v>
      </c>
      <c r="D97" s="166" t="s">
        <v>41</v>
      </c>
      <c r="E97" s="116">
        <f>IF(D97=$N$6,1,IF(D97=$N$5,2,IF(D97=$N$4,3,IF(D97=$N$3,4,"n/a"))))</f>
        <v>2</v>
      </c>
      <c r="F97" s="501" t="s">
        <v>228</v>
      </c>
      <c r="G97" s="501"/>
      <c r="H97" s="501"/>
      <c r="I97" s="501"/>
      <c r="J97" s="501"/>
      <c r="K97" s="501"/>
      <c r="L97" s="366" t="s">
        <v>95</v>
      </c>
      <c r="Q97" s="153"/>
    </row>
    <row r="98" spans="1:17" s="150" customFormat="1" ht="33" customHeight="1" x14ac:dyDescent="0.25">
      <c r="A98" s="588" t="s">
        <v>158</v>
      </c>
      <c r="B98" s="592"/>
      <c r="C98" s="284" t="s">
        <v>303</v>
      </c>
      <c r="D98" s="46" t="s">
        <v>41</v>
      </c>
      <c r="E98" s="116">
        <f>IF(D98=$N$6,1,IF(D98=$N$5,2,IF(D98=$N$4,3,IF(D98=$N$3,4,"n/a"))))</f>
        <v>2</v>
      </c>
      <c r="F98" s="582" t="s">
        <v>338</v>
      </c>
      <c r="G98" s="495"/>
      <c r="H98" s="495"/>
      <c r="I98" s="495"/>
      <c r="J98" s="495"/>
      <c r="K98" s="583"/>
      <c r="L98" s="366" t="s">
        <v>95</v>
      </c>
      <c r="P98" s="299"/>
      <c r="Q98" s="153"/>
    </row>
    <row r="99" spans="1:17" s="150" customFormat="1" ht="60.65" customHeight="1" thickBot="1" x14ac:dyDescent="0.3">
      <c r="A99" s="593" t="s">
        <v>159</v>
      </c>
      <c r="B99" s="594"/>
      <c r="C99" s="285" t="s">
        <v>303</v>
      </c>
      <c r="D99" s="399" t="s">
        <v>41</v>
      </c>
      <c r="E99" s="276">
        <f>IF(D99=$N$6,1,IF(D99=$N$5,2,IF(D99=$N$4,3,IF(D99=$N$3,4,"n/a"))))</f>
        <v>2</v>
      </c>
      <c r="F99" s="584" t="s">
        <v>339</v>
      </c>
      <c r="G99" s="496"/>
      <c r="H99" s="496"/>
      <c r="I99" s="496"/>
      <c r="J99" s="496"/>
      <c r="K99" s="585"/>
      <c r="L99" s="373"/>
      <c r="P99" s="299"/>
      <c r="Q99" s="153"/>
    </row>
    <row r="100" spans="1:17" s="150" customFormat="1" ht="26.25" customHeight="1" thickBot="1" x14ac:dyDescent="0.3">
      <c r="A100" s="580"/>
      <c r="B100" s="581"/>
      <c r="C100" s="282" t="s">
        <v>23</v>
      </c>
      <c r="D100" s="27" t="str">
        <f>IF(E100&lt;1.5,"Low",IF(E100&lt;2.5,"Moderate",IF(E100&lt;3.5,"Substantial",IF(E100&lt;4.5,"High","n/a"))))</f>
        <v>Moderate</v>
      </c>
      <c r="E100" s="143">
        <f>IF(COUNT(E97:E99)=0,"n/a",AVERAGE(E97:E99))</f>
        <v>2</v>
      </c>
      <c r="F100" s="28">
        <f>E100</f>
        <v>2</v>
      </c>
      <c r="G100" s="213"/>
      <c r="H100" s="29" t="s">
        <v>22</v>
      </c>
      <c r="I100" s="26" t="str">
        <f>D100</f>
        <v>Moderate</v>
      </c>
      <c r="J100" s="30">
        <f>IF(I100=$N$7,"n/a",IF(AND(I100=$N$5,D100=$N$6),1.5,IF(AND(I100=$N$4,D100=$N$5),2.5,IF(AND(I100=$N$3,D100=$N$4),3.5,IF(AND(I100=$N$6,D100=$N$5),1.49,IF(AND(I100=$N$5,D100=$N$4),2.49,IF(AND(I100=$N$4,D100=$N$3),3.49,E100)))))))</f>
        <v>2</v>
      </c>
      <c r="K100" s="87" t="s">
        <v>90</v>
      </c>
      <c r="L100" s="373"/>
      <c r="P100" s="299"/>
      <c r="Q100" s="153"/>
    </row>
    <row r="101" spans="1:17" s="150" customFormat="1" ht="23.25" customHeight="1" thickBot="1" x14ac:dyDescent="0.3">
      <c r="A101" s="154" t="s">
        <v>216</v>
      </c>
      <c r="B101" s="155"/>
      <c r="C101" s="155"/>
      <c r="D101" s="155"/>
      <c r="E101" s="155"/>
      <c r="F101" s="155"/>
      <c r="G101" s="155"/>
      <c r="H101" s="155"/>
      <c r="I101" s="155"/>
      <c r="J101" s="155"/>
      <c r="K101" s="155"/>
      <c r="L101" s="373"/>
      <c r="M101" s="153"/>
    </row>
    <row r="102" spans="1:17" s="150" customFormat="1" ht="20.25" customHeight="1" x14ac:dyDescent="0.25">
      <c r="A102" s="383" t="s">
        <v>161</v>
      </c>
      <c r="B102" s="211"/>
      <c r="C102" s="211"/>
      <c r="D102" s="211"/>
      <c r="E102" s="211"/>
      <c r="F102" s="211"/>
      <c r="G102" s="211"/>
      <c r="H102" s="211"/>
      <c r="I102" s="211"/>
      <c r="J102" s="211"/>
      <c r="K102" s="212"/>
      <c r="L102" s="373"/>
    </row>
    <row r="103" spans="1:17" s="150" customFormat="1" ht="108.65" customHeight="1" x14ac:dyDescent="0.25">
      <c r="A103" s="499" t="s">
        <v>178</v>
      </c>
      <c r="B103" s="500"/>
      <c r="C103" s="607" t="s">
        <v>300</v>
      </c>
      <c r="D103" s="222" t="s">
        <v>41</v>
      </c>
      <c r="E103" s="210">
        <f>IF(D103=$N$6,1,IF(D103=$N$5,2,IF(D103=$N$4,3,IF(D103=$N$3,4,"n/a"))))</f>
        <v>2</v>
      </c>
      <c r="F103" s="501" t="s">
        <v>340</v>
      </c>
      <c r="G103" s="501"/>
      <c r="H103" s="501"/>
      <c r="I103" s="501"/>
      <c r="J103" s="501"/>
      <c r="K103" s="501"/>
      <c r="L103" s="366" t="s">
        <v>95</v>
      </c>
      <c r="Q103" s="153"/>
    </row>
    <row r="104" spans="1:17" s="150" customFormat="1" ht="77.400000000000006" customHeight="1" x14ac:dyDescent="0.25">
      <c r="A104" s="570" t="s">
        <v>179</v>
      </c>
      <c r="B104" s="571"/>
      <c r="C104" s="608" t="s">
        <v>300</v>
      </c>
      <c r="D104" s="192" t="s">
        <v>41</v>
      </c>
      <c r="E104" s="116">
        <f>IF(D104=$N$6,1,IF(D104=$N$5,2,IF(D104=$N$4,3,IF(D104=$N$3,4,"n/a"))))</f>
        <v>2</v>
      </c>
      <c r="F104" s="495" t="s">
        <v>220</v>
      </c>
      <c r="G104" s="495"/>
      <c r="H104" s="495"/>
      <c r="I104" s="495"/>
      <c r="J104" s="495"/>
      <c r="K104" s="495"/>
      <c r="L104" s="366" t="s">
        <v>95</v>
      </c>
      <c r="Q104" s="156"/>
    </row>
    <row r="105" spans="1:17" ht="85.75" customHeight="1" thickBot="1" x14ac:dyDescent="0.3">
      <c r="A105" s="512" t="s">
        <v>180</v>
      </c>
      <c r="B105" s="513"/>
      <c r="C105" s="609" t="s">
        <v>300</v>
      </c>
      <c r="D105" s="163" t="s">
        <v>41</v>
      </c>
      <c r="E105" s="173">
        <f>IF(D105=$N$6,1,IF(D105=$N$5,2,IF(D105=$N$4,3,IF(D105=$N$3,4,"n/a"))))</f>
        <v>2</v>
      </c>
      <c r="F105" s="495" t="s">
        <v>229</v>
      </c>
      <c r="G105" s="496"/>
      <c r="H105" s="495"/>
      <c r="I105" s="495"/>
      <c r="J105" s="496"/>
      <c r="K105" s="495"/>
      <c r="L105" s="366" t="s">
        <v>95</v>
      </c>
    </row>
    <row r="106" spans="1:17" ht="32.25" customHeight="1" thickBot="1" x14ac:dyDescent="0.3">
      <c r="A106" s="517"/>
      <c r="B106" s="518"/>
      <c r="C106" s="39" t="s">
        <v>23</v>
      </c>
      <c r="D106" s="27" t="str">
        <f>IF(E106&lt;1.5,"Low",IF(E106&lt;2.5,"Moderate",IF(E106&lt;3.5,"Substantial",IF(E106&lt;4.5,"High","n/a"))))</f>
        <v>Moderate</v>
      </c>
      <c r="E106" s="143">
        <f>IF(COUNT(E103:E105)=0,"n/a",AVERAGE(E103:E105))</f>
        <v>2</v>
      </c>
      <c r="F106" s="28">
        <f>E106</f>
        <v>2</v>
      </c>
      <c r="G106" s="214"/>
      <c r="H106" s="49" t="s">
        <v>22</v>
      </c>
      <c r="I106" s="26" t="str">
        <f>D106</f>
        <v>Moderate</v>
      </c>
      <c r="J106" s="30">
        <f>IF(I106=$N$7,"n/a",IF(AND(I106=$N$5,D106=$N$6),1.5,IF(AND(I106=$N$4,D106=$N$5),2.5,IF(AND(I106=$N$3,D106=$N$4),3.5,IF(AND(I106=$N$6,D106=$N$5),1.49,IF(AND(I106=$N$5,D106=$N$4),2.49,IF(AND(I106=$N$4,D106=$N$3),3.49,E106)))))))</f>
        <v>2</v>
      </c>
      <c r="K106" s="87" t="s">
        <v>90</v>
      </c>
      <c r="L106" s="368"/>
    </row>
    <row r="107" spans="1:17" ht="19.5" customHeight="1" x14ac:dyDescent="0.25">
      <c r="A107" s="384" t="s">
        <v>162</v>
      </c>
      <c r="B107" s="211"/>
      <c r="C107" s="211"/>
      <c r="D107" s="211"/>
      <c r="E107" s="211"/>
      <c r="F107" s="211"/>
      <c r="G107" s="211"/>
      <c r="H107" s="211"/>
      <c r="I107" s="211"/>
      <c r="J107" s="211"/>
      <c r="K107" s="212"/>
      <c r="L107" s="368"/>
    </row>
    <row r="108" spans="1:17" ht="81.650000000000006" customHeight="1" x14ac:dyDescent="0.25">
      <c r="A108" s="499" t="s">
        <v>181</v>
      </c>
      <c r="B108" s="500"/>
      <c r="C108" s="607" t="s">
        <v>300</v>
      </c>
      <c r="D108" s="166" t="s">
        <v>5</v>
      </c>
      <c r="E108" s="210">
        <f>IF(D108=$N$6,1,IF(D108=$N$5,2,IF(D108=$N$4,3,IF(D108=$N$3,4,"n/a"))))</f>
        <v>3</v>
      </c>
      <c r="F108" s="501" t="s">
        <v>341</v>
      </c>
      <c r="G108" s="501"/>
      <c r="H108" s="501"/>
      <c r="I108" s="501"/>
      <c r="J108" s="501"/>
      <c r="K108" s="501"/>
      <c r="L108" s="368"/>
    </row>
    <row r="109" spans="1:17" ht="78.650000000000006" customHeight="1" thickBot="1" x14ac:dyDescent="0.3">
      <c r="A109" s="572" t="s">
        <v>182</v>
      </c>
      <c r="B109" s="573"/>
      <c r="C109" s="610" t="s">
        <v>300</v>
      </c>
      <c r="D109" s="165" t="s">
        <v>78</v>
      </c>
      <c r="E109" s="173">
        <f>IF(D109=$N$6,1,IF(D109=$N$5,2,IF(D109=$N$4,3,IF(D109=$N$3,4,"n/a"))))</f>
        <v>1</v>
      </c>
      <c r="F109" s="586" t="s">
        <v>342</v>
      </c>
      <c r="G109" s="587"/>
      <c r="H109" s="587"/>
      <c r="I109" s="587"/>
      <c r="J109" s="587"/>
      <c r="K109" s="585"/>
      <c r="L109" s="368"/>
    </row>
    <row r="110" spans="1:17" ht="27" customHeight="1" thickBot="1" x14ac:dyDescent="0.3">
      <c r="A110" s="497"/>
      <c r="B110" s="498"/>
      <c r="C110" s="39" t="s">
        <v>23</v>
      </c>
      <c r="D110" s="27" t="str">
        <f>IF(E110&lt;1.5,"Low",IF(E110&lt;2.5,"Moderate",IF(E110&lt;3.5,"Substantial",IF(E110&lt;4.5,"High","n/a"))))</f>
        <v>Moderate</v>
      </c>
      <c r="E110" s="143">
        <f>IF(COUNT(E108:E109)=0,"n/a",AVERAGE(E108:E109))</f>
        <v>2</v>
      </c>
      <c r="F110" s="28">
        <f>E110</f>
        <v>2</v>
      </c>
      <c r="G110" s="213"/>
      <c r="H110" s="29" t="s">
        <v>22</v>
      </c>
      <c r="I110" s="26" t="str">
        <f>D110</f>
        <v>Moderate</v>
      </c>
      <c r="J110" s="30">
        <f>IF(I110=$N$7,"n/a",IF(AND(I110=$N$5,D110=$N$6),1.5,IF(AND(I110=$N$4,D110=$N$5),2.5,IF(AND(I110=$N$3,D110=$N$4),3.5,IF(AND(I110=$N$6,D110=$N$5),1.49,IF(AND(I110=$N$5,D110=$N$4),2.49,IF(AND(I110=$N$4,D110=$N$3),3.49,E110)))))))</f>
        <v>2</v>
      </c>
      <c r="K110" s="87" t="s">
        <v>90</v>
      </c>
      <c r="L110" s="368"/>
    </row>
    <row r="111" spans="1:17" ht="21" customHeight="1" x14ac:dyDescent="0.35">
      <c r="A111" s="384" t="s">
        <v>163</v>
      </c>
      <c r="B111" s="211"/>
      <c r="C111" s="211"/>
      <c r="D111" s="211"/>
      <c r="E111" s="211"/>
      <c r="F111" s="211"/>
      <c r="G111" s="211"/>
      <c r="H111" s="211"/>
      <c r="I111" s="211"/>
      <c r="J111" s="211"/>
      <c r="K111" s="212"/>
      <c r="L111" s="368"/>
      <c r="Q111" s="157"/>
    </row>
    <row r="112" spans="1:17" ht="67.25" customHeight="1" x14ac:dyDescent="0.25">
      <c r="A112" s="499" t="s">
        <v>183</v>
      </c>
      <c r="B112" s="500"/>
      <c r="C112" s="607" t="s">
        <v>300</v>
      </c>
      <c r="D112" s="222" t="s">
        <v>41</v>
      </c>
      <c r="E112" s="210">
        <f>IF(D112=$N$6,1,IF(D112=$N$5,2,IF(D112=$N$4,3,IF(D112=$N$3,4,"n/a"))))</f>
        <v>2</v>
      </c>
      <c r="F112" s="501" t="s">
        <v>343</v>
      </c>
      <c r="G112" s="501"/>
      <c r="H112" s="501"/>
      <c r="I112" s="501"/>
      <c r="J112" s="501"/>
      <c r="K112" s="501"/>
      <c r="L112" s="368"/>
    </row>
    <row r="113" spans="1:12" ht="54" customHeight="1" x14ac:dyDescent="0.25">
      <c r="A113" s="570" t="s">
        <v>184</v>
      </c>
      <c r="B113" s="571"/>
      <c r="C113" s="607" t="s">
        <v>300</v>
      </c>
      <c r="D113" s="192" t="s">
        <v>41</v>
      </c>
      <c r="E113" s="116">
        <f>IF(D113=$N$6,1,IF(D113=$N$5,2,IF(D113=$N$4,3,IF(D113=$N$3,4,"n/a"))))</f>
        <v>2</v>
      </c>
      <c r="F113" s="582" t="s">
        <v>344</v>
      </c>
      <c r="G113" s="495"/>
      <c r="H113" s="495"/>
      <c r="I113" s="495"/>
      <c r="J113" s="495"/>
      <c r="K113" s="583"/>
      <c r="L113" s="368"/>
    </row>
    <row r="114" spans="1:12" ht="42.75" customHeight="1" thickBot="1" x14ac:dyDescent="0.3">
      <c r="A114" s="512" t="s">
        <v>164</v>
      </c>
      <c r="B114" s="513"/>
      <c r="C114" s="607" t="s">
        <v>300</v>
      </c>
      <c r="D114" s="398" t="s">
        <v>78</v>
      </c>
      <c r="E114" s="173">
        <f>IF(D114=$N$6,1,IF(D114=$N$5,2,IF(D114=$N$4,3,IF(D114=$N$3,4,"n/a"))))</f>
        <v>1</v>
      </c>
      <c r="F114" s="584" t="s">
        <v>245</v>
      </c>
      <c r="G114" s="496"/>
      <c r="H114" s="496"/>
      <c r="I114" s="496"/>
      <c r="J114" s="496"/>
      <c r="K114" s="585"/>
      <c r="L114" s="366" t="s">
        <v>95</v>
      </c>
    </row>
    <row r="115" spans="1:12" ht="26.25" customHeight="1" thickBot="1" x14ac:dyDescent="0.3">
      <c r="A115" s="504"/>
      <c r="B115" s="505"/>
      <c r="C115" s="39" t="s">
        <v>23</v>
      </c>
      <c r="D115" s="27" t="str">
        <f>IF(E115&lt;1.5,"Low",IF(E115&lt;2.5,"Moderate",IF(E115&lt;3.5,"Substantial",IF(E115&lt;4.5,"High","n/a"))))</f>
        <v>Moderate</v>
      </c>
      <c r="E115" s="143">
        <f>IF(COUNT(E112:E114)=0,"n/a",AVERAGE(E112:E114))</f>
        <v>1.6666666666666667</v>
      </c>
      <c r="F115" s="28">
        <f>E115</f>
        <v>1.6666666666666667</v>
      </c>
      <c r="G115" s="213"/>
      <c r="H115" s="29" t="s">
        <v>22</v>
      </c>
      <c r="I115" s="26" t="str">
        <f>D115</f>
        <v>Moderate</v>
      </c>
      <c r="J115" s="30">
        <f>IF(I115=$N$7,"n/a",IF(AND(I115=$N$5,D115=$N$6),1.5,IF(AND(I115=$N$4,D115=$N$5),2.5,IF(AND(I115=$N$3,D115=$N$4),3.5,IF(AND(I115=$N$6,D115=$N$5),1.49,IF(AND(I115=$N$5,D115=$N$4),2.49,IF(AND(I115=$N$4,D115=$N$3),3.49,E115)))))))</f>
        <v>1.6666666666666667</v>
      </c>
      <c r="K115" s="87" t="s">
        <v>90</v>
      </c>
      <c r="L115" s="368"/>
    </row>
    <row r="116" spans="1:12" ht="23.25" customHeight="1" x14ac:dyDescent="0.25">
      <c r="A116" s="384" t="s">
        <v>167</v>
      </c>
      <c r="B116" s="211"/>
      <c r="C116" s="211"/>
      <c r="D116" s="211"/>
      <c r="E116" s="211"/>
      <c r="F116" s="211"/>
      <c r="G116" s="211"/>
      <c r="H116" s="211"/>
      <c r="I116" s="211"/>
      <c r="J116" s="211"/>
      <c r="K116" s="212"/>
      <c r="L116" s="368"/>
    </row>
    <row r="117" spans="1:12" ht="33" customHeight="1" x14ac:dyDescent="0.25">
      <c r="A117" s="510" t="s">
        <v>230</v>
      </c>
      <c r="B117" s="511"/>
      <c r="C117" s="224" t="s">
        <v>304</v>
      </c>
      <c r="D117" s="166" t="s">
        <v>5</v>
      </c>
      <c r="E117" s="116">
        <f>IF(D117=$N$6,1,IF(D117=$N$5,2,IF(D117=$N$4,3,IF(D117=$N$3,4,"n/a"))))</f>
        <v>3</v>
      </c>
      <c r="F117" s="501" t="s">
        <v>246</v>
      </c>
      <c r="G117" s="501"/>
      <c r="H117" s="501"/>
      <c r="I117" s="501"/>
      <c r="J117" s="501"/>
      <c r="K117" s="501"/>
      <c r="L117" s="366"/>
    </row>
    <row r="118" spans="1:12" ht="74.400000000000006" customHeight="1" x14ac:dyDescent="0.25">
      <c r="A118" s="510" t="s">
        <v>231</v>
      </c>
      <c r="B118" s="511"/>
      <c r="C118" s="223" t="s">
        <v>304</v>
      </c>
      <c r="D118" s="192" t="s">
        <v>5</v>
      </c>
      <c r="E118" s="116">
        <f>IF(D118=$N$6,1,IF(D118=$N$5,2,IF(D118=$N$4,3,IF(D118=$N$3,4,"n/a"))))</f>
        <v>3</v>
      </c>
      <c r="F118" s="582" t="s">
        <v>345</v>
      </c>
      <c r="G118" s="495"/>
      <c r="H118" s="495"/>
      <c r="I118" s="495"/>
      <c r="J118" s="495"/>
      <c r="K118" s="583"/>
      <c r="L118" s="366"/>
    </row>
    <row r="119" spans="1:12" ht="60" customHeight="1" thickBot="1" x14ac:dyDescent="0.3">
      <c r="A119" s="508" t="s">
        <v>232</v>
      </c>
      <c r="B119" s="509"/>
      <c r="C119" s="224" t="s">
        <v>304</v>
      </c>
      <c r="D119" s="165" t="s">
        <v>41</v>
      </c>
      <c r="E119" s="173">
        <f>IF(D119=$N$6,1,IF(D119=$N$5,2,IF(D119=$N$4,3,IF(D119=$N$3,4,"n/a"))))</f>
        <v>2</v>
      </c>
      <c r="F119" s="584" t="s">
        <v>346</v>
      </c>
      <c r="G119" s="496"/>
      <c r="H119" s="496"/>
      <c r="I119" s="496"/>
      <c r="J119" s="496"/>
      <c r="K119" s="585"/>
      <c r="L119" s="366"/>
    </row>
    <row r="120" spans="1:12" ht="27" customHeight="1" thickBot="1" x14ac:dyDescent="0.3">
      <c r="A120" s="497"/>
      <c r="B120" s="498"/>
      <c r="C120" s="39" t="s">
        <v>23</v>
      </c>
      <c r="D120" s="27" t="str">
        <f>IF(E120&lt;1.5,"Low",IF(E120&lt;2.5,"Moderate",IF(E120&lt;3.5,"Substantial",IF(E120&lt;4.5,"High","n/a"))))</f>
        <v>Substantial</v>
      </c>
      <c r="E120" s="143">
        <f>IF(COUNT(E117:E119)=0,"n/a",AVERAGE(E117:E119))</f>
        <v>2.6666666666666665</v>
      </c>
      <c r="F120" s="28">
        <f>E120</f>
        <v>2.6666666666666665</v>
      </c>
      <c r="G120" s="213"/>
      <c r="H120" s="29" t="s">
        <v>22</v>
      </c>
      <c r="I120" s="26" t="str">
        <f>D120</f>
        <v>Substantial</v>
      </c>
      <c r="J120" s="30">
        <f>IF(I120=$N$7,"n/a",IF(AND(I120=$N$5,D120=$N$6),1.5,IF(AND(I120=$N$4,D120=$N$5),2.5,IF(AND(I120=$N$3,D120=$N$4),3.5,IF(AND(I120=$N$6,D120=$N$5),1.49,IF(AND(I120=$N$5,D120=$N$4),2.49,IF(AND(I120=$N$4,D120=$N$3),3.49,E120)))))))</f>
        <v>2.6666666666666665</v>
      </c>
      <c r="K120" s="87" t="s">
        <v>90</v>
      </c>
      <c r="L120" s="368"/>
    </row>
  </sheetData>
  <sheetProtection password="CC15" sheet="1" objects="1" scenarios="1" formatRows="0"/>
  <customSheetViews>
    <customSheetView guid="{A7FD2B08-B74C-4011-B35C-4B9B50711590}" scale="70" fitToPage="1" hiddenColumns="1">
      <pane ySplit="2" topLeftCell="A36" activePane="bottomLeft" state="frozen"/>
      <selection pane="bottomLeft" activeCell="A33" sqref="A33"/>
      <pageMargins left="0.7" right="0.7" top="0.75" bottom="0.75" header="0.3" footer="0.3"/>
      <pageSetup paperSize="8" scale="95" fitToHeight="0" orientation="landscape" r:id="rId1"/>
      <headerFooter alignWithMargins="0"/>
    </customSheetView>
    <customSheetView guid="{32B0C26A-BAF8-434F-BC5C-F8117C433B50}" scale="70" fitToPage="1" hiddenColumns="1">
      <pane ySplit="2" topLeftCell="A36" activePane="bottomLeft" state="frozen"/>
      <selection pane="bottomLeft" activeCell="A33" sqref="A33"/>
      <pageMargins left="0.7" right="0.7" top="0.75" bottom="0.75" header="0.3" footer="0.3"/>
      <pageSetup paperSize="8" scale="95" fitToHeight="0" orientation="landscape" r:id="rId2"/>
      <headerFooter alignWithMargins="0"/>
    </customSheetView>
  </customSheetViews>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3"/>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13" zoomScaleNormal="100" zoomScaleSheetLayoutView="115" workbookViewId="0">
      <selection activeCell="B13" sqref="B13"/>
    </sheetView>
  </sheetViews>
  <sheetFormatPr defaultColWidth="8.81640625" defaultRowHeight="12.5" x14ac:dyDescent="0.25"/>
  <cols>
    <col min="1" max="1" width="12.81640625" customWidth="1"/>
    <col min="2" max="2" width="126" customWidth="1"/>
    <col min="4" max="6" width="17.81640625" customWidth="1"/>
  </cols>
  <sheetData>
    <row r="1" spans="1:2" ht="24" customHeight="1" thickBot="1" x14ac:dyDescent="0.3">
      <c r="A1" s="597" t="s">
        <v>121</v>
      </c>
      <c r="B1" s="598"/>
    </row>
    <row r="2" spans="1:2" s="150" customFormat="1" ht="23.25" customHeight="1" x14ac:dyDescent="0.25">
      <c r="A2" s="599" t="s">
        <v>205</v>
      </c>
      <c r="B2" s="600"/>
    </row>
    <row r="3" spans="1:2" ht="40.5" customHeight="1" x14ac:dyDescent="0.25">
      <c r="A3" s="376" t="s">
        <v>194</v>
      </c>
      <c r="B3" s="381" t="s">
        <v>190</v>
      </c>
    </row>
    <row r="4" spans="1:2" ht="36" customHeight="1" x14ac:dyDescent="0.25">
      <c r="A4" s="396" t="s">
        <v>195</v>
      </c>
      <c r="B4" s="92" t="s">
        <v>192</v>
      </c>
    </row>
    <row r="5" spans="1:2" ht="36" customHeight="1" thickBot="1" x14ac:dyDescent="0.3">
      <c r="A5" s="376" t="s">
        <v>209</v>
      </c>
      <c r="B5" s="379" t="s">
        <v>210</v>
      </c>
    </row>
    <row r="6" spans="1:2" ht="23.25" customHeight="1" x14ac:dyDescent="0.25">
      <c r="A6" s="601" t="s">
        <v>191</v>
      </c>
      <c r="B6" s="602"/>
    </row>
    <row r="7" spans="1:2" ht="21.75" customHeight="1" x14ac:dyDescent="0.25">
      <c r="A7" s="375" t="s">
        <v>133</v>
      </c>
      <c r="B7" s="243"/>
    </row>
    <row r="8" spans="1:2" ht="37.5" customHeight="1" x14ac:dyDescent="0.25">
      <c r="A8" s="91">
        <v>1</v>
      </c>
      <c r="B8" s="381" t="s">
        <v>193</v>
      </c>
    </row>
    <row r="9" spans="1:2" ht="22.5" customHeight="1" x14ac:dyDescent="0.3">
      <c r="A9" s="375" t="s">
        <v>131</v>
      </c>
      <c r="B9" s="242"/>
    </row>
    <row r="10" spans="1:2" ht="130.5" customHeight="1" x14ac:dyDescent="0.25">
      <c r="A10" s="380">
        <f>+A8+1</f>
        <v>2</v>
      </c>
      <c r="B10" s="92" t="s">
        <v>206</v>
      </c>
    </row>
    <row r="11" spans="1:2" ht="27" customHeight="1" x14ac:dyDescent="0.25">
      <c r="A11" s="380">
        <f>+A10+1</f>
        <v>3</v>
      </c>
      <c r="B11" s="92" t="s">
        <v>196</v>
      </c>
    </row>
    <row r="12" spans="1:2" ht="23.25" customHeight="1" x14ac:dyDescent="0.25">
      <c r="A12" s="380">
        <f t="shared" ref="A12:A13" si="0">+A11+1</f>
        <v>4</v>
      </c>
      <c r="B12" s="92" t="s">
        <v>203</v>
      </c>
    </row>
    <row r="13" spans="1:2" ht="114" customHeight="1" x14ac:dyDescent="0.25">
      <c r="A13" s="380">
        <f t="shared" si="0"/>
        <v>5</v>
      </c>
      <c r="B13" s="92" t="s">
        <v>204</v>
      </c>
    </row>
    <row r="14" spans="1:2" ht="22.5" customHeight="1" x14ac:dyDescent="0.25">
      <c r="A14" s="375" t="s">
        <v>132</v>
      </c>
      <c r="B14" s="243"/>
    </row>
    <row r="15" spans="1:2" ht="54.75" customHeight="1" x14ac:dyDescent="0.25">
      <c r="A15" s="380">
        <f>+A13+1</f>
        <v>6</v>
      </c>
      <c r="B15" s="92" t="s">
        <v>197</v>
      </c>
    </row>
    <row r="16" spans="1:2" ht="23.25" customHeight="1" x14ac:dyDescent="0.25">
      <c r="A16" s="380">
        <f t="shared" ref="A16:A18" si="1">+A15+1</f>
        <v>7</v>
      </c>
      <c r="B16" s="92" t="s">
        <v>198</v>
      </c>
    </row>
    <row r="17" spans="1:2" ht="24.75" customHeight="1" x14ac:dyDescent="0.25">
      <c r="A17" s="380">
        <f t="shared" si="1"/>
        <v>8</v>
      </c>
      <c r="B17" s="92" t="s">
        <v>199</v>
      </c>
    </row>
    <row r="18" spans="1:2" ht="24.75" customHeight="1" x14ac:dyDescent="0.25">
      <c r="A18" s="380">
        <f t="shared" si="1"/>
        <v>9</v>
      </c>
      <c r="B18" s="92" t="s">
        <v>200</v>
      </c>
    </row>
    <row r="19" spans="1:2" ht="21.75" customHeight="1" x14ac:dyDescent="0.25">
      <c r="A19" s="375" t="s">
        <v>133</v>
      </c>
      <c r="B19" s="243"/>
    </row>
    <row r="20" spans="1:2" ht="40.5" customHeight="1" thickBot="1" x14ac:dyDescent="0.3">
      <c r="A20" s="91">
        <f>+A18+1</f>
        <v>10</v>
      </c>
      <c r="B20" s="379" t="s">
        <v>201</v>
      </c>
    </row>
    <row r="21" spans="1:2" ht="52.5" customHeight="1" thickBot="1" x14ac:dyDescent="0.3">
      <c r="A21" s="378" t="s">
        <v>122</v>
      </c>
      <c r="B21" s="244" t="s">
        <v>202</v>
      </c>
    </row>
    <row r="24" spans="1:2" ht="17.25" customHeight="1" x14ac:dyDescent="0.25">
      <c r="A24" s="377" t="s">
        <v>92</v>
      </c>
      <c r="B24" s="377" t="s">
        <v>91</v>
      </c>
    </row>
    <row r="25" spans="1:2" x14ac:dyDescent="0.25">
      <c r="A25" s="93" t="s">
        <v>93</v>
      </c>
      <c r="B25" s="93" t="s">
        <v>71</v>
      </c>
    </row>
    <row r="26" spans="1:2" x14ac:dyDescent="0.25">
      <c r="A26" s="93" t="s">
        <v>94</v>
      </c>
      <c r="B26" s="93" t="s">
        <v>71</v>
      </c>
    </row>
    <row r="27" spans="1:2" x14ac:dyDescent="0.25">
      <c r="A27" s="93" t="s">
        <v>96</v>
      </c>
      <c r="B27" s="94" t="s">
        <v>97</v>
      </c>
    </row>
    <row r="28" spans="1:2" ht="34.5" x14ac:dyDescent="0.25">
      <c r="A28" s="95">
        <v>2.1</v>
      </c>
      <c r="B28" s="96" t="s">
        <v>62</v>
      </c>
    </row>
    <row r="29" spans="1:2" x14ac:dyDescent="0.25">
      <c r="A29" s="97" t="s">
        <v>98</v>
      </c>
      <c r="B29" s="97" t="s">
        <v>63</v>
      </c>
    </row>
    <row r="30" spans="1:2" x14ac:dyDescent="0.25">
      <c r="A30" s="97" t="s">
        <v>99</v>
      </c>
      <c r="B30" s="97" t="s">
        <v>46</v>
      </c>
    </row>
    <row r="31" spans="1:2" ht="23" x14ac:dyDescent="0.25">
      <c r="A31" s="98" t="s">
        <v>100</v>
      </c>
      <c r="B31" s="97" t="s">
        <v>65</v>
      </c>
    </row>
    <row r="32" spans="1:2" x14ac:dyDescent="0.25">
      <c r="A32" s="99" t="s">
        <v>101</v>
      </c>
      <c r="B32" s="99" t="s">
        <v>31</v>
      </c>
    </row>
    <row r="33" spans="1:2" ht="23" x14ac:dyDescent="0.25">
      <c r="A33" s="100">
        <v>4</v>
      </c>
      <c r="B33" s="100" t="s">
        <v>102</v>
      </c>
    </row>
    <row r="34" spans="1:2" x14ac:dyDescent="0.25">
      <c r="A34" s="86" t="s">
        <v>103</v>
      </c>
      <c r="B34" s="86" t="s">
        <v>189</v>
      </c>
    </row>
    <row r="35" spans="1:2" x14ac:dyDescent="0.25">
      <c r="A35" s="86" t="s">
        <v>104</v>
      </c>
      <c r="B35" s="86" t="s">
        <v>115</v>
      </c>
    </row>
    <row r="36" spans="1:2" x14ac:dyDescent="0.25">
      <c r="A36" s="86" t="s">
        <v>105</v>
      </c>
      <c r="B36" s="86" t="s">
        <v>114</v>
      </c>
    </row>
    <row r="37" spans="1:2" ht="34.5" x14ac:dyDescent="0.25">
      <c r="A37" s="86" t="s">
        <v>106</v>
      </c>
      <c r="B37" s="86" t="s">
        <v>107</v>
      </c>
    </row>
    <row r="38" spans="1:2" ht="23" x14ac:dyDescent="0.25">
      <c r="A38" s="86" t="s">
        <v>108</v>
      </c>
      <c r="B38" s="86" t="s">
        <v>75</v>
      </c>
    </row>
    <row r="39" spans="1:2" x14ac:dyDescent="0.25">
      <c r="A39" s="86" t="s">
        <v>109</v>
      </c>
      <c r="B39" s="86" t="s">
        <v>116</v>
      </c>
    </row>
    <row r="40" spans="1:2" x14ac:dyDescent="0.25">
      <c r="A40" s="297" t="s">
        <v>110</v>
      </c>
      <c r="B40" s="297" t="s">
        <v>155</v>
      </c>
    </row>
    <row r="41" spans="1:2" x14ac:dyDescent="0.25">
      <c r="A41" s="298" t="s">
        <v>174</v>
      </c>
      <c r="B41" s="298" t="s">
        <v>177</v>
      </c>
    </row>
    <row r="42" spans="1:2" x14ac:dyDescent="0.25">
      <c r="A42" s="298" t="s">
        <v>160</v>
      </c>
      <c r="B42" s="298" t="s">
        <v>119</v>
      </c>
    </row>
    <row r="43" spans="1:2" x14ac:dyDescent="0.25">
      <c r="A43" s="298" t="s">
        <v>113</v>
      </c>
      <c r="B43" s="298" t="s">
        <v>120</v>
      </c>
    </row>
    <row r="44" spans="1:2" x14ac:dyDescent="0.25">
      <c r="A44" s="101" t="s">
        <v>168</v>
      </c>
      <c r="B44" s="101" t="s">
        <v>111</v>
      </c>
    </row>
    <row r="45" spans="1:2" x14ac:dyDescent="0.25">
      <c r="A45" s="101" t="s">
        <v>169</v>
      </c>
      <c r="B45" s="102" t="s">
        <v>112</v>
      </c>
    </row>
    <row r="46" spans="1:2" x14ac:dyDescent="0.25">
      <c r="A46" s="102" t="s">
        <v>170</v>
      </c>
      <c r="B46" s="102" t="s">
        <v>117</v>
      </c>
    </row>
    <row r="47" spans="1:2" x14ac:dyDescent="0.25">
      <c r="A47" s="102" t="s">
        <v>171</v>
      </c>
      <c r="B47" s="102" t="s">
        <v>118</v>
      </c>
    </row>
    <row r="48" spans="1:2" ht="13" thickBot="1" x14ac:dyDescent="0.3">
      <c r="A48" s="300"/>
      <c r="B48" s="300"/>
    </row>
    <row r="49" spans="1:6" ht="27.75" customHeight="1" thickBot="1" x14ac:dyDescent="0.35">
      <c r="A49" s="240"/>
      <c r="B49" s="241"/>
      <c r="D49" s="245"/>
      <c r="E49" s="251" t="s">
        <v>124</v>
      </c>
      <c r="F49" s="246" t="s">
        <v>126</v>
      </c>
    </row>
    <row r="50" spans="1:6" ht="45" customHeight="1" thickBot="1" x14ac:dyDescent="0.3">
      <c r="A50" s="240"/>
      <c r="B50" s="241" t="s">
        <v>134</v>
      </c>
      <c r="C50" s="14"/>
      <c r="D50" s="256" t="s">
        <v>125</v>
      </c>
      <c r="E50" s="252" t="s">
        <v>127</v>
      </c>
      <c r="F50" s="250" t="s">
        <v>128</v>
      </c>
    </row>
    <row r="51" spans="1:6" ht="21.75" customHeight="1" x14ac:dyDescent="0.25">
      <c r="A51" s="240"/>
      <c r="B51" s="241"/>
      <c r="C51" s="14"/>
      <c r="D51" s="257" t="s">
        <v>4</v>
      </c>
      <c r="E51" s="253">
        <v>4</v>
      </c>
      <c r="F51" s="249" t="s">
        <v>135</v>
      </c>
    </row>
    <row r="52" spans="1:6" ht="21.75" customHeight="1" x14ac:dyDescent="0.25">
      <c r="A52" s="240"/>
      <c r="B52" s="241"/>
      <c r="C52" s="14"/>
      <c r="D52" s="258" t="s">
        <v>5</v>
      </c>
      <c r="E52" s="254">
        <v>3</v>
      </c>
      <c r="F52" s="247" t="s">
        <v>136</v>
      </c>
    </row>
    <row r="53" spans="1:6" ht="21.75" customHeight="1" x14ac:dyDescent="0.25">
      <c r="A53" s="240"/>
      <c r="B53" s="241"/>
      <c r="C53" s="14"/>
      <c r="D53" s="259" t="s">
        <v>41</v>
      </c>
      <c r="E53" s="254">
        <v>2</v>
      </c>
      <c r="F53" s="247" t="s">
        <v>137</v>
      </c>
    </row>
    <row r="54" spans="1:6" ht="21.75" customHeight="1" x14ac:dyDescent="0.25">
      <c r="A54" s="240"/>
      <c r="B54" s="241"/>
      <c r="C54" s="14"/>
      <c r="D54" s="260" t="s">
        <v>78</v>
      </c>
      <c r="E54" s="254">
        <v>1</v>
      </c>
      <c r="F54" s="247" t="s">
        <v>130</v>
      </c>
    </row>
    <row r="55" spans="1:6" ht="21.75" customHeight="1" thickBot="1" x14ac:dyDescent="0.3">
      <c r="A55" s="240"/>
      <c r="B55" s="241"/>
      <c r="C55" s="14"/>
      <c r="D55" s="261" t="s">
        <v>18</v>
      </c>
      <c r="E55" s="255" t="s">
        <v>129</v>
      </c>
      <c r="F55" s="248" t="s">
        <v>129</v>
      </c>
    </row>
  </sheetData>
  <sheetProtection password="CC15" sheet="1" objects="1" scenarios="1" formatRows="0"/>
  <customSheetViews>
    <customSheetView guid="{A7FD2B08-B74C-4011-B35C-4B9B50711590}" topLeftCell="A13">
      <selection activeCell="B13" sqref="B13"/>
      <rowBreaks count="1" manualBreakCount="1">
        <brk id="24" max="16383" man="1"/>
      </rowBreaks>
      <pageMargins left="0.75" right="0.75" top="1" bottom="1" header="0.5" footer="0.5"/>
      <pageSetup paperSize="9" scale="95" orientation="landscape" r:id="rId1"/>
      <headerFooter alignWithMargins="0"/>
    </customSheetView>
    <customSheetView guid="{32B0C26A-BAF8-434F-BC5C-F8117C433B50}" topLeftCell="A13">
      <selection activeCell="B13" sqref="B13"/>
      <rowBreaks count="1" manualBreakCount="1">
        <brk id="24" max="16383" man="1"/>
      </rowBreaks>
      <pageMargins left="0.75" right="0.75" top="1" bottom="1" header="0.5" footer="0.5"/>
      <pageSetup paperSize="9" scale="95" orientation="landscape" r:id="rId2"/>
      <headerFooter alignWithMargins="0"/>
    </customSheetView>
  </customSheetViews>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3"/>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789124-D42E-41EA-9C34-CFE157928930}">
  <ds:schemaRefs>
    <ds:schemaRef ds:uri="http://schemas.microsoft.com/office/2006/documentManagement/types"/>
    <ds:schemaRef ds:uri="http://purl.org/dc/dcmitype/"/>
    <ds:schemaRef ds:uri="http://purl.org/dc/terms/"/>
    <ds:schemaRef ds:uri="http://purl.org/dc/elements/1.1/"/>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5C8FF2-37EA-4042-A6CB-7136DC3E3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Marina Temudo</cp:lastModifiedBy>
  <cp:lastPrinted>2015-09-16T12:49:58Z</cp:lastPrinted>
  <dcterms:created xsi:type="dcterms:W3CDTF">2012-01-04T16:00:22Z</dcterms:created>
  <dcterms:modified xsi:type="dcterms:W3CDTF">2025-05-16T13:45:07Z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