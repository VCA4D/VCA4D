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autoCompressPictures="0" defaultThemeVersion="124226"/>
  <mc:AlternateContent xmlns:mc="http://schemas.openxmlformats.org/markup-compatibility/2006">
    <mc:Choice Requires="x15">
      <x15ac:absPath xmlns:x15ac="http://schemas.microsoft.com/office/spreadsheetml/2010/11/ac" url="C:\Users\merlinleunda\Desktop\VC4D_Cameroun\0000000_VCA4D MANIOC\Rapport VCA4D\Nouveau dossier\Nouveau dossier\OK\"/>
    </mc:Choice>
  </mc:AlternateContent>
  <xr:revisionPtr revIDLastSave="0" documentId="13_ncr:1_{A15C4C85-8742-41CB-82D1-36201B87C8B8}" xr6:coauthVersionLast="36" xr6:coauthVersionMax="36" xr10:uidLastSave="{00000000-0000-0000-0000-000000000000}"/>
  <bookViews>
    <workbookView xWindow="0" yWindow="0" windowWidth="11496" windowHeight="9636" activeTab="1"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E61" i="3" l="1"/>
  <c r="A10" i="4" l="1"/>
  <c r="A11" i="4" s="1"/>
  <c r="A12" i="4" s="1"/>
  <c r="A13" i="4" s="1"/>
  <c r="A15" i="4" s="1"/>
  <c r="A16" i="4" s="1"/>
  <c r="A17" i="4" s="1"/>
  <c r="A18" i="4" s="1"/>
  <c r="A20" i="4" s="1"/>
  <c r="E114" i="3" l="1"/>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110" i="3" l="1"/>
  <c r="E106" i="3"/>
  <c r="E95" i="3"/>
  <c r="E91" i="3"/>
  <c r="E84" i="3"/>
  <c r="E100" i="3"/>
  <c r="E115" i="3"/>
  <c r="E80" i="3"/>
  <c r="E75" i="3"/>
  <c r="E71" i="3"/>
  <c r="E66" i="3"/>
  <c r="E62" i="3"/>
  <c r="E56" i="3"/>
  <c r="E49" i="3"/>
  <c r="E43"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100" i="3" l="1"/>
  <c r="B32" i="2" s="1"/>
  <c r="J91" i="3"/>
  <c r="B30" i="2" s="1"/>
  <c r="J95" i="3"/>
  <c r="B31" i="2" s="1"/>
  <c r="D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C30" i="2" l="1"/>
  <c r="D30" i="2"/>
  <c r="B33" i="2"/>
  <c r="D18" i="1" s="1"/>
  <c r="D32" i="2"/>
  <c r="C32" i="2"/>
  <c r="I30" i="2"/>
  <c r="I20" i="2"/>
  <c r="I38" i="2"/>
  <c r="I19" i="2"/>
  <c r="I9" i="2"/>
  <c r="I8" i="2"/>
  <c r="I13" i="2"/>
  <c r="I36" i="2"/>
  <c r="I26" i="2"/>
  <c r="I17" i="2"/>
  <c r="I7" i="2"/>
  <c r="I35" i="2"/>
  <c r="I24" i="2"/>
  <c r="I14" i="2"/>
  <c r="I32" i="2"/>
  <c r="I31" i="2"/>
  <c r="I21" i="2"/>
  <c r="I12" i="2"/>
  <c r="I37" i="2"/>
  <c r="I27" i="2"/>
  <c r="I18" i="2"/>
  <c r="I25" i="2"/>
  <c r="I6" i="2"/>
  <c r="I33" i="2"/>
  <c r="F18" i="1" s="1"/>
  <c r="C31" i="2"/>
  <c r="D62" i="3"/>
  <c r="D66" i="3"/>
  <c r="D106" i="3"/>
  <c r="D115" i="3"/>
  <c r="D110" i="3"/>
  <c r="D71" i="3"/>
  <c r="D43" i="3"/>
  <c r="D26" i="3"/>
  <c r="I26" i="3" s="1"/>
  <c r="J26" i="3" s="1"/>
  <c r="D32" i="3"/>
  <c r="D38" i="3"/>
  <c r="D84" i="3"/>
  <c r="D17" i="3"/>
  <c r="C33" i="2" l="1"/>
  <c r="C18" i="1" s="1"/>
  <c r="D33" i="2"/>
  <c r="E18" i="1" s="1"/>
  <c r="F49" i="3"/>
  <c r="D49" i="3"/>
  <c r="D14" i="3"/>
  <c r="I14" i="3" s="1"/>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28" i="2" l="1"/>
  <c r="F17" i="1" s="1"/>
  <c r="I39" i="2"/>
  <c r="F19" i="1" s="1"/>
  <c r="I15" i="2"/>
  <c r="F15" i="1" s="1"/>
  <c r="I10" i="2"/>
  <c r="F14" i="1" s="1"/>
  <c r="G19" i="1"/>
  <c r="G17" i="1"/>
  <c r="G14" i="1"/>
  <c r="G15" i="1"/>
  <c r="G16" i="1"/>
  <c r="F16" i="1"/>
  <c r="I17" i="3"/>
  <c r="I71" i="3"/>
  <c r="F84" i="3"/>
  <c r="I43" i="3"/>
  <c r="J43" i="3" s="1"/>
  <c r="F62" i="3"/>
  <c r="I66" i="3"/>
  <c r="J66" i="3" s="1"/>
  <c r="F106" i="3"/>
  <c r="I32" i="3"/>
  <c r="J32" i="3" s="1"/>
  <c r="I49" i="3"/>
  <c r="J49" i="3" s="1"/>
  <c r="F115" i="3"/>
  <c r="F66" i="3"/>
  <c r="F38" i="3"/>
  <c r="I38" i="3"/>
  <c r="I56" i="3"/>
  <c r="J56" i="3" s="1"/>
  <c r="F56" i="3"/>
  <c r="B12" i="2"/>
  <c r="C12" i="2" s="1"/>
  <c r="F26" i="3"/>
  <c r="F21" i="3"/>
  <c r="F17" i="3"/>
  <c r="J71" i="3" l="1"/>
  <c r="B24" i="2" s="1"/>
  <c r="B38" i="2"/>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I115" i="3"/>
  <c r="J115" i="3" s="1"/>
  <c r="F10" i="3"/>
  <c r="C24" i="2" l="1"/>
  <c r="D24" i="2"/>
  <c r="J21" i="3"/>
  <c r="B9" i="2" s="1"/>
  <c r="J110" i="3"/>
  <c r="B36" i="2" s="1"/>
  <c r="C36" i="2" s="1"/>
  <c r="B15" i="2"/>
  <c r="D21" i="2"/>
  <c r="D19" i="2"/>
  <c r="D18" i="2"/>
  <c r="B35" i="2"/>
  <c r="C35" i="2" s="1"/>
  <c r="B37" i="2"/>
  <c r="C37" i="2" s="1"/>
  <c r="B27" i="2"/>
  <c r="D14" i="2"/>
  <c r="D17" i="2"/>
  <c r="D25" i="2"/>
  <c r="B20" i="2"/>
  <c r="D13" i="2"/>
  <c r="B7" i="2"/>
  <c r="D8" i="2"/>
  <c r="C15" i="2" l="1"/>
  <c r="C15" i="1" s="1"/>
  <c r="D15" i="1"/>
  <c r="C9" i="2"/>
  <c r="D9" i="2"/>
  <c r="B28" i="2"/>
  <c r="C27" i="2"/>
  <c r="B22" i="2"/>
  <c r="C20" i="2"/>
  <c r="D15" i="2"/>
  <c r="E15" i="1" s="1"/>
  <c r="B10" i="2"/>
  <c r="C7" i="2"/>
  <c r="B39" i="2"/>
  <c r="D37" i="2"/>
  <c r="D27" i="2"/>
  <c r="D20" i="2"/>
  <c r="D7" i="2"/>
  <c r="D38" i="2"/>
  <c r="D36" i="2"/>
  <c r="D35" i="2"/>
  <c r="D26" i="2"/>
  <c r="D6" i="2"/>
  <c r="C39" i="2" l="1"/>
  <c r="C19" i="1" s="1"/>
  <c r="D19" i="1"/>
  <c r="C28" i="2"/>
  <c r="C17" i="1" s="1"/>
  <c r="D17" i="1"/>
  <c r="C22" i="2"/>
  <c r="C16" i="1" s="1"/>
  <c r="D16" i="1"/>
  <c r="C10" i="2"/>
  <c r="C14" i="1" s="1"/>
  <c r="D14" i="1"/>
  <c r="D22" i="2"/>
  <c r="E16" i="1" s="1"/>
  <c r="D39" i="2"/>
  <c r="E19" i="1" s="1"/>
  <c r="D28" i="2"/>
  <c r="E17" i="1" s="1"/>
  <c r="D10" i="2"/>
  <c r="E14" i="1" s="1"/>
</calcChain>
</file>

<file path=xl/sharedStrings.xml><?xml version="1.0" encoding="utf-8"?>
<sst xmlns="http://schemas.openxmlformats.org/spreadsheetml/2006/main" count="580" uniqueCount="402">
  <si>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</si>
  <si>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</si>
  <si>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</si>
  <si>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</si>
  <si>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</si>
  <si>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</si>
  <si>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</si>
  <si>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</si>
  <si>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</si>
  <si>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</si>
  <si>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</si>
  <si>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</si>
  <si>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</si>
  <si>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</si>
  <si>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</si>
  <si>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</si>
  <si>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</si>
  <si>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</si>
  <si>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</si>
  <si>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</si>
  <si>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</si>
  <si>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</si>
  <si>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</si>
  <si>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</si>
  <si>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</si>
  <si>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</si>
  <si>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</si>
  <si>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</si>
  <si>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</si>
  <si>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</si>
  <si>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</si>
  <si>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</si>
  <si>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</si>
  <si>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</si>
  <si>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</si>
  <si>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</si>
  <si>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</si>
  <si>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</si>
  <si>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</si>
  <si>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</si>
  <si>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</si>
  <si>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</si>
  <si>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</si>
  <si>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</si>
  <si>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</si>
  <si>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</si>
  <si>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</si>
  <si>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</si>
  <si>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</si>
  <si>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</si>
  <si>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</si>
  <si>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</si>
  <si>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</si>
  <si>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</si>
  <si>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</si>
  <si>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</si>
  <si>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</si>
  <si>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</si>
  <si>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</si>
  <si>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</si>
  <si>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</si>
  <si>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</si>
  <si>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</si>
  <si>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</si>
  <si>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</si>
  <si>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</si>
  <si>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</si>
  <si>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</si>
  <si>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</si>
  <si>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</si>
  <si>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</si>
  <si>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</si>
  <si>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4.3.3 Is dietary diversity increased?</t>
  </si>
  <si>
    <t>Minimum number of food groups consumed by an individual over a reference period. Ref.: FAO Manual Minimum Dietary Diversity in Women (in preparation). This is relevant only if the baseline score is low.</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</si>
  <si>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</si>
  <si>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</si>
  <si>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</si>
  <si>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</si>
  <si>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</si>
  <si>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</si>
  <si>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</si>
  <si>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</si>
  <si>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</si>
  <si>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</si>
  <si>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</si>
  <si>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</si>
  <si>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</si>
  <si>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</si>
  <si>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</si>
  <si>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</si>
  <si>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</si>
  <si>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</si>
  <si>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</si>
  <si>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</si>
  <si>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</si>
  <si>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</si>
  <si>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</si>
  <si>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</si>
  <si>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</si>
  <si>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</si>
  <si>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</si>
  <si>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</si>
  <si>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</si>
  <si>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</si>
  <si>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</si>
  <si>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</si>
  <si>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</si>
  <si>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</si>
  <si>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</si>
  <si>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</si>
  <si>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</si>
  <si>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</si>
  <si>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</si>
  <si>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</si>
  <si>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</si>
  <si>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</si>
  <si>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</si>
  <si>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</si>
  <si>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</si>
  <si>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</si>
  <si>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</si>
  <si>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</si>
  <si>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</si>
  <si>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</si>
  <si>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</si>
  <si>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</si>
  <si>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</si>
  <si>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</si>
  <si>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</si>
  <si>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</si>
  <si>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</si>
  <si>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</si>
  <si>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</si>
  <si>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</si>
  <si>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</si>
  <si>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</si>
  <si>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</si>
  <si>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</si>
  <si>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</si>
  <si>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</si>
  <si>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</si>
  <si>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</si>
  <si>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</si>
  <si>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</si>
  <si>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</si>
  <si>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</si>
  <si>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</si>
  <si>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</si>
  <si>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</si>
  <si>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</si>
  <si>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</si>
  <si>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</si>
  <si>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</si>
  <si>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</si>
  <si>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</si>
  <si>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</si>
  <si>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</si>
  <si>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</si>
  <si>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</si>
  <si>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</si>
  <si>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</si>
  <si>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</si>
  <si>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</si>
  <si>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</si>
  <si>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</si>
  <si>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</si>
  <si>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</si>
  <si>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</si>
  <si>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</si>
  <si>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</si>
  <si>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</si>
  <si>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 xml:space="preserve">1.1.3 To what extent do workers benefit from enforceable and fair contracts </t>
  </si>
  <si>
    <t>1.3.1 Degree of protection from accidents and health damages (in any segment of the value chain)?</t>
  </si>
  <si>
    <t>Does food availability increase? Production,export Yc transports (trucks…).</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</si>
  <si>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</si>
  <si>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</si>
  <si>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</si>
  <si>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</si>
  <si>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</si>
  <si>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</si>
  <si>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</si>
  <si>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</si>
  <si>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</si>
  <si>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</si>
  <si>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</si>
  <si>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</si>
  <si>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</si>
  <si>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</si>
  <si>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</si>
  <si>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</si>
  <si>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</si>
  <si>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</si>
  <si>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</si>
  <si>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</si>
  <si>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</si>
  <si>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</si>
  <si>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</si>
  <si>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</si>
  <si>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</si>
  <si>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</si>
  <si>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r>
      <t xml:space="preserve">SOCIAL PROFILE  </t>
    </r>
    <r>
      <rPr>
        <b/>
        <sz val="9"/>
        <color rgb="FFFF0000"/>
        <rFont val="Arial"/>
        <family val="2"/>
      </rPr>
      <t>(V.2025-0)</t>
    </r>
  </si>
  <si>
    <t>Understanding the labour contract content in all the steps of the VC (including formal contracts and informal agreements)</t>
  </si>
  <si>
    <t>1.1.1</t>
  </si>
  <si>
    <t>The question can be broken down in different sub-questions: Understanding if and what conventions related to labour are signed by the country; Appraising to what extent the labour conventions are applied by companies (formally or informally)</t>
  </si>
  <si>
    <t xml:space="preserve">1.1.2 Is freedom of association effective (allowed and exercises)? </t>
  </si>
  <si>
    <t xml:space="preserve">1.2.1 Degree of school attendance in case children are working (in any segment of the value chain)? </t>
  </si>
  <si>
    <t>1.2.2 Are children protected from exposure to heavy workloads and/or harmful jobs?</t>
  </si>
  <si>
    <t>3.3.2 To what extent are women autonomous in the organisation of their work (within vs outside the VC)?</t>
  </si>
  <si>
    <t xml:space="preserve">4.1.1 To what extent does the VC contribute to incease the local production of food?
</t>
  </si>
  <si>
    <t xml:space="preserve">4.2.1 Do people have more income to allocate to food thanks to activities linked to the VC?  </t>
  </si>
  <si>
    <t>4.4.1 To what extent does the VC contribute to reduce risks of periodic food shortage for household?</t>
  </si>
  <si>
    <t xml:space="preserve">5.3.3 Is there participation in voluntary communal activities for benefit of the community? </t>
  </si>
  <si>
    <t>6.1.1 To what extent does the VC influence the access of households to health facilities?</t>
  </si>
  <si>
    <t>6.1.2 To what extent does the VC influence the access of households to health services?</t>
  </si>
  <si>
    <t>6.1.3  To what extent does the VC influence the affordable of health services for households?</t>
  </si>
  <si>
    <t>6.2.1 To what extent does the VC influence the access of households to good quality accomodations?</t>
  </si>
  <si>
    <t xml:space="preserve">6.2.2 To what extent does the VC influence the access of households to good quality water and sanitation facilities? </t>
  </si>
  <si>
    <t>6.3.1 To what extent does the VC influence the accessibility to primary education for households?</t>
  </si>
  <si>
    <t>6.3.2 To what extent does the VC influence the accessibility to secondary and/or vocational education for households?</t>
  </si>
  <si>
    <t>3.3.5 Do women take part in decisions on the purchase, sale or transfer of assets?</t>
  </si>
  <si>
    <t>Organisation internationale du Travail. (s.d.). Cameroun.  https://normlex.ilo.org/dyn/nrmlx_en/f?p=NORMLEXPUB:11200:0::NO::P11200_COUNTRY_ID:103038 (consulté le 6 janvier 2026).
Ministère de l’Économie, de la Planification et de l’Aménagement du Territoire (MINEPAT). (2024). Structuration et financement de la filière des farines locales : Rapport final. Dispositif d’appui à la compétitivité du Cameroun (DACC), Termes de référence n° 090/2023. Yaoundé : Gouvernement du Cameroun / Union européenne.
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</si>
  <si>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République du Cameroun. (1990). Loi n°90/053 du 19 décembre 1990 relative à la liberté d’association. Yaoundé.
Organisation internationale du Travail. (s.d.). Cameroun.  https://normlex.ilo.org/dyn/nrmlx_en/f?p=NORMLEXPUB:11200:0::NO::P11200_COUNTRY_ID:103038 (consulté le 6 janvier 2026).
Ministère de l’Économie, de la Planification et de l’Aménagement du Territoire (MINEPAT). (2024). Structuration et financement de la filière des farines locales : Rapport final. Dispositif d’appui à la compétitivité du Cameroun (DACC), Termes de référence n° 090/2023. Yaoundé : Gouvernement du Cameroun / Union européenne.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</si>
  <si>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Emmanuel, T. (2013), Amélioration de la commercialisation et de transformation du manioc au Cameroun: contraintes et perspectives de la chaîne de valeur, Dans : Reconstruire le potentiel alimentaire de l’Afrique de l’Ouest, A. Elbehri (ed.), FAO/FIDA.
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</si>
  <si>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République du Cameroun, Bureau Central des Recensements et des Études de Population (BUCREP). (2005). Troisième recensement général de la population et de l’habitat (3e RGPH). Volume II, Tome 10 : Situation sociale et économique des enfants et des jeunes. Yaoundé : BUCREP.
UNICEF Cameroun. (2025). Situation des enfants au Cameroun (Juin 2025). Yaoundé : UNICEF.</t>
  </si>
  <si>
    <t>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(s.d.). Cameroun.  https://normlex.ilo.org/dyn/nrmlx_en/f?p=NORMLEXPUB:11200:0::NO::P11200_COUNTRY_ID:103038 (consulté le 6 janvier 2026).</t>
  </si>
  <si>
    <t>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(s.d.). Cameroun.  https://normlex.ilo.org/dyn/nrmlx_en/f?p=NORMLEXPUB:11200:0::NO::P11200_COUNTRY_ID:103038 (consulté le 6 janvier 2026).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</si>
  <si>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(s.d.). Cameroun.  https://normlex.ilo.org/dyn/nrmlx_en/f?p=NORMLEXPUB:11200:0::NO::P11200_COUNTRY_ID:103038 (consulté le 6 janvier 2026).
République du Cameroun. (2023). Décret n° 2023/00338/PM du 21 mars 2023 fixant le Salaire Minimum Interprofessionnel Garanti (SMIG). Gouvernement du Cameroun.
République du Cameroun. (2024). Décret n° 2024/0168/PM du 23 février 2024 fixant le Salaire Minimum Interprofessionnel Garanti (SMIG) des agents de l’État relevant du Code du travail. Gouvernement du Cameroun.
Duval, M.-F., Dufour, D., &amp; Mabiranodji, A. (2013). Amélioration de la productivité du manioc et diffusion des semences améliorées : Rapport de mission d’expertise scientifique (22–28 mai 2013). Programme d’Appui à la Recherche, Contrat de Désendettement et de Développement (C2D), Projet IRAD n°2. Yaoundé : IRAD / C2D.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</si>
  <si>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Organisation internationale du Travail (OIT). (2018). The state of skills in Cameroon. Geneva: International Labour Office.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</si>
  <si>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Dans la chaîne de valeur du manioc au Cameroun, les travailleurs disposent généralement de règles de rémunération localement connues et appliquées, notamment sous forme de paiements journaliers ou à la tâche (par exemple autour de 2500 FCFA/jour pour les ouvriers agricoles). Cependant, ces arrangements restent le plus souvent informels et non encadrés juridiquement. La littérature indique que la production et la transformation du manioc reposent largement sur l’auto-emploi, le travail familial et le travail occasionnel, ce qui limite l’existence de contrats formels et de protections sociales (MINEPAT, 2021 ; Ngoualem Kegah et al., 2019). Une étude de l´OIT menée dans l’Est et l’Adamaoua confirme que les emplois agricoles de la filière sont majoritairement saisonniers, sans contrat ni sécurité sociale (OIT, 2025). Quelques organisations plus structurées disposent d’un noyau de travailleurs permanents, mais une part importante de la main-d’œuvre reste recrutée à la tâche ou temporairement. Les réfugiés et déplacés, confrontés à un accès plus limité à la terre et aux ressources productives, apparaissent particulièrement exposés à ces formes d’emploi précaires (OIT, 2025).</t>
  </si>
  <si>
    <t>Le Cameroun a ratifié les conventions de l’OIT sur l’âge minimum (Convention 138) et les pires formes de travail des enfants (Convention 182), avec un âge minimum de travail fixé à 14 ans (OIT, s. d.). Toutefois, dans la filière manioc largement informelle, la protection contre les travaux dangereux reste difficile à vérifier. Les activités agricoles et de transformation impliquent en effet des risques physiques importants (machettes, port de charges, machines artisanales), souvent avec des équipements rudimentaires (Ngoualem Kegah et al., 2019). Dans ce contexte, lorsque des enfants participent ponctuellement aux activités familiales, il n’est pas toujours possible de garantir leur protection contre ces risques.</t>
  </si>
  <si>
    <t>Food and Agriculture Organization of the United Nations. (2012). Directives volontaires pour une gouvernance responsable des régimes fonciers applicables aux terres, aux pêches et aux forêts dans le contexte de la sécurité alimentaire nationale. FAO.
Food and Agriculture Organization of the United Nations, Union européenne et Cirad. 2022. Profil des systèmes alimentaires – Cameroun. Activer la transformation durable et inclusive de nos des systèmes alimentaires. Rome, Bruxelles et Montpellier, France. https://doi.org/10.4060/cb9864fr.
IIED (International Institute for Environment and Development). (2021). La réforme foncière au Cameroun : une vision cohérente proposée par la société civile. Londres : IIED. Disponible à : https://www.iied.org/sites/default/files/pdfs/2021-05/FR_20126IIED.pdf</t>
  </si>
  <si>
    <t>IIED (International Institute for Environment and Development). (2021). La réforme foncière au Cameroun : une vision cohérente proposée par la société civile. Londres : IIED. Disponible à : https://www.iied.org/sites/default/files/pdfs/2021-05/FR_20126IIED.pdf
Ministère de l’Économie, de la Planification et de l’Aménagement du Territoire (MINEPAT). (2024). Structuration et financement de la filière des farines locales : Rapport final. Dispositif d’appui à la compétitivité du Cameroun (DACC), Termes de référence n° 090/2023. Yaoundé : Gouvernement du Cameroun / Union européenne.
OCDE (Organisation de coopération et de développement économiques) &amp; FAO (Organisation des Nations Unies pour l’alimentation et l’agriculture). 2016. Guide OCDE-FAO pour des chaînes d’approvisionnement agricoles responsables. Paris/Rome : OCDE/FAO. Disponible à : https://files.nettsteder.regjeringen.no/wpuploads01/blogs.dir/263/files/2017/10/Brochure_OECD-FAO-Guidance.pdf</t>
  </si>
  <si>
    <t>Dans la filière manioc au Cameroun, l’application du Guide de diligence raisonnable pour des investissements agricoles responsables apparaît globalement limitée et peu systématique. Ce référentiel international recommande notamment l’identification des détenteurs de droits, l’évaluation des impacts sociaux et environnementaux, la consultation des parties prenantes, la compensation et la prévention des conflits (OCDE &amp; FAO, 2016). Or, même si les investissements fonciers à très grande échelle restent encore relativement peu fréquents dans la filière, dominée par des exploitations familiales de petite taille (MINEPAT, 2021), l’émergence de segments de transformation plus intégrés entraîne une demande accrue pour l’accès à de grandes superficies agricoles.
Les informations issues des enquêtes de terrain suggèrent que l’accès au foncier dans ces projets repose souvent sur des dispositifs hybrides combinant négociations communautaires et démarches administratives. Toutefois, la transparence des modalités d’acquisition, la réalité du consentement communautaire et les mécanismes de compensation restent parfois difficiles à documenter. Les analyses disponibles indiquent ainsi que les démarches de diligence raisonnable ne sont pas systématiquement formalisées ni alignées sur les standards internationaux, ce qui peut générer des tensions locales autour de l’accès à la terre (IIED, 2021).</t>
  </si>
  <si>
    <t>Food and Agriculture Organization of the United Nations, Union européenne et Cirad. 2022. Profil des systèmes alimentaires – Cameroun. Activer la transformation durable et inclusive de nos des systèmes alimentaires. Rome, Bruxelles et Montpellier, France. https://doi.org/10.4060/cb9864fr.
Tchékoté, H., Nguedia Melachio, M., &amp; Siyapdje, E. C. (2018). Appropriation foncière, pratiques agricoles et enjeux environnementaux à Bafou-Nord dans les monts Bamboutos (Ouest Cameroun). Belgeo, (2). DOI : https://doi.org/10.4000/belgeo.21085</t>
  </si>
  <si>
    <t>Food and Agriculture Organization of the United Nations, Union européenne et Cirad. 2022. Profil des systèmes alimentaires – Cameroun. Activer la transformation durable et inclusive de nos des systèmes alimentaires. Rome, Bruxelles et Montpellier, France. https://doi.org/10.4060/cb9864fr.
IIED (International Institute for Environment and Development). (2021). La réforme foncière au Cameroun : une vision cohérente proposée par la société civile. Londres : IIED. Disponible à : https://www.iied.org/sites/default/files/pdfs/2021-05/FR_20126IIED.pdf
Programme alimentaire mondial (PAM), Organisation des Nations Unies pour l’alimentation et l’agriculture (FAO) et partenaires des Nations Unies. (2025). CONVERGEFOOD in Cameroon: Improving livelihoods and income of smallholder producers and food workers by connecting sectoral ministries, demand and supply and entrepreneurs to financing mechanisms (Joint Programme Document). Yaoundé.
Tchékoté, H., Nguedia Melachio, M., &amp; Siyapdje, E. C. (2018). Appropriation foncière, pratiques agricoles et enjeux environnementaux à Bafou-Nord dans les monts Bamboutos (Ouest Cameroun). Belgeo, (2). DOI : https://doi.org/10.4000/belgeo.21085</t>
  </si>
  <si>
    <t>Food and Agriculture Organization of the United Nations. (2012). Directives volontaires pour une gouvernance responsable des régimes fonciers applicables aux terres, aux pêches et aux forêts dans le contexte de la sécurité alimentaire nationale. FAO.
IIED (International Institute for Environment and Development). (2021). La réforme foncière au Cameroun : une vision cohérente proposée par la société civile. Londres : IIED. Disponible à : https://www.iied.org/sites/default/files/pdfs/2021-05/FR_20126IIED.pdf
Ministère de l’Économie, de la Planification et de l’Aménagement du Territoire (MINEPAT). (2024). Structuration et financement de la filière des farines locales : Rapport final. Dispositif d’appui à la compétitivité du Cameroun (DACC), Termes de référence n° 090/2023. Yaoundé : Gouvernement du Cameroun / Union européenne.
OCDE (Organisation de coopération et de développement économiques) &amp; FAO (Organisation des Nations Unies pour l’alimentation et l’agriculture). 2016. Guide OCDE-FAO pour des chaînes d’approvisionnement agricoles responsables. Paris/Rome : OCDE/FAO. Disponible à : https://files.nettsteder.regjeringen.no/wpuploads01/blogs.dir/263/files/2017/10/Brochure_OECD-FAO-Guidance.pdf</t>
  </si>
  <si>
    <t>Food and Agriculture Organization of the United Nations, Union européenne et Cirad. 2022. Profil des systèmes alimentaires – Cameroun. Activer la transformation durable et inclusive de nos des systèmes alimentaires. Rome, Bruxelles et Montpellier, France. https://doi.org/10.4060/cb9864fr.
IIED (International Institute for Environment and Development). (2021). La réforme foncière au Cameroun : une vision cohérente proposée par la société civile. Londres : IIED. Disponible à : https://www.iied.org/sites/default/files/pdfs/2021-05/FR_20126IIED.pdf
République du Cameroun. (1974). Ordonnance n°74-1 du 6 juillet 1974 fixant le régime foncier ; Ordonnance n°74-2 du 6 juillet 1974 fixant le régime domanial. Journal Officiel de la République Unie du Cameroun.
République du Cameroun. (1985). Loi n° 85/009 du 4 juillet 1985 relative à l’expropriation pour cause d’utilité publique et aux modalités d’indemnisation. Yaoundé : Journal officiel de la République du Cameroun.
Tchékoté, H., Nguedia Melachio, M., &amp; Siyapdje, E. C. (2018). Appropriation foncière, pratiques agricoles et enjeux environnementaux à Bafou-Nord dans les monts Bamboutos (Ouest Cameroun). Belgeo, (2). DOI : https://doi.org/10.4000/belgeo.21085.</t>
  </si>
  <si>
    <t>La diffusion de l’information relative aux décisions foncières apparaît variable et souvent limitée dans la filière manioc. Au niveau national, plusieurs initiatives et stratégies visent à renforcer la transparence et la participation des communautés dans la gouvernance foncière, notamment à travers des plateformes de dialogue multi-acteurs et la modernisation du système d’enregistrement foncier (FAO, UE &amp; CIRAD, 2022). Dans la pratique, toutefois, l’information circule encore largement à travers des réseaux locaux (autorités coutumières, familles propriétaires ou notables) ce qui peut en limiter l’accessibilité pour certains groupes. Les travaux empiriques montrent que les transactions foncières restent majoritairement informelles et que l’accès à l’information dépend souvent des relations sociales et de l’ancrage local (Tchékoté et al., 2018). Dans les contextes où des projets agro-industriels ou de transformation plus intégrés émergent, les modalités d’information et de consultation des communautés restent parfois peu documentées, ce qui peut alimenter des tensions locales autour de l’accès aux terres et des conditions de compensation.</t>
  </si>
  <si>
    <t>Le cadre juridique foncier camerounais est formellement établi, notamment à travers l’ordonnance de 1974 et la loi de 1985 sur l’expropriation et l’indemnisation (République du Cameroun, 1974 ; 1985). Toutefois, l’accessibilité et la compréhension de ces règles restent limitées pour de nombreux acteurs ruraux. Des analyses récentes soulignent que la complexité des procédures, la reconnaissance partielle des droits coutumiers et les difficultés d’opérationnalisation des politiques foncières constituent des enjeux majeurs pour le développement agricole (FAO, UE &amp; CIRAD, 2022 ; IIED, 2021). Sur le terrain, cela se traduit par un recours fréquent à des arrangements locaux (locations verbales, transactions via chefferies ou titres familiaux), souvent mieux compris que les dispositifs administratifs formels. Les règles d’accès à l’eau apparaissent encore moins formalisées dans certains contextes, où les usages reposent principalement sur des pratiques communautaires pouvant générer des tensions en zones d’intensification agricole (Tchékoté et al., 2018).</t>
  </si>
  <si>
    <t>Dans la chaîne de valeur du manioc au Cameroun, la participation aux décisions relatives à l’accès à la terre et à l’eau apparaît globalement présente mais différenciée selon les groupes sociaux et les contextes territoriaux. Les analyses disponibles indiquent que les femmes, les jeunes et certaines populations déplacées rencontrent encore des contraintes pour sécuriser des droits fonciers autonomes, notamment en raison du poids des arrangements coutumiers, des coûts et de la complexité des procédures formelles (FAO, UE &amp; CIRAD, 2022 ; IIED, 2021 ; PAM, FAO et partenaires ONU, 2025). Par ailleurs, dans les zones d’intensification agricole, la pression accrue sur les ressources hydriques peut renforcer des inégalités sociales existantes et générer des tensions locales (Tchékoté et al., 2018). Dans l’ensemble, la gouvernance des ressources apparaît relativement inclusive en termes de participation, mais demeure marquée par des écarts persistants dans l’accès effectif aux ressources productives.</t>
  </si>
  <si>
    <t>Food and Agriculture Organization of the United Nations, Union européenne et Cirad. 2022. Profil des systèmes alimentaires – Cameroun. Activer la transformation durable et inclusive de nos des systèmes alimentaires. Rome, Bruxelles et Montpellier, France. https://doi.org/10.4060/cb9864fr.
IIED (International Institute for Environment and Development). (2021). La réforme foncière au Cameroun : une vision cohérente proposée par la société civile. Londres : IIED. Disponible à : https://www.iied.org/sites/default/files/pdfs/2021-05/FR_20126IIED.pdf
République du Cameroun. (1974). Ordonnance n°74-1 du 6 juillet 1974 fixant le régime foncier ; Ordonnance n°74-2 du 6 juillet 1974 fixant le régime domanial. Journal Officiel de la République Unie du Cameroun.
République du Cameroun. (1985). Loi n° 85/009 du 4 juillet 1985 relative à l’expropriation pour cause d’utilité publique et aux modalités d’indemnisation. Yaoundé : Journal officiel de la République du Cameroun.
Mappe, J. H. (2019). Analyse financière de la chaîne de valeur du manioc dans la région de l’Est-Cameroun [Mémoire de licence professionnelle, Université de Dschang – FASA]. Mémoire Online. Consulté le 15 décembre 2025, à l’adresse: https://www.memoireonline.com/07/21/11961/m_Analyse-financiere-de-la-chaine-de-valeur-du-manioc-dans-la-region-de-lest-Cameroun7.html#_Toc14086090.
Tchékoté, H., Nguedia Melachio, M., &amp; Siyapdje, E. C. (2018). Appropriation foncière, pratiques agricoles et enjeux environnementaux à Bafou-Nord dans les monts Bamboutos (Ouest Cameroun). Belgeo, (2). DOI : https://doi.org/10.4000/belgeo.21085</t>
  </si>
  <si>
    <t>Food and Agriculture Organization of the United Nations, Union européenne et Cirad. 2022. Profil des systèmes alimentaires – Cameroun. Activer la transformation durable et inclusive de nos des systèmes alimentaires. Rome, Bruxelles et Montpellier, France. https://doi.org/10.4060/cb9864fr.
Fofiri Nzossié, E. J., &amp; Temple, L. (2023). Politique d’import-substitution au blé et compétitivité des farines panifiables à base de manioc, banane plantain et patate douce au Cameroun. Cahiers Agricultures, 32, 25. https://doi.org/10.1051/cagri/2023018.
Tchékoté, H., Nguedia Melachio, M., &amp; Siyapdje, E. C. (2018). Appropriation foncière, pratiques agricoles et enjeux environnementaux à Bafou-Nord dans les monts Bamboutos (Ouest Cameroun). Belgeo, (2). DOI : https://doi.org/10.4000/belgeo.21085.
Tchékoté, H., Nguedia Melachio, M., &amp; Siyapdje, E. C. (2024). Les communautés locales face à l’industrialisation de la région de Kribi. In J.-G. Elong, D. Retaille &amp; A.-E. Mayi (Dirs.), L’industrialisation par le bas : une autre passerelle de la construction du développement économique au Cameroun. Éditions Pygmies.</t>
  </si>
  <si>
    <t>IIED (International Institute for Environment and Development). (2021). La réforme foncière au Cameroun : une vision cohérente proposée par la société civile. Londres : IIED. Disponible à : https://www.iied.org/sites/default/files/pdfs/2021-05/FR_20126IIED.pdf
République du Cameroun. (1985). Loi n° 85/009 du 4 juillet 1985 relative à l’expropriation pour cause d’utilité publique et aux modalités d’indemnisation. Yaoundé : Journal officiel de la République du Cameroun.
Tchékoté, H., Nguedia Melachio, M., &amp; Siyapdje, E. C. (2024). Les communautés locales face à l’industrialisation de la région de Kribi. In J.-G. Elong, D. Retaille &amp; A.-E. Mayi (Dirs.), L’industrialisation par le bas : une autre passerelle de la construction du développement économique au Cameroun. Éditions Pygmies.</t>
  </si>
  <si>
    <t>Le cadre juridique camerounais fournit une base formelle pour la sécurisation des droits fonciers, notamment à travers les ordonnances de 1974 et la loi de 1985 sur l’expropriation (République du Cameroun, 1974 ; 1985), mais son effectivité reste partielle. Les analyses sectorielles soulignent l’absence d’un cadastre pleinement opérationnel et la protection encore inégale de certains groupes, tandis que l’accès à la terre constitue une contrainte structurelle pour la filière manioc, dominée par des exploitations familiales fragmentées et dépendantes d’arrangements locaux (FAO, UE &amp; CIRAD, 2022 ; MINEPAT, 2021). Dans plusieurs territoires, l’intensification agricole et l’émergence de projets plus intégrés s’accompagnent d’une pression foncière accrue, caractérisée par des transactions informelles, des difficultés d’accès pour les non-autochtones et des dynamiques d’accumulation foncière (Tchékoté et al., 2018), tandis que certaines analyses mettent en évidence la reconnaissance encore limitée des droits coutumiers et des inégalités persistantes d’accès aux ressources (IIED, 2021). Les contraintes liées à l’eau apparaissent variables mais peuvent devenir significatives dans les zones densifiées, où la concurrence entre usages génère des tensions locales (Tchékoté et al., 2018) ; à cela s’ajoutent aussi, notamment dans certaines zones de l’Est, des conflits agropastoraux affectant la sécurisation des moyens d’existence (Mappe, 2019).</t>
  </si>
  <si>
    <t>Les informations disponibles suggèrent que des stratégies alternatives face à la perte d’accès à la terre ou à l’eau existent, mais qu’elles restent limitées et peu institutionnalisées. Des analyses indiquent que certaines collectivités peuvent mobiliser des terres du domaine national pour soutenir des initiatives agricoles ou territoriales (Fofiri &amp; Temple, 2023), tandis que des travaux sur les systèmes alimentaires au Cameroun mettent en avant des leviers tels que la sécurisation de l’accès foncier, la mobilisation de terres sous-utilisées ou le renforcement de la concertation locale (FAO, UE &amp; CIRAD, 2022).
Dans la pratique, toutefois, les réponses observées relèvent surtout d’arrangements locaux ou d’adaptations individuelles (location, relocalisation, diversification des activités), notamment dans des contextes de pression foncière accrue liés à des projets industriels ou d’infrastructures. Des recherches menées dans la région de Kribi montrent ainsi que les compensations et mesures d’accompagnement ont parfois été perçues comme insuffisantes, conduisant à des recompositions des moyens d’existence plutôt qu’à des stratégies collectives structurées de restauration économique (Tchékoté et al., 2024). Par ailleurs, dans les zones d’intensification agricole, les ajustements liés à l’accès à l’eau reposent principalement sur des initiatives privées d’investissement dans l’irrigation ou le captage, ce qui peut renforcer les inégalités d’accès selon les capacités économiques des acteurs (Tchékoté et al., 2018).</t>
  </si>
  <si>
    <t>Le cadre juridique camerounais prévoit un dispositif formel d’indemnisation en cas d’expropriation pour cause d’utilité publique, notamment à travers la loi n° 85-09 du 4 juillet 1985 qui encadre la compensation des terrains, cultures et autres mises en valeur ainsi que les procédures de préavis (République du Cameroun, 1985). Toutefois, la littérature et les observations disponibles invitent à une appréciation prudente de son effectivité. Des analyses de gouvernance foncière soulignent que les modalités de calcul des compensations, les délais de paiement et la prise en compte des droits d’usage peuvent faire l’objet de contestations (IIED, 2021). Des travaux récents sur l’industrialisation dans la région de Kribi mettent également en évidence des situations de déplacement de communautés liées à de grands projets d’infrastructures, avec des compensations parfois perçues comme insuffisantes et conduisant à des stratégies individuelles de réorganisation des moyens d’existence (Tchékoté et al., 2024). Dans l’ensemble, si un système de compensation existe sur le plan légal, sa mise en œuvre apparaît variable selon les contextes et ne garantit pas toujours une perception d’équité ou de rapidité par les populations concernées.</t>
  </si>
  <si>
    <t>Au Cameroun, des mécanismes formels de recours existent en matière foncière, notamment à travers la possibilité de contester les indemnités liées à l’expropriation auprès de l’administration puis des juridictions compétentes (République du Cameroun, 1985). Dans la pratique, les conflits sont souvent traités de manière graduelle, en privilégiant d’abord des formes de médiation locale impliquant autorités traditionnelles ou administratives avant un éventuel recours aux tribunaux. Les analyses disponibles montrent par ailleurs que les litiges fonciers représentent une part importante du contentieux (environ 65 % des affaires civiles et 85 % des affaires administratives en 2016), traduisant à la fois l’existence de voies de recours et une conflictualité persistante (IIED, 2021). Concernant l’accès à l’eau, des tensions locales sont signalées dans certaines zones d’intensification agricole, généralement gérées par des arrangements communautaires plutôt que par des dispositifs institutionnels stabilisés (Tchékoté et al., 2018). Dans l’ensemble, les mécanismes de règlement existent mais leur accessibilité et leur efficacité demeurent variables selon les territoires et les groupes d’acteurs.</t>
  </si>
  <si>
    <t>Brun, D. (2019, October 17). Données sur l’égalité des sexes au Cameroun. Gender Standby Capacity Project (GenCap).
Fon Dorothy Engwali, Djoudji Serge Temkeng. Potentials for Cassava Processing in the Littoral Region of Cameroon. International Journal of Agricultural Economics. Vol. 2, No. 4, 2017, pp. 122-128. doi: 10.11648/j.ijae.20170204.14.
Njukwe, E., Onadipe, O., Amadou Thierno, D., Hanna, R., Kirscht, H., Maziya-Dixon, B., Araki, S., Mbairanodji, A., &amp; Ngue-Bissa, T. (2014). Cassava processing among small-holder farmers in Cameroon: Opportunities and challenges. International Journal of Agricultural Policy and Research, 2(4), 113–124.
Palacios-Lopez, A., Christiaensen, L., &amp; Kilic, T. (2017). How much of the labor in African agriculture is provided by women? Food Policy, 67, 52–63. https://doi.org/10.1016/j.foodpol.2016.09.017.
UN Women (2021). Genre et activités économiques (Cameroun) – extrait du Rapport National sur l’État de la Population, édition 2021 ; données : BUCREP, Enquête sur l’activité des Bayam-sellam (2021).</t>
  </si>
  <si>
    <t>Bello, A., Agbona, A., Olaosebikan, O., Edughaen, G., Dufour, D., Bouniol, A., Iluebbey, P., Ndjouenkeu, R., Rabbi, I., &amp; Teeken, B. (2024). Genetic and environmental effects on processing productivity and food product yield: Drudgery of women’s work. Journal of the Science of Food and Agriculture, 104(9), 4758–4769. DOI 10.1002/jsfa.13079.
Fon Dorothy Engwali, Djoudji Serge Temkeng. Potentials for Cassava Processing in the Littoral Region of Cameroon. International Journal of Agricultural Economics. Vol. 2, No. 4, 2017, pp. 122-128. doi: 10.11648/j.ijae.20170204.14.
Institut National de la Statistique (INS) (2024). Women and Men in Cameroon – Statistical Factsheet 2024.
Ndjouenkeu, R., Ngoualem Kegah, F., Teeken, B., Okoye, B., Madu, T., Olaosebikan, O. D., Chijioke, U., Bello, A., Osunbade, A. O., Owoade, D., Takam-Tchuente, N. H., Njeufa, E. B., Nguiadem Chomdom, I. L., Forsythe, L., Maziya-Dixon, B., &amp; Fliedel, G. (2020). From cassava to gari: Mapping of quality characteristics and end-user preferences in Cameroon and Nigeria. International Journal of Food Science and Technology. https://doi.org/10.1111/ijfs.14790.
Njukwe, E., Onadipe, O., Amadou Thierno, D., Hanna, R., Kirscht, H., Maziya-Dixon, B., Araki, S., Mbairanodji, A., &amp; Ngue-Bissa, T. (2014). Cassava processing among small-holder farmers in Cameroon: Opportunities and challenges. International Journal of Agricultural Policy and Research, 2(4), 113–124.
Palacios-Lopez, A., Christiaensen, L., &amp; Kilic, T. (2017). How much of the labor in African agriculture is provided by women? Food Policy, 67, 52–63. https://doi.org/10.1016/j.foodpol.2016.09.017.</t>
  </si>
  <si>
    <t>Les femmes impliquées dans la chaîne de valeur du manioc disposent principalement d’actifs productifs de faible valeur capitalistique, tels que des équipements artisanaux de transformation et des outils agricoles manuels, acquis progressivement à partir des revenus générés par leurs activités ou dans le cadre de dynamiques collectives locales (Njukwe et al., 2014 ; Dumas et al., 2005). L’accès aux équipements mécanisés, aux infrastructures de stockage ou aux moyens de transport motorisés demeure globalement limité dans l’agriculture vivrière camerounaise en raison du coût élevé des investissements et de dispositifs de financement peu adaptés (MINADER, 2011).
Ces contraintes peuvent être plus marquées pour les femmes, en lien avec des écarts d’accès aux services financiers formels (INS, 2024) et leur concentration dans des segments économiques à faible capitalisation. Dans certaines zones, comme dans la région du Littoral où les transformateurs sont majoritairement des femmes (82,9 %), le manque d’équipements adaptés et l’accès limité à la formation technique sont également identifiés comme des obstacles à l’amélioration de la productivité et de la rentabilité des activités (Fon &amp; Temkeng, 2017).</t>
  </si>
  <si>
    <t>Dumas, J. C., Dufour, D., Marouze, C., &amp; Brouat, J. (2005). Le manioc : une alternative à l’importation d’amidon au Cameroun. Recommandations d’actions pour le GAO du Nyong (Rapport). Montpellier, France.
Fon Dorothy Engwali, Djoudji Serge Temkeng. Potentials for Cassava Processing in the Littoral Region of Cameroon. International Journal of Agricultural Economics. Vol. 2, No. 4, 2017, pp. 122-128. doi: 10.11648/j.ijae.20170204.14.
Institut National de la Statistique (INS) (2024). Women and Men in Cameroon – Statistical Factsheet 2024.
Njukwe, E., Onadipe, O., Amadou Thierno, D., Hanna, R., Kirscht, H., Maziya-Dixon, B., Araki, S., Mbairanodji, A., &amp; Ngue-Bissa, T. (2014). Cassava processing among small-holder farmers in Cameroon: Opportunities and challenges. International Journal of Agricultural Policy and Research, 2(4), 113–124.
République du Cameroun, Ministère de l’Agriculture et du Développement Rural (MINADER). (2011). Stratégie de mécanisation agricole au Cameroun.</t>
  </si>
  <si>
    <t>Les femmes disposent généralement de niveaux de sécurisation foncière plus faibles que les hommes. Malgré un cadre juridique formellement non discriminatoire, l’accès à la terre reste largement structuré par les normes coutumières et les relations familiales, les droits féminins étant souvent indirects ou dépendants du statut marital (Fonjong, 2010). Les limites du cadastre et l’articulation incomplète entre droit écrit et systèmes coutumiers renforcent cette vulnérabilité (FAO-UE-CIRAD, 2022).
Les indicateurs confirment ces écarts : 1,6 % des femmes détiennent un titre foncier immobilier et 3 % possèdent des biens sans titre (Brun, 2019), tandis que 26 % des femmes disposent de droits sécurisés sur les terres agricoles contre 56,7 % des hommes (Nzossié et al., 2025). Dans la filière manioc, cette insécurité peut limiter les investissements productifs et le contrôle des revenus.</t>
  </si>
  <si>
    <t>Brun, D. (2019, October 17). Données sur l’égalité des sexes au Cameroun. Gender Standby Capacity Project (GenCap).
Food and Agriculture Organization of the United Nations, Union européenne et Cirad. 2022. Profil des systèmes alimentaires – Cameroun. Activer la transformation durable et inclusive de nos des systèmes alimentaires. Rome, Bruxelles et Montpellier, France. https://doi.org/10.4060/cb9864fr.
Fonjong, L. (2010). Customary law and its implications for women’s rights and access to land in Africa: The case of Cameroon. Conference presentation, University of Buea, Cameroon.
Nzossié, E. J. F., Vivero-Pol, J.-L., Fokou Vinpou, F., Janin, P., Epassy, M., &amp; Rousseau, A. (2025). State of food systems in Cameroon: Data analysis from the Countdown Initiative dashboard.</t>
  </si>
  <si>
    <t>L’accès des femmes aux services financiers formels reste inférieur à celui des hommes : 11,3 % des hommes y ont accès contre 7,8 % des femmes, et 19,6 % des hommes possèdent un compte bancaire contre 9,9 % des femmes (INS, 2024). Les femmes recourent davantage aux mécanismes informels (15,8 % contre 13,2 %), aux capacités d’investissement limitées, et seulement 16,8 % bénéficient d’un crédit (Brun, 2019).
Cette situation, liée à leur concentration dans des activités informelles à faible capitalisation (UN Women, 2021), tend à maintenir dans la filière manioc des activités de transformation artisanale à petite échelle et à limiter l’accès aux équipements mécanisés et aux marchés structurés.</t>
  </si>
  <si>
    <t>Brun, D. (2019, October 17). Données sur l’égalité des sexes au Cameroun. Gender Standby Capacity Project (GenCap).
Institut National de la Statistique (INS) (2024). Women and Men in Cameroon – Statistical Factsheet 2024.
UN Women (2021). Genre et activités économiques (Cameroun) – extrait du Rapport National sur l’État de la Population, édition 2021 ; données : BUCREP, Enquête sur l’activité des Bayam-sellam (2021).</t>
  </si>
  <si>
    <t>Les femmes ont accès aux services de soutien à la production (vulgarisation agricole, diffusion de variétés améliorées, appui technique), mais cet accès reste variable selon les territoires et l’appartenance à des organisations de producteurs ou de transformateurs, souvent nécessaires pour bénéficier des intrants et des formations. Les contraintes techniques et le manque de formation continuent de limiter la productivité et la qualité dans les unités artisanales de transformation (Njukwe et al., 2014), tandis que l’insuffisance d’appui technique et l’accès limité aux équipements collectifs freinent la modernisation des activités dans certains contextes (Fon &amp; Temkeng, 2017).
L’enclavement des zones de production, les contraintes de mobilité et la charge de travail domestique peuvent également réduire la participation effective des femmes aux dispositifs d’accompagnement. Dans l’ensemble, bien que fréquemment ciblées par les interventions agricoles, leur accès régulier et effectif aux services de soutien demeure hétérogène.</t>
  </si>
  <si>
    <t>Fon Dorothy Engwali, Djoudji Serge Temkeng. Potentials for Cassava Processing in the Littoral Region of Cameroon. International Journal of Agricultural Economics. Vol. 2, No. 4, 2017, pp. 122-128. doi: 10.11648/j.ijae.20170204.14.
Njukwe, E., Onadipe, O., Amadou Thierno, D., Hanna, R., Kirscht, H., Maziya-Dixon, B., Araki, S., Mbairanodji, A., &amp; Ngue-Bissa, T. (2014). Cassava processing among small-holder farmers in Cameroon: Opportunities and challenges. International Journal of Agricultural Policy and Research, 2(4), 113–124.</t>
  </si>
  <si>
    <t>World Food Programme (WFP). (2025). Post-distribution monitoring report: Cameroon (August 2025). In partnership with the Ministry of Agriculture and Rural Development (MINADER), Directorate for Agricultural Surveys and Statistics (DESA).</t>
  </si>
  <si>
    <t>Dans la chaîne de valeur du manioc, les femmes disposent d’une autonomie organisationnelle importante dans les activités de transformation et de commercialisation à petite échelle, reposant sur des savoir-faire techniques spécifiques liés à la qualité des produits et à l’adaptation aux préférences des consommateurs (Njukwe et al., 2014 ; Ndjouenkeu et al., 2020).
Cette autonomie demeure toutefois contrainte par la charge de travail domestique et productive : les femmes consacrent en moyenne 8,2 heures de plus par semaine que les hommes aux tâches domestiques non rémunérées, ce qui limite leur disponibilité pour le développement des activités économiques ou la participation aux formations (Brun, 2019). La forte pénibilité des opérations manuelles de transformation du manioc — majoritairement réalisées par des femmes — peut également restreindre leur marge de manœuvre organisationnelle et les gains de productivité (Bello et al., 2024 ; Njukwe et al., 2014).</t>
  </si>
  <si>
    <t>Bello, A., Agbona, A., Olaosebikan, O., Edughaen, G., Dufour, D., Bouniol, A., Iluebbey, P., Ndjouenkeu, R., Rabbi, I., &amp; Teeken, B. (2024). Genetic and environmental effects on processing productivity and food product yield: Drudgery of women’s work. Journal of the Science of Food and Agriculture, 104(9), 4758–4769. DOI 10.1002/jsfa.13079.
Njukwe, E., Onadipe, O., Amadou Thierno, D., Hanna, R., Kirscht, H., Maziya-Dixon, B., Araki, S., Mbairanodji, A., &amp; Ngue-Bissa, T. (2014). Cassava processing among small-holder farmers in Cameroon: Opportunities and challenges. International Journal of Agricultural Policy and Research, 2(4), 113–124.</t>
  </si>
  <si>
    <t>Les femmes génèrent des revenus autonomes dans la chaîne de valeur du manioc, principalement à travers la transformation artisanale et la vente de produits dérivés. Ces revenus contribuent à la résilience économique des ménages et à la couverture des dépenses quotidiennes. Cependant, la littérature souligne que l’utilisation et le contrôle des ressources par les femmes diminuent généralement avec la valeur économique ou sociale des actifs concernés (Palacios-Lopez et al., 2017 ; Brun, 2019). L’autonomie économique féminine apparaît ainsi plus marquée dans les segments traditionnels à faible capitalisation.</t>
  </si>
  <si>
    <t>Brun, D. (2019, October 17). Données sur l’égalité des sexes au Cameroun. Gender Standby Capacity Project (GenCap).
Palacios-Lopez, A., Christiaensen, L., &amp; Kilic, T. (2017). How much of the labor in African agriculture is provided by women? Food Policy, 67, 52–63. https://doi.org/10.1016/j.foodpol.2016.09.017.</t>
  </si>
  <si>
    <t>Brun, D. (2019, October 17). Données sur l’égalité des sexes au Cameroun. Gender Standby Capacity Project (GenCap).
Fonjong, L. (2010). Customary law and its implications for women’s rights and access to land in Africa: The case of Cameroon. Conference presentation, University of Buea, Cameroon.
Food and Agriculture Organization of the United Nations, Union européenne et Cirad. 2022. Profil des systèmes alimentaires – Cameroun. Activer la transformation durable et inclusive de nos des systèmes alimentaires. Rome, Bruxelles et Montpellier, France. https://doi.org/10.4060/cb9864fr.
Institut National de la Statistique (INS) (2024). Women and Men in Cameroon – Statistical Factsheet 2024.
République du Cameroun, Ministère de l’Agriculture et du Développement Rural (MINADER). (2011). Stratégie de mécanisation agricole au Cameroun.</t>
  </si>
  <si>
    <t>Les femmes participent activement aux organisations locales de producteurs et aux associations de transformation du manioc. Cette forte participation constitue un levier potentiel d’accès aux services, à l’information et aux marchés.</t>
  </si>
  <si>
    <t>Le pouvoir d’influence des femmes sur les services agricoles, la gouvernance territoriale et les processus décisionnels demeure globalement limité, bien que variable selon les contextes. À l’échelle nationale, les femmes représentaient 27,1 % des parlementaires en 2017, traduisant une participation politique réelle mais encore éloignée de la parité (Brun, 2019). Dans la chaîne de valeur du manioc, leur influence s’exerce plus fréquemment à travers des fonctions de leadership au sein d’organisations de producteurs ou de transformateurs, facilitant l’accès à certains services ou appuis sectoriels.
Cependant, cette capacité d’influence reste socialement différenciée et dépend souvent du capital économique, éducatif ou relationnel des actrices concernées. Dans l’ensemble, les femmes disposent d’espaces d’influence au niveau local et sectoriel, mais leur capacité à peser sur les décisions structurantes liées aux politiques agricoles ou aux investissements territoriaux demeure inégale.</t>
  </si>
  <si>
    <t>Brun, D. (2019, October 17). Données sur l’égalité des sexes au Cameroun. Gender Standby Capacity Project (GenCap).</t>
  </si>
  <si>
    <t>Brun, D. (2019, October 17). Données sur l’égalité des sexes au Cameroun. Gender Standby Capacity Project (GenCap).
Njukwe, E., Onadipe, O., Amadou Thierno, D., Hanna, R., Kirscht, H., Maziya-Dixon, B., Araki, S., Mbairanodji, A., &amp; Ngue-Bissa, T. (2014). Cassava processing among small-holder farmers in Cameroon: Opportunities and challenges. International Journal of Agricultural Policy and Research, 2(4), 113–124.
UN Women (2021). Genre et activités économiques (Cameroun) – extrait du Rapport National sur l’État de la Population, édition 2021 ; données : BUCREP, Enquête sur l’activité des Bayam-sellam (2021).</t>
  </si>
  <si>
    <t>Cassava</t>
  </si>
  <si>
    <t>Cameroon</t>
  </si>
  <si>
    <t>Les femmes exercent généralement un contrôle total sur les revenus issus des activités de transformation et de commercialisation, souvent mobilisés pour les dépenses courantes du ménage. Ce contrôle peut diminuer lorsque les activités deviennent plus capitalisées ou formalisées, notamment lorsque les revenus transitent par des dispositifs financiers ou contractuels plus structurés.</t>
  </si>
  <si>
    <t>Les femmes participent aux réunions communautaires, aux assemblées de coopératives et aux instances locales liées aux activités agricoles et de transformation du manioc, où elles représentent souvent une part importante des membres. Cette participation se traduit généralement par une prise de parole active ou une influence équivalente dans les processus décisionnels. L’expression publique peut toutefois être conditionnée par les normes sociales de genre, le niveau d’éducation, l’expérience organisationnelle ou la charge de travail domestique et productive. Les femmes occupant des fonctions de leadership disposent généralement d’une capacité de représentation plus élevée, mais celle-ci reste socialement différenciée.</t>
  </si>
  <si>
    <t>Bureau Central des Recensements et des Études de Population (BUCREP). (2024, octobre).
Estimation de la population du Cameroun en 2023. République du Cameroun.
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Food and Agriculture Organization of the United Nations (FAO). (2025). GIEWS country brief: Cameroon. Global Information and Early Warning System (GIEWS). https://www.fao.org/giews/countrybrief/country.jsp?code=CMR. 
International Federation of Red Cross and Red Crescent Societies. (2025, December 10). Cameroon: Food insecurity assessment and response (DREF Operation, Appeal No. MDRCM042). IFRC.</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</si>
  <si>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Food and Agriculture Organization of the United Nations (FAO). (2025). GIEWS country brief: Cameroon. Global Information and Early Warning System (GIEWS). https://www.fao.org/giews/countrybrief/country.jsp?code=CMR. 
Njukwe, E., Onadipe, O., Amadou Thierno, D., Hanna, R., Kirscht, H., Maziya-Dixon, B., Araki, S., Mbairanodji, A., &amp; Ngue-Bissa, T. (2014). Cassava processing among small-holder farmers in Cameroon: Opportunities and challenges. International Journal of Agricultural Policy and Research, 2(4), 113–124.</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</si>
  <si>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Food and Agriculture Organization of the United Nations (FAO). (2024). DIEM-Monitoring brief: Cameroon – Results of the October 2024 round. FAO.
Nzossié, E. J. F., Vivero-Pol, J.-L., Fokou Vinpou, F., Janin, P., Epassy, M., &amp; Rousseau, A. (2025). State of food systems in Cameroon: Data analysis from the Countdown initiative dashboard. Food and Agriculture Organization of the United Nations (FAO).
World Bank. (2025). Rapport sur la situation économique du Cameroun 2025 : Valoriser les forêts et le capital naturel – L’or vert du Cameroun (4e éd.). World Bank.
World Food Programme (WFP). (2021, avril). Enquête nationale sur la sécurité alimentaire et nutritionnelle au Cameroun : Données de septembre 2020. WFP.</t>
  </si>
  <si>
    <t xml:space="preserve">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Food and Agriculture Organization of the United Nations (FAO). (2025). GIEWS country brief: Cameroon. Global Information and Early Warning System (GIEWS). https://www.fao.org/giews/countrybrief/country.jsp?code=CMR. </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</si>
  <si>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Integrated Food Security Phase Classification (IPC). (2024). Analyse IPC de la malnutrition aiguë : Cameroun, novembre 2023 – octobre 2024. IPC Global Support Unit.</t>
  </si>
  <si>
    <t>Integrated Food Security Phase Classification (IPC). (2024). Analyse IPC de la malnutrition aiguë: Cameroun, novembre 2023 – octobre 2024. IPC Global Support Unit.
Ministère de la Promotion de la Femme et de la Famille (MINPROFF). (2024). Évaluation de la mise en œuvre de la Déclaration et du Programme d’action de Beijing (2019–2024). République du Cameroun, avec l’appui du système des Nations Unies.
World Food Programme (WFP). (2021, avril). Enquête nationale sur la sécurité alimentaire et nutritionnelle au Cameroun : Données de septembre 2020. WFP.
World Food Programme (WFP). (2025, August). Post-distribution monitoring report: Cameroon. WFP.</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</si>
  <si>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Nzossié, E. J. F., Vivero-Pol, J.-L., Fokou Vinpou, F., Janin, P., Epassy, M., &amp; Rousseau, A. (2025). State of food systems in Cameroon: Data analysis from the Countdown initiative dashboard. Food and Agriculture Organization of the United Nations (FAO).
World Food Programme (WFP). (2021, avril). Enquête nationale sur la sécurité alimentaire et nutritionnelle au Cameroun : Données de septembre 2020. WFP.</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</si>
  <si>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Food and Agriculture Organization of the United Nations (FAO). (2025). GIEWS country brief: Cameroon. Global Information and Early Warning System (GIEWS). https://www.fao.org/giews/countrybrief/country.jsp?code=CMR. 
Integrated Food Security Phase Classification (IPC). (2024). Analyse IPC de la malnutrition aiguë: Cameroun, novembre 2023 – octobre 2024. IPC Global Support Unit.
International Federation of Red Cross and Red Crescent Societies. (2025, December 10). Cameroon: Food insecurity assessment and response (DREF Operation, Appeal No. MDRCM042). IFRC.</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</si>
  <si>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Duval, M.-F., Dufour, D., &amp; Mabiranodji, A. (2013). Amélioration de la productivité du manioc et diffusion des semences améliorées : Mission d’expertise scientifique du 22 au 28 mai 2013 (Projet IRAD n°2). Programme d’Appui à la Recherche, Contrat de Désendettement et de Développement (C2D). CIRAD, Direction régionale en Afrique Centrale.
République du Cameroun. (1992). Loi n°92/006 du 14 août 1992 relative aux sociétés coopératives et aux groupes d’initiative commune (GIC). Journal Officiel de la République du Cameroun.</t>
  </si>
  <si>
    <t>Njukwe, E., Onadipe, O., Amadou Thierno, D., Hanna, R., Kirscht, H., Maziya-Dixon, B., Araki, S., Mbairanodji, A., &amp; Ngue-Bissa, T. (2014). Cassava processing among small-holder farmers in Cameroon: Opportunities and challenges. International Journal of Agricultural Policy and Research, 2(4), 113–124.</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</si>
  <si>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Duval, M.-F., Dufour, D., &amp; Mabiranodji, A. (2013). Amélioration de la productivité du manioc et diffusion des semences améliorées : Mission d’expertise scientifique du 22 au 28 mai 2013 (Projet IRAD n°2). Programme d’Appui à la Recherche, Contrat de Désendettement et de Développement (C2D). CIRAD, Direction régionale en Afrique Centrale.</t>
  </si>
  <si>
    <t>Duval, M.-F., Dufour, D., &amp; Mabiranodji, A. (2013). Amélioration de la productivité du manioc et diffusion des semences améliorées : Mission d’expertise scientifique du 22 au 28 mai 2013 (Projet IRAD n°2). Programme d’Appui à la Recherche, Contrat de Désendettement et de Développement (C2D). CIRAD, Direction régionale en Afrique Centrale.
Ministère de l’Économie, de la Planification et de l’Aménagement du Territoire (MINEPAT). (2024). Structuration et financement de la filière des farines locales : Rapport final (Termes de référence n°090/2023). Dispositif d’Appui à la Compétitivité du Cameroun (DACC). Coopération Cameroun – Union européenne.</t>
  </si>
  <si>
    <t>Ondoa Manga, T. (2025, août). Évaluation des besoins des parties prenantes à la transformation des systèmes alimentaires au Cameroun. République du Cameroun. (Financé par l’Union européenne).
République du Cameroun. (2011, juin). Stratégie de mécanisation agricole au Cameroun : Document principal.</t>
  </si>
  <si>
    <t>Duval, M.-F., Dufour, D., &amp; Mabiranodji, A. (2013). Amélioration de la productivité du manioc et diffusion des semences améliorées : Mission d’expertise scientifique du 22 au 28 mai 2013 (Projet IRAD n°2). Programme d’Appui à la Recherche, Contrat de Désendettement et de Développement (C2D). CIRAD, Direction régionale en Afrique Centrale.
Njukwe, E., Onadipe, O., Amadou Thierno, D., Hanna, R., Kirscht, H., Maziya-Dixon, B., Araki, S., Mbairanodji, A., &amp; Ngue-Bissa, T. (2014). Cassava processing among small-holder farmers in Cameroon: Opportunities and challenges. International Journal of Agricultural Policy and Research, 2(4), 113–124.</t>
  </si>
  <si>
    <t>Duval, M.-F., Dufour, D., &amp; Mabiranodji, A. (2013). Amélioration de la productivité du manioc et diffusion des semences améliorées : Mission d’expertise scientifique du 22 au 28 mai 2013 (Projet IRAD n°2). Programme d’Appui à la Recherche, Contrat de Désendettement et de Développement (C2D). CIRAD, Direction régionale en Afrique Centrale.
Food and Agriculture Organization of the United Nations (FAO), Union européenne et Cirad. 2022. Profil des systèmes alimentaires – Cameroun. Activer la transformation durable et inclusive de nos des systèmes alimentaires. Rome, Bruxelles et Montpellier, France. https://doi.org/10.4060/cb9864fr.</t>
  </si>
  <si>
    <t>Ministère de l’Économie, de la Planification et de l’Aménagement du Territoire (MINEPAT). (2024). Structuration et financement de la filière des farines locales : Rapport final (Termes de référence n°090/2023). Dispositif d’Appui à la Compétitivité du Cameroun (DACC). Coopération Cameroun – Union européenne.</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</si>
  <si>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
Institut National de la Statistique (INS) &amp; ICF. (2019). Enquête Démographique et de Santé du Cameroun 2018 (EDS-MICS 2018). Yaoundé, Cameroun et Rockville, MD: INS &amp; ICF.</t>
  </si>
  <si>
    <t>Ministère de la Santé Publique (MINSANTE). (2021). Résultats préliminaires – Enquête nutritionnelle SMART-SENS 2021 : Régions de l’Adamaoua, Est, Extrême-Nord et Nord. Yaoundé, Cameroun.</t>
  </si>
  <si>
    <t>Nzossié, E. J. F., Vivero-Pol, J.-L., Fokou Vinpou, F., Janin, P., Epassy, M., &amp; Rousseau, A. (2025). State of food systems in Cameroon: Data analysis from the Countdown initiative dashboard. Food and Agriculture Organization of the United Nations (FAO).</t>
  </si>
  <si>
    <t>Tchékoté, H. (s.d.). La ville dans les campagnes de l’Ouest Cameroun : Une déconstruction du paysage agricole par l’effet de résidentialité. Les Cahiers du développement urbain durable, (133). Université de Lausanne.</t>
  </si>
  <si>
    <t>Food and Agriculture Organization of the United Nations (FAO), Union Européenne (UE) et Cirad. 2022. Profil des systèmes alimentaires – Cameroun. Activer la transformation durable et inclusive de nos des systèmes alimentaires. Rome, Bruxelles et Montpellier, France. https://doi.org/10.4060/cb9864fr.</t>
  </si>
  <si>
    <t>UNICEF Cameroun. (2025a). Situation des enfants au Cameroun (Juin 2025). Yaoundé : UNICEF.
UNICEF. (2025b). Cameroon Humanitarian Situation Report No. 3: Reporting period 1 July to 30 September 2025. November 2025. Available at : https://www.unicef.org/appeals/cameroon/situation-reports.</t>
  </si>
  <si>
    <t>African Union. (s.d.). Compact Cameroun pour l’alimentation et l’agriculture. African Union.
Ministère de l’Agriculture et du Développement Rural (MINADER). (2019). MINADER en chiffres (Décembre 2019). 
Nzossié, E. J. F., Vivero-Pol, J.-L., Fokou Vinpou, F., Janin, P., Epassy, M., &amp; Rousseau, A. (2025). State of food systems in Cameroon: Data analysis from the Countdown initiative dashboard. Food and Agriculture Organization of the United Nations (FAO).</t>
  </si>
  <si>
    <t>Le Cameroun dispose d’un cadre juridique formellement aligné sur les normes internationales du travail et a ratifié la majorité des conventions fondamentales de l’Organisation Internationale du Travail (OIT, s. d.). Toutefois, dans la chaîne de valeur du manioc, l’effectivité de ces normes reste limitée. La littérature souligne que la filière est dominée par des exploitations familiales et des unités artisanales opérant largement dans l’économie informelle, ce qui réduit l’application concrète du droit du travail (MINEPAT, 2024 ; Ngoualem Kegah et al., 2019). Les observations de terrain vont dans ce sens : l’emploi apparaît principalement organisé sous forme de travail journalier ou à la tâche, souvent basé sur des arrangements oraux et sans couverture sociale. Quelques acteurs plus structurés, notamment les services publics et certaines coopératives ou PME agroalimentaires, semblent présenter un niveau de formalisation plus élevé, mais ils restent minoritaires. Une étude de l´OIT menée dans les régions de l’Est et de l’Adamaoua confirme que les emplois agricoles saisonniers dans la filière manioc sont généralement sans contrat de travail, sans sécurité sociale et sans équipements de protection individuelle (OIT, 2025). Dans l’ensemble, le respect des normes fondamentales du travail apparaît donc partiel et très inégal selon les acteurs et les segments de la chaîne.</t>
  </si>
  <si>
    <t>La liberté d’association est juridiquement garantie au Cameroun par la Constitution et la loi relative à la liberté d’association (République du Cameroun, 1990 ; OIT, s. d.). Dans la filière manioc, elle se traduit par une forte présence de coopératives, GIC et organisations paysannes facilitant l’accès aux marchés, aux intrants et aux financements (MINEPAT, 2024 ; OIT, 2025). Toutefois, ces structures remplissent principalement des fonctions d’organisation économique et de coordination sectorielle. Leur fonctionnement interne reste variable selon les cas : le leadership peut parfois être fortement concentré et la participation effective des membres inégale, ce qui peut limiter le développement de formes plus structurées de représentation collective des travailleurs.</t>
  </si>
  <si>
    <t>Les sources disponibles ne mettent pas en évidence de formes systématiques de travail forcé dans la chaîne de valeur du manioc. La filière repose principalement sur la petite production familiale, l’auto-emploi et le travail occasionnel, ce qui correspond à des formes d’organisation du travail courantes dans l’agriculture vivrière (MINEPAT, 2024). Toutefois, le contexte d’informalité généralisée peut créer des situations de vulnérabilité économique. Une étude de l´OIT (2025) montre notamment que, dans l’Est (également confirmé par les observations de terrain) et l’Adamaoua, les travailleurs saisonniers de la filière manioc sont généralement employés sans contrat de travail ni sécurité sociale, tandis que les réfugiés disposent d’un accès limité à la terre. Dans ce contexte, le risque principal apparaît moins lié à une coercition directe qu’à l’acceptation de conditions de travail défavorables faute d’alternatives économiques réelles.</t>
  </si>
  <si>
    <t>La chaîne de valeur du manioc au Cameroun présente une participation sociale large, avec une forte présence des femmes et un accès relativement ouvert pour les jeunes et certaines populations déplacées. La littérature souligne notamment la forte féminisation de la filière, en particulier dans la transformation et la commercialisation, où les femmes peuvent représenter jusqu’à 90 % des acteurs (Emmanuel, 2013 ; Ngoualem Kegah et al., 2019). Les observations et les données disponibles indiquent par ailleurs peu de discrimination salariale directe pour les travaux journaliers, avec une rémunération d’environ 2 500 FCFA pour huit heures de travail pour les hommes comme pour les femmes dans l’Est et l’Adamaoua (OIT, 2025). Les femmes, les jeunes et les populations déplacées restent souvent concentrés dans les segments les plus précaires ou informels de la filière (OIT, 2025). Dans l’ensemble, la filière apparaît inclusive en termes de participation mais segmentée dans l’accès aux ressources et aux opportunités économiques.</t>
  </si>
  <si>
    <t>Forte informalité de la filière (auto-emploi, travail familial), rendant difficile la vérification du respect des normes du travail.
Absence fréquente de contrats formels, de protection sociale et d’équipements de protection.
Revenus irréguliers liés à la saisonnalité et à l’emploi journalier.
Vulnérabilité accrue de certains groupes (notamment réfugiés ou déplacés internes).</t>
  </si>
  <si>
    <t>Renforcement des organisations de producteurs et transformateurs et diffusion d’informations sur les droits du travail.
Intégration de composantes travail décent dans les projets de développement de la filière.
Promotion d’arrangements contractuels simplifiés dans les unités plus structurées.</t>
  </si>
  <si>
    <t>Des formes d’emploi plus formalisées existent dans certaines unités semi-industrielles, mais elles restent minoritaires.
Les barèmes de rémunération sont souvent régulés par les normes locales du marché, sans garantir une protection sociale effective.</t>
  </si>
  <si>
    <t>Ministère de l’Économie, de la Planification et de l’Aménagement du Territoire (MINEPAT, 2024). Structuration et financement de la filière des farines locales : Rapport final. Dispositif d’appui à la compétitivité du Cameroun (DACC), Termes de référence n° 090/2023. Yaoundé : Gouvernement du Cameroun / Union européenne. 
Franklin Ngoualem Kegah, Hubert Noel Takam Tchuente, Robert Ndjouenkeu, Ulrich Kleih, Geneviève Fliedel, Lora Forsythe (2019). State of Knowledge on Gari in Cameroon. Food Science &amp; Market. Ngaoundere, Cameroon. RTBfoods State of Knowledge Report, 89 p. https://doi.org/10.18167/agritrop/00699.
Organisation internationale du Travail. (2025). Conception et mise en œuvre d’interventions axées sur le marché pour le développement des chaînes de valeur manioc et maïs : Appui aux communautés d’accueil et aux réfugiés vivant dans les régions de l’Est et de l’Adamaoua au Cameroun. Bureau international du Travail.</t>
  </si>
  <si>
    <t>Les informations disponibles ne suggèrent pas un recours généralisé au travail des enfants dans la filière manioc des régions étudiées ; les situations observées relèvent plutôt d’aide familiale ponctuelle dans les activités agricoles. Les données du RGPH (2005) indiquaient que 6,8 % des enfants de 6 à 14 ans exerçaient une activité économique au niveau national, avec des niveaux plus faibles dans les régions méridionales couvertes par l’étude (0,5–1,3 %) mais plus élevés dans l’Est (4,7 %) (République du Cameroun, BUCREP, 2005). Ces chiffres restent anciens et doivent être interprétés avec prudence. Des données plus récentes montrent une scolarisation primaire élevée au niveau national (90,1 %), bien que des disparités territoriales persistent, notamment dans les régions rurales comme l’Est (UNICEF Cameroun, 2025a). Dans ce contexte, la participation des enfants aux activités agricoles semble davantage liée aux contraintes rurales d’accès et de continuité scolaires qu’à un système structuré de travail des enfants.</t>
  </si>
  <si>
    <t>Les risques liés à la santé et à la sécurité au travail sont présents tout au long de la chaîne de valeur du manioc. Les activités de production impliquent des tâches physiquement exigeantes (arrachement des racines, transport manuel, usage d’outils tranchants), tandis que la transformation artisanale expose à des risques mécaniques et sanitaires, souvent liés à l’utilisation d’équipements rudimentaires ou insuffisamment sécurisés (Ngoualem Kegah et al., 2019 ; observations de terrain). Dans les régions de l’Est et de l’Adamaoua, les emplois agricoles saisonniers sont par ailleurs fréquemment exercés sans équipements de protection individuelle ni protection sociale (OIT, 2025). Si certaines unités semi-industrielles ou structures publiques disposent de dispositifs de prévention plus formalisés, ces situations restent minoritaires. Dans l’ensemble, le niveau de protection contre les accidents et les atteintes à la santé demeure limité dans la majorité des maillons de la filière, en particulier dans les segments artisanaux et informels.</t>
  </si>
  <si>
    <t>Dans la filière manioc, les rémunérations sont généralement alignées sur les usages du marché du travail rural informel, malgré l’existence d’un SMIG fixé à 60000 FCFA/mois, avec un minimum d’environ 45000 FCFA/mois pour l’agriculture (décrets 2023–2024). En pratique, les activités sont surtout rémunérées à la journée ou à la tâche, avec des barèmes relativement stabilisés : environ 2500 FCFA/jour pour un ouvrier agricole, 30 FCFA/kg pour l’épluchage ou 40000 FCFA/ha pour certaines opérations agricoles. La saisonnalité des activités, l’irrégularité des emplois et l’absence fréquente de contrats ou de protection sociale rendent toutefois la comparaison avec un salaire mensuel difficile et limitent la stabilité des revenus (OIT, 2025).
L’attractivité économique varie selon les maillons de la chaîne. Les activités de production manuelle, physiquement exigeantes, attirent relativement peu les jeunes, qui se tournent parfois vers des activités à revenus plus rapides comme le mototaxi ou certaines activités minières artisanales dans l’Est. Les activités de transformation et de commercialisation, fortement féminisées, peuvent générer davantage de valeur ajoutée mais restent largement organisées autour d’unités artisanales aux revenus variables (Ngoualem Kegah et al., 2019 ; Duval et al., 2013). Les réfugiés et déplacés internes, notamment dans l’Est et l’Adamaoua, participent souvent comme main-d’œuvre saisonnière dans des conditions plus précaires et avec un accès limité aux ressources productives (OIT, 2025).</t>
  </si>
  <si>
    <t>L’attractivité de la filière manioc pour les jeunes apparaît globalement limitée dans les segments traditionnels, en raison de la pénibilité du travail et de revenus souvent irréguliers. Dans un contexte où 64,2 % de la population a moins de 25 ans et où la pauvreté est nettement plus élevée en milieu rural (56,8 % contre 8,9 % en milieu urbain) (OIT, 2018), les jeunes tendent à privilégier des activités offrant des revenus plus rapides et moins contraignants. Toutefois, cette tendance n’est pas uniforme : les observations de terrain, notamment dans la région de l’Est, indiquent l’existence d’un intérêt réel de certains jeunes pour la filière, que ce soit à travers des initiatives entrepreneuriales sur de plus grandes superficies ou dans le cadre de stratégies de pluriactivité combinant agriculture et activités non agricoles. L’attractivité de la filière pourrait ainsi être renforcée par la mécanisation et le développement de segments plus techniques et rémunérateurs, notamment dans la transformation et l’entrepreneuriat (OIT, 2025).</t>
  </si>
  <si>
    <t>Participation des enfants aux travaux agricoles familiaux, avec exposition possible à des tâches pénibles ou dangereuses.
Risques plus élevés dans certaines zones rurales enclavées.</t>
  </si>
  <si>
    <t>Poursuite des efforts d’amélioration de la scolarisation et de sensibilisation communautaire.
Diffusion de technologies réduisant la pénibilité et les besoins en main-d’œuvre.</t>
  </si>
  <si>
    <t>La contribution des enfants relève souvent d’une aide familiale saisonnière, dans le cadre d´un processus de sociabilisation.</t>
  </si>
  <si>
    <t>Exposition aux risques physiques (outils tranchants, bruit excessif, manutention répétée, machines sans protection).
Faible utilisation d’équipements de protection et absence de dispositifs formels de prévention.</t>
  </si>
  <si>
    <t>Promotion de technologies de transformation améliorées et mécanisées.
Intégration de modules hygiène et sécurité dans les formations techniques.
Investissements collectifs dans des unités de transformation mieux équipées.</t>
  </si>
  <si>
    <t>Les risques chroniques liés à la pénibilité peuvent affecter la productivité et la durabilité de la filière.
Les femmes sont particulièrement exposées dans les activités artisanales de transformation.</t>
  </si>
  <si>
    <t>Faible attractivité pour les jeunes en raison de la pénibilité du travail et de l’irrégularité des revenus.
Accès limité des femmes et des jeunes aux segments les plus rentables.
Concurrence d’activités alternatives à revenus rapides.</t>
  </si>
  <si>
    <t>Développement de l’entrepreneuriat agricole et de la transformation à valeur ajoutée.
Amélioration de l’accès aux équipements, au financement et au foncier.
Structuration accrue des chaînes de valeur et intégration aux marchés.</t>
  </si>
  <si>
    <t>La modernisation de la filière pourrait améliorer son attractivité si elle s’accompagne de mécanismes inclusifs.
Les dynamiques migratoires des jeunes restent un facteur déterminant.</t>
  </si>
  <si>
    <t xml:space="preserve">Les Directives volontaires sur la gouvernance responsable des régimes fonciers (VGGT) constituent une référence internationale pour promouvoir la transparence, la participation et la protection des droits fonciers légitimes (FAO, 2012). Au Cameroun, ces principes sont particulièrement pertinents dans un contexte marqué par une articulation incomplète entre droit formel et pratiques coutumières, l’absence d’un cadastre pleinement opérationnel et des inégalités persistantes d’accès à la terre pour certains groupes (FAO, UE &amp; CIRAD, 2022). Dans la chaîne de valeur du manioc, les acteurs rencontrés ne se réfèrent généralement pas explicitement aux VGGT; l’accès au foncier repose surtout sur des arrangements locaux impliquant familles, chefferies et autorités coutumières. Toutefois, certains principes des VGGT (notamment la négociation avec les communautés et la recherche de consensus local) se retrouvent de manière informelle ; les analyses récentes soulignent néanmoins la nécessité de renforcer la transparence et la participation des communautés dans la gouvernance foncière, en particulier face aux dynamiques d’acquisitions foncières à grande échelle (FAO, UE &amp; CIRAD, 2022 ; IIED, 2021). </t>
  </si>
  <si>
    <t xml:space="preserve">Dans la chaîne de valeur du manioc, le consentement libre, préalable et éclairé (FPIC) ne semble pas appliqué de manière formalisée et systématique. Les décisions foncières reposent le plus souvent sur des consultations coutumières ou communautaires dont le niveau d’inclusivité et de documentation varie selon les contextes (FAO, 2012 ; OCDE &amp; FAO, 2016 ; IIED, 2021). Si le référentiel FPIC apparaît mieux structuré dans certains dispositifs liés à la conservation et aux droits des peuples autochtones, son application aux projets agricoles demeure partielle. Dans l’ensemble, l’effectivité du consentement préalable reste donc variable selon les territoires et les configurations d’acteurs. </t>
  </si>
  <si>
    <t>Gouvernance foncière caractérisée par une articulation incomplète entre droit écrit et pratiques coutumières, pouvant générer insécurité foncière et inégalités d’accès.
Risque de consultations insuffisantes et de manque de transparence dans les projets nécessitant de grandes superficies.</t>
  </si>
  <si>
    <t>Réformes foncières en discussion visant à améliorer l’inclusivité et la transparence de la gouvernance foncière.
Initiatives multi-acteurs (ex. plateformes de dialogue foncier) contribuant à la diffusion des principes de gouvernance responsable.</t>
  </si>
  <si>
    <t>Certains principes des VGGT sont appliqués de manière implicite via les négociations communautaires, sans référence explicite au cadre international.
Les investissements fonciers à très grande échelle restent relativement limités dans la filière manioc.</t>
  </si>
  <si>
    <t>Diffusion inégale de l’information foncière, souvent informelle et relationnelle.
Participation différenciée selon les groupes : femmes, jeunes, migrants et communautés autochtones disposent d’un accès plus indirect aux décisions foncières.
Faible formalisation du consentement préalable (FPIC) dans les projets agricoles.
Pression croissante sur l’accès à l’eau dans certaines zones d’intensification agricole, pouvant générer tensions locales.</t>
  </si>
  <si>
    <t>Dispositifs de concertation locale impliquant autorités traditionnelles et collectivités territoriales.
Initiatives de registre de cartographie foncière et de renforcement de la transparence.
Expériences sectorielles (notamment en conservation) introduisant des pratiques de consultation plus structurées.</t>
  </si>
  <si>
    <t>Les décisions foncières continuent de se prendre majoritairement dans des espaces sociaux locaux, ce qui peut favoriser certains réseaux d’acteurs.
L’accès à l’eau reste généralement communautaire et peu formalisé, avec des règles variables selon les territoires.</t>
  </si>
  <si>
    <t>Sécurisation foncière partielle et inégalement répartie, notamment pour les petits producteurs et les groupes vulnérables.
Transactions foncières souvent informelles et difficultés d’accès pour les non-autochtones.
Dispositifs de compensation en cas d’expropriation existants mais perçus comme parfois insuffisants ou tardifs.
Stratégies alternatives aux pertes d’accès aux terres ou à l’eau généralement peu structurées et reposant sur des adaptations individuelles.
Conflits fonciers fréquents, révélant des tensions persistantes autour de la gestion des ressources.</t>
  </si>
  <si>
    <t>Médiations locales par autorités traditionnelles ou administratives permettant une résolution progressive des conflits.
Initiatives territoriales mobilisant des terres publiques ou sous-utilisées pour soutenir l’investissement agricole.</t>
  </si>
  <si>
    <t>L’efficacité des mécanismes de compensation et de recours varie fortement selon les contextes territoriaux.
Les tensions liées à l’eau apparaissent surtout dans les zones d’intensification agricole ou de concurrence entre usages.</t>
  </si>
  <si>
    <t>La chaîne de valeur du manioc au Cameroun se caractérise par une forte participation féminine, notamment dans la production, la transformation artisanale et la commercialisation de proximité. Les femmes représentent environ 68,75 % des acteurs de la transformation et du commerce du manioc, avec des cas de féminisation totale pour certaines activités, et jusqu’à 82,86 % des transformateurs dans la région du Littoral (Njukwe et al., 2014 ; Fon &amp; Djoudji, 2017). Cette présence s’inscrit dans un contexte où les femmes constituent 71,6 % de la main-d’œuvre du secteur informel agricole (Brun, 2019).
Toutefois, leur participation demeure associée principalement aux segments traditionnels à faible capitalisation, tandis que les fonctions nécessitant davantage de capital, d’organisation logistique ou d’intégration commerciale sont plus souvent dominées par des hommes. Les risques d’exclusion apparaissent ainsi davantage liés aux processus de formalisation et de montée en rentabilité des activités qu’à l’accès initial à la filière (Palacios-Lopez et al., 2017 ; UN Women, 2021).</t>
  </si>
  <si>
    <t>Les femmes sont particulièrement actives dans les activités de production, de transformation et de commercialisation du manioc, où elles mobilisent un savoir-faire spécifique et tirent une part importante de leurs revenus (Njukwe et al., 2014 ; Ndjouenkeu et al., 2020). Toutefois, leur accès aux activités les plus rentables ou formalisées demeure plus contraint, notamment en raison d’inégalités d’accès aux ressources financières et aux outils numériques : 19,6 % des hommes adultes possèdent un compte bancaire contre 9,9 % des femmes, et 76,9 % des hommes disposent d’un téléphone portable contre 63,6 % des femmes (INS, 2024). La forte pénibilité du travail manuel dans la transformation peut également limiter les gains de productivité et la montée en gamme économique (Bello et al., 2024).
Dans ce contexte, certaines activités tendent à se masculiniser lorsqu’elles deviennent plus capitalisées ou mieux intégrées aux circuits commerciaux formels, les hommes étant généralement plus susceptibles d’investir les segments agricoles à plus forte rentabilité (Palacios-Lopez et al., 2017).</t>
  </si>
  <si>
    <t>Les femmes disposent d’un pouvoir décisionnel effectif dans les activités quotidiennes de production et de transformation du manioc, notamment dans les unités artisanales ou familiales. Toutefois, leur influence apparaît plus limitée dans les décisions stratégiques liées aux investissements productifs, à l’accès aux marchés ou à l’allocation des actifs. Des données du Programme alimentaire mondial indiquent que 25 % des femmes prennent seules les décisions concernant l’utilisation des ressources reçues, tandis que 64 % déclarent une prise de décision conjointe, reflétant une autonomie décisionnelle souvent partielle et négociée au sein des ménages (WFP, 2024).</t>
  </si>
  <si>
    <t>La participation des femmes aux décisions relatives à l’acquisition, à la cession ou au transfert d’actifs productifs demeure généralement limitée. Les droits fonciers féminins reposent souvent sur des arrangements coutumiers ou familiaux, parfois conditionnels ou temporaires, ce qui réduit leur capacité à influencer de manière autonome les décisions patrimoniales (Fonjong, 2010 ; FAO-UE-CIRAD, 2022). Les indicateurs nationaux confirment ces écarts : 3 % des femmes possèdent une maison sans titre de propriété et 1,6 % disposent d’un titre à leur nom (Brun, 2019).
Dans un contexte agricole marqué par une faible capitalisation et un accès restreint au financement formel (MINADER, 2011 ; INS, 2024), les femmes apparaissent davantage impliquées dans les décisions opérationnelles quotidiennes que dans les arbitrages stratégiques liés aux actifs structurants au sein de la chaîne de valeur du manioc.</t>
  </si>
  <si>
    <t>Les femmes occupent fréquemment des fonctions de responsabilité dans les organisations locales, notamment dans les segments de transformation et de commercialisation. Toutefois, l’accès aux positions d’influence les plus élevées est généralement conditionné par le capital économique, éducatif ou social des femmes concernées.</t>
  </si>
  <si>
    <t>La charge de travail des femmes dans la chaîne de valeur du manioc apparaît globalement disproportionnée en raison de la combinaison des activités agricoles et des responsabilités domestiques. Les femmes consacrent en moyenne 8,2 heures de plus par semaine que les hommes aux travaux domestiques non rémunérés, ce qui peut limiter leur disponibilité pour les activités économiques, la participation aux formations ou l’engagement dans les organisations collectives (Brun, 2019). Cette surcharge reflète des normes sociales persistantes liées à la division sexuée du travail, susceptibles de restreindre leur accès aux opportunités économiques et d’investissement (UN Women, 2021).
Dans la filière manioc, cette contrainte est renforcée par l’intensité du travail manuel associé aux opérations de transformation — majoritairement réalisées par des femmes — qui peuvent être longues et physiquement exigeantes, limitant les gains de productivité et les possibilités de diversification économique (Njukwe et al., 2014).</t>
  </si>
  <si>
    <t>L’accès à des technologies améliorées de transformation du manioc peut contribuer à réduire la pénibilité du travail féminin et à améliorer la productivité, en diminuant l’intensité physique et le temps nécessaire aux opérations tout en améliorant la qualité des produits transformés (Njukwe et al., 2014 ; Bello et al., 2024).
Toutefois, l’effet inclusif de ces innovations dépend des modalités d’accès aux équipements et au financement. Lorsque les technologies sont diffusées à travers des projets ou des organisations collectives, elles peuvent améliorer les conditions de travail et les revenus des transformateurs. À l’inverse, un accès différencié aux équipements mécanisés pourrait potentiellement favoriser une concentration de la valeur ajoutée et modifier la répartition entre les genres des rôles économiques au sein de la chaîne de valeur.</t>
  </si>
  <si>
    <t>Forte concentration des femmes dans les segments traditionnels à faible capitalisation (production, transformation artisanale, commerce de proximité), limitant l’accès aux activités les plus rentables.
Masculinisation progressive des segments plus capitalisés ou formalisés, notamment collecte à grande échelle et transformation semi-industrielle.
Pénibilité élevée des activités manuelles de transformation pouvant limiter les gains économiques.
Inégalités d’accès aux services financiers et numériques réduisant la capacité d’investissement et d’intégration aux marchés structurés.</t>
  </si>
  <si>
    <t>Développement de programmes d’appui ciblés à l’entrepreneuriat féminin et à la transformation à valeur ajoutée.
Renforcement de l’accès aux services financiers adaptés (microfinance, dispositifs collectifs).
Promotion de technologies améliorées réduisant la pénibilité et augmentant la productivité.</t>
  </si>
  <si>
    <t>La forte participation féminine constitue un levier important de résilience économique des ménages.
Les transitions vers des segments plus structurés représentent un enjeu central pour l’inclusion économique durable.</t>
  </si>
  <si>
    <t>Accès limité des femmes aux actifs productifs de grande valeur, en raison du coût des équipements et de contraintes financières.
Sécurisation foncière plus faible, avec des droits souvent indirects ou conditionnels.
Accès réduit aux services financiers formels et dépendance accrue aux mécanismes informels.
Accès hétérogène aux services de vulgarisation et aux intrants, dépendant des projets et de l’appartenance organisationnelle.</t>
  </si>
  <si>
    <t>Réformes foncières et initiatives visant la sécurisation des droits d’usage agricoles.
éveloppement de dispositifs financiers inclusifs et de modèles d’investissement collectif.
Renforcement de la couverture des services de vulgarisation agricole et de formation technique ciblée.</t>
  </si>
  <si>
    <t>Les contraintes d’accès aux ressources affectent l’ensemble des petits producteurs, mais peuvent être plus marquées pour les femmes.
Les organisations de producteurs jouent un rôle clé dans l’accès aux services.</t>
  </si>
  <si>
    <t>Pouvoir décisionnel limité dans les décisions stratégiques liées aux investissements et aux actifs productifs.
Autonomie économique féminine plus forte dans les segments traditionnels mais réduction du contrôle des revenus lorsque les activités se formalisent.
Participation restreinte aux décisions patrimoniales en raison de l’insécurité foncière et des contraintes financières.</t>
  </si>
  <si>
    <t>Renforcement des capacités organisationnelles et du leadership économique féminin.
Promotion de mécanismes favorisant la prise de décision conjointe et l’autonomie financière.
Appui à l’accès des femmes aux actifs productifs et au crédit.</t>
  </si>
  <si>
    <t>Les femmes disposent d’une autonomie opérationnelle importante dans les activités quotidiennes de production et transformation.
Les dynamiques intra-ménage restent déterminantes dans l’allocation des ressources.</t>
  </si>
  <si>
    <t>Accès inégal aux positions d’influence les plus élevées dans les organisations et les instances politiques.
Participation formelle aux organisations ne se traduisant pas toujours par une prise de parole active.
Influence différenciée selon le capital économique, éducatif et relationnel.</t>
  </si>
  <si>
    <t>Promotion du leadership féminin dans les coopératives et organisations professionnelles.
Programmes de formation en gouvernance et en représentation sectorielle.
Intégration de quotas ou d’objectifs de participation dans les projets agricoles.</t>
  </si>
  <si>
    <t>Les organisations locales constituent des espaces importants d’apprentissage du leadership féminin.
L’influence des femmes reste plus marquée au niveau local que dans les politiques sectorielles nationales.</t>
  </si>
  <si>
    <t>Charge de travail disproportionnée liée à la combinaison des activités productives et domestiques.
Forte pénibilité des tâches manuelles de transformation du manioc, pouvant limiter la productivité et l’attractivité économique.
Risque de concentration des bénéfices de la mécanisation au profit d’acteurs disposant de plus de ressources économiques et de capital humain.</t>
  </si>
  <si>
    <t>Diffusion de technologies de transformation améliorées et organisation collective de l’accès aux équipements.
Sensibilisation aux normes de division du travail et promotion de solutions réduisant la charge domestique.
Intégration d’approches genre dans les projets de modernisation de la filière.</t>
  </si>
  <si>
    <t>L’amélioration des conditions de travail constitue un facteur clé pour la durabilité sociale et l’attractivité de la filière, notamment pour les jeunes et les femmes.</t>
  </si>
  <si>
    <t>La production vivrière au Cameroun reste globalement élevée, avec un rôle central du manioc dans les systèmes alimentaires nationaux. Cette culture a connu une croissance globale au cours des dernières années, avec une production estimée à environ 6,45 millions de tonnes en 2023, confirmant son importance dans l’approvisionnement alimentaire (FAO-CIRAD-UE, 2022). Dans les bassins étudiés (Centre, Sud, Ouest, Littoral, Est), les observations confirment une production soutenue et en expansion relative, principalement liée à l’extension des superficies cultivées et au rôle du manioc comme culture de subsistance et de sécurité alimentaire.
Cependant, cette dynamique doit être analysée à la lumière de la croissance démographique rapide du pays. La population du Cameroun est estimée à 28,9 millions d’habitants en 2023, contre environ 17,5 millions en 2005, soit une augmentation très significative en moins de deux décennies (BUCREP, 2023). Dans ce contexte, bien que la production agricole progresse, celle-ci reste en grande partie extensive, ce qui limite les gains de productivité par hectare. Cette dynamique d’expansion repose souvent sur l’augmentation des superficies cultivées au détriment des espaces forestiers, ce qui engendre des conséquences environnementales importantes, notamment en termes de déforestation, de perte de biodiversité et de dégradation des sols. L’augmentation des volumes produits ne se traduit donc pas nécessairement par une amélioration proportionnelle de la disponibilité alimentaire par habitant.
Par ailleurs, cette croissance demeure fragilisée par des contraintes structurelles — notamment l’accès limité aux terres, aux intrants et aux infrastructures — ainsi que par des chocs récurrents (aléas climatiques et insécurité), qui affectent la capacité du système à répondre durablement à la demande (FAO, 2025 ; IFRC, 2025). Enfin, l’impact réel de la production sur la disponibilité alimentaire est partiellement réduit par des pertes post-récolte élevées (cf. analyse fonctionnelle), dans un contexte où plus de 3 millions de personnes étaient en situation d’insécurité alimentaire aiguë en 2024, ce qui souligne les limites structurelles du système alimentaire (FAO, 2025).</t>
  </si>
  <si>
    <t>L’offre alimentaire sur les marchés locaux apparaît globalement soutenue dans les bassins manioc, notamment grâce au rôle des produits transformés (gari, bâtons, pâte fermentée), qui se conservent mieux que les racines fraîches et permettent un approvisionnement plus régulier des marchés urbains et périurbains (Njukwe et al., 2014 ; FAO-CIRAD-UE, 2022). Toutefois, la régularité de l´offre demeure dépendante de facteurs structurels tels que l’état des infrastructures routières, les coûts de transport et les capacités de transformation. Elle reste également sensible aux chocs conjoncturels : les conflits et les aléas climatiques continuent de perturber les activités agricoles et l’acheminement des denrées, avec des effets différenciés selon les régions (FAO, 2025). En outre, les capacités limitées de stockage et le caractère largement informel de la chaîne de valeur contribuent à accentuer la variabilité saisonnière des volumes disponibles sur les marchés.</t>
  </si>
  <si>
    <t>Dans les bassins manioc, cette culture joue un rôle important dans la génération de liquidités régulières à petite échelle, notamment à travers la production, la transformation et la commercialisation de produits dérivés. Ces revenus permettent de couvrir des dépenses quotidiennes essentielles (alimentation, santé, éducation), en particulier pour les ménages ruraux et périurbains.
Cependant, cette contribution ne se traduit pas par une amélioration généralisée du pouvoir d’achat alimentaire. À l’échelle nationale, 62 % des ménages sont en situation d’insécurité alimentaire modérée ou sévère, dont 17 % en situation sévère, selon l’indicateur FIES (FAO, 2024), ce qui reflète des contraintes persistantes d’accès économique à l’alimentation. Les données de l’ENSAN indiquent par ailleurs qu’une part importante des ménages consacre une proportion élevée de ses dépenses à l’alimentation, signe d’une faible marge de manœuvre budgétaire (WFP, 2021).
Ces résultats s’inscrivent dans un contexte où la croissance économique récente n’a pas été suffisamment inclusive pour améliorer significativement les revenus des ménages les plus vulnérables (World Bank, 2025). Dans la filière manioc, les revenus générés restent généralement modestes et sensibles aux fluctuations des prix, à la saisonnalité des activités agricoles et aux contraintes logistiques, ce qui limite leur capacité à soutenir un accès durable à une alimentation diversifiée (FAO–UE–CIRAD, 2022).</t>
  </si>
  <si>
    <t xml:space="preserve">Les données disponibles n’indiquent pas de baisse durable des prix alimentaires ni de réduction significative de leur volatilité. Les analyses récentes montrent au contraire que les prix restent globalement élevés et sensibles aux chocs, ce qui continue de peser sur le pouvoir d’achat des ménages, en particulier dans les zones urbaines et dépendantes des marchés (FAO, 2025). Dans ce contexte, le manioc et ses produits dérivés jouent un rôle de stabilisateur relatif, en raison de leur disponibilité locale et de leur moindre dépendance aux marchés internationaux (FAO–UE–CIRAD, 2022). Ils permettent ainsi d’atténuer partiellement l’impact des hausses de prix sur l’accès calorique de base. Toutefois, cet effet reste limité. Les prix des produits à base de manioc demeurent influencés par la saisonnalité de la production, les coûts de transport, les contraintes logistiques et la faible capacité de stockage, ce qui entretient des variations de prix entre périodes et zones. </t>
  </si>
  <si>
    <t>La qualité nutritionnelle de l’alimentation ne montre pas d’amélioration significative au Cameroun. Si la disponibilité calorique est globalement assurée, notamment grâce au manioc, les régimes alimentaires restent dominés par des aliments riches en glucides et pauvres en protéines et en micronutriments, ce qui limite leur qualité nutritionnelle (FAO–UE–CIRAD, 2022).
Les indicateurs nutritionnels confirment cette vulnérabilité. L’analyse IPC estime qu’entre 2023 et 2024, environ 394077 enfants de 6 à 59 mois souffrent de malnutrition aiguë, dont 146382 cas sévères, traduisant des déficits importants en apports nutritionnels. Par ailleurs, seuls 16 % des enfants de 6 à 23 mois atteignent un régime alimentaire minimum acceptable, ce qui reflète à la fois une faible diversité alimentaire et des pratiques nutritionnelles inadéquates (IPC, 2024).
Cette situation s’explique notamment par un accès limité à des aliments diversifiés, en particulier les sources de protéines, ainsi que par des contraintes économiques et structurelles affectant les ménages.</t>
  </si>
  <si>
    <t>Les pratiques alimentaires et de soins nutritionnels montrent des améliorations localisées, notamment dans les zones couvertes par des programmes de sensibilisation et des interventions sanitaires, mais ces progrès demeurent globalement limités et hétérogènes. Les données disponibles indiquent que les pratiques d’alimentation des nourrissons et des jeunes enfants (ANJE) restent insuffisantes : seuls 16 % des enfants de 6 à 23 mois atteignent un régime alimentaire minimum acceptable, ce qui reflète des pratiques nutritionnelles inadéquates (IPC, 2024), avec des disparités régionales marquées mises en évidence par les résultats du suivi post-distribution du WFP (2025). Ces insuffisances s’expliquent en grande partie par des contraintes structurelles persistantes : l’ENSAN souligne notamment le rôle déterminant de l’accès économique à l’alimentation dans la qualité des pratiques nutritionnelles (WFP, 2021). Par ailleurs, les inégalités d’accès aux services de base (eau, santé, information) particulièrement en milieu rural, continuent de limiter l’adoption de pratiques adéquates, tandis que les normes sociales et la charge de travail des femmes constituent des facteurs contraignants supplémentaires, comme le mettent en évidence les analyses nationales de genre (MINPROFF, 2024).</t>
  </si>
  <si>
    <t>La diversité alimentaire reste globalement insuffisante, malgré quelques améliorations localisées. Les données disponibles montrent que de nombreux ménages continuent de dépendre d’un nombre restreint d’aliments, dominé par les produits amylacés (tubercules et céréales), ce qui limite les apports en protéines et micronutriments (FAO–UE–CIRAD, 2022 ; Nzossié et al., 2025). Cette faible diversification contribue à des vulnérabilités nutritionnelles persistantes. 
La diversité alimentaire varie selon les contextes territoriaux et socio-économiques, l’accès économique à l’alimentation jouant un rôle important dans la capacité des ménages à diversifier leur régime (WFP, 2021). Dans les zones de production de manioc, les activités de chaîne de valeur peuvent soutenir les revenus et favoriser, dans une certaine mesure, l’accès à des aliments plus diversifiés. Toutefois, cette dynamique reste limitée par le niveau de revenu, l’accessibilité des marchés et la saisonnalité de l’offre.</t>
  </si>
  <si>
    <t>Le risque de pénuries alimentaires saisonnières demeure présent dans plusieurs zones du Cameroun, bien que certaines cultures vivrières comme le manioc contribuent à en atténuer les effets (FAO–UE–CIRAD, 2022 ; FAO, 2025). Grâce à sa capacité de récolte échelonnée, le manioc constitue un facteur important de résilience et permet de limiter les déficits caloriques pendant la période de soudure. Toutefois, cette contribution ne permet pas d’éliminer la soudure, qui se traduit davantage par une dégradation qualitative de l’alimentation (notamment en diversité et en apports protéiques) que par une absence totale de nourriture. Par ailleurs, la stabilité de l’approvisionnement alimentaire reste affectée par des chocs récurrents (climatiques, sécuritaires et économiques) qui continuent de perturber la production et l’accès aux marchés dans certaines régions (FAO, 2025; IPC, 2024 ; IFRC, 2025).</t>
  </si>
  <si>
    <t>La croissance de la production de manioc reste principalement extensive, limitant les gains de productivité et la disponibilité alimentaire par habitant dans un contexte de forte croissance démographique.
Les pertes post-récolte élevées, la faiblesse des infrastructures et l’informalité de la chaîne accentuent la variabilité de l’offre.
La forte exposition aux chocs climatiques, sécuritaires et logistiques constitue un risque majeur pour la stabilité de la disponibilité alimentaire.</t>
  </si>
  <si>
    <t>Le renforcement de la productivité agricole, notamment à travers des approches d’intensification agroécologique, ainsi que l’amélioration des infrastructures de transport et de stockage et le développement de la transformation locale, constituent des leviers clés pour stabiliser l’offre et réduire les pertes. Le soutien aux organisations d’acteurs et le renforcement des capacités de résilience face aux chocs demeurent également essentiels.</t>
  </si>
  <si>
    <t>La chaîne de valeur du manioc contribue principalement à la sécurité alimentaire calorique et nutritionnelle (à travers la consommation de feuilles riches en micronutriments) et à la résilience des ménages, mais elle soutient davantage la résilience à court terme qu’une transformation durable du système alimentaire.</t>
  </si>
  <si>
    <t xml:space="preserve">Malgré la génération de liquidités liée à la filière manioc, les revenus des ménages restent faibles, instables et insuffisants pour améliorer durablement l’accès à l’alimentation. La forte prévalence de l’insécurité alimentaire et la part élevée des dépenses consacrées à l’alimentation traduisent une vulnérabilité économique persistante. 
Par ailleurs, les prix alimentaires élevés et volatils continuent de limiter le pouvoir d’achat, tandis que la dépendance aux marchés expose les ménages aux chocs. </t>
  </si>
  <si>
    <t xml:space="preserve">L’amélioration de l’accès aux services financiers, le soutien à la diversification des revenus et le renforcement de la valeur ajoutée (transformation) peuvent contribuer à stabiliser les revenus des ménages. Le développement des infrastructures de marché et de transport ainsi que des dispositifs de régulation et d’information sur les prix peut également limiter la volatilité. </t>
  </si>
  <si>
    <t>La filière manioc contribue à la liquidité des ménages et à l’accès alimentaire de court terme, mais son impact sur l’accessibilité économique reste limité et fragile. Les contraintes structurelles liées aux revenus et aux prix empêchent une amélioration durable du pouvoir d’achat alimentaire.</t>
  </si>
  <si>
    <t>La sécurité nutritionnelle reste fortement contrainte par des régimes alimentaires dominés par les aliments riches en glucides et pauvres en nutriments, ce qui limite les apports en protéines et micronutriments. 
Les niveaux élevés de malnutrition et la faible proportion d’enfants atteignant un régime alimentaire adéquat traduisent des déficits structurels persistants. 
Les pratiques alimentaires et de soins demeurent insuffisantes et inégalement réparties, en raison de contraintes économiques, d’un accès limité aux services de base et de facteurs sociaux. 
Enfin, la faible diversité alimentaire expose durablement les ménages à des vulnérabilités nutritionnelles, en particulier pour les groupes les plus sensibles.</t>
  </si>
  <si>
    <t xml:space="preserve">Le renforcement de la diversification alimentaire (production et accès à des sources de protéines et micronutriments), combiné à des programmes de sensibilisation nutritionnelle (ANJE), pourraient constituer un levier. 
L’amélioration de l’accès aux services de santé, à l’eau et à l’information nutritionnelle, ainsi que le soutien aux revenus des ménages, favoriseraient l’adoption de pratiques alimentaires plus adéquates. </t>
  </si>
  <si>
    <t>La chaîne de valeur du manioc contribue principalement à la sécurité calorique, mais son impact sur la qualité nutritionnelle est plus limité. Les contraintes structurelles liées à la pauvreté, à l’accès aux services et à la faible diversification des régimes empêchent une amélioration significative des résultats nutritionnels.</t>
  </si>
  <si>
    <t>La stabilité de la sécurité alimentaire reste fragile. Malgré le rôle important du manioc comme amortisseur calorique, le risque de soudure persiste et se traduit par une dégradation qualitative de l’alimentation (faible diversité, apports protéiques insuffisants). 
Les systèmes alimentaires en général demeurent fortement exposés aux chocs climatiques, sécuritaires et économiques, qui perturbent la production et l’accès aux marchés. 
Par ailleurs, la volatilité élevée des prix alimentaires limite la prévisibilité de l’accès économique à l’alimentation, renforçant la vulnérabilité des ménages.</t>
  </si>
  <si>
    <t xml:space="preserve">Le renforcement de la résilience des systèmes agricoles (diversification des cultures, pratiques adaptées au climat) constitue un levier clé pour réduire les effets de la soudure. 
L’amélioration des capacités de stockage et de transformation peut contribuer à lisser l’offre dans le temps. 
Le développement des infrastructures de marché et de transport ainsi que des systèmes d’information sur les prix peut limiter la volatilité. </t>
  </si>
  <si>
    <t xml:space="preserve">La chaîne de valeur du manioc contribue à la résilience alimentaire à court terme, en réduisant les déficits caloriques pendant les périodes critiques. Toutefois, son impact reste insuffisant pour stabiliser durablement la sécurité alimentaire, en raison de la persistance des chocs et de la volatilité des marchés. </t>
  </si>
  <si>
    <t xml:space="preserve">Les organisations formelles et informelles (GIC, coopératives, associations, tontines) participent activement à la chaîne de valeur du manioc, notamment dans la production, la transformation et la commercialisation. Leur développement s’appuie sur un cadre institutionnel structurant, en particulier la loi n°92/006 du 14 août 1992, qui a favorisé leur multiplication. Le Cameroun comptait ainsi en 2012 environ 123.305 organisations enregistrées, dont environ 95 % de GIC (FAO–CIRAD–UE, 2022), constituant un socle important de coordination dans une économie majoritairement informelle. Toutefois, cette participation reste inégale. Si certaines organisations assurent des fonctions économiques réelles, d’autres demeurent peu actives ou dépendantes des projets d’appui, ce qui limite leur durabilité. Cette hétérogénéité reflète des capacités organisationnelles variables et s’inscrit dans des contraintes structurelles de la filière (notamment la périssabilité du manioc et les coûts logistiques) qui compliquent la stabilisation des activités (Duval et al., 2013). </t>
  </si>
  <si>
    <t xml:space="preserve">L’adhésion est globalement inclusive, en particulier pour les femmes, qui occupent une place centrale dans la transformation et la commercialisation (environ 69 % des acteurs) (Njukwe et al., 2014). Cette forte présence féminine structure les réseaux locaux d’organisation, d’information et de solidarité. Toutefois, cette inclusion varie selon les contextes organisationnels. Les observations montrent une structuration hétérogène des groupes, avec des règles d’adhésion plus ou moins formalisées, par exemple des conditions liées à la disponibilité foncière (surface minimale à exploiter), au paiement de cotisations ou à l’appartenance préalable à un groupement. </t>
  </si>
  <si>
    <t>La gouvernance des organisations apparaît contrastée. Certaines structures disposent de mécanismes formalisés (assemblées générales, cotisations, règles de redistribution), favorisant la coordination et la confiance interne. Toutefois, les observations montrent une structuration hétérogène : de nombreuses organisations restent marquées par une faible transparence, une personnalisation du leadership et une dépendance aux financements externes, ce qui peut limiter leur redevabilité et leur durabilité. Ces limites sont renforcées dans les contextes où les organisations évoluent vers des modèles plus intégrés ou quasi-entrepreneuriaux, pouvant créer un décalage entre les membres producteurs et les instances dirigeantes. Plus largement, malgré une forte densité organisationnelle, les capacités de gouvernance effective demeurent inégales, ce qui limite la capacité des organisations à jouer pleinement leur rôle de coordination et de représentation (FAO–CIRAD–UE, 2022 ; Duval et al., 2013).</t>
  </si>
  <si>
    <t>Les capacités de négociation existent mais restent limitées. La transformation permet, dans certains cas, de capter une valeur ajoutée supérieure par rapport à la vente des racines fraîches, mais cet avantage concerne surtout les acteurs en aval et ne se traduit pas nécessairement par un renforcement du pouvoir de négociation des producteurs. Dans un contexte marqué par une forte informalité, la majorité des producteurs reste en position de faiblesse face aux intermédiaires ou à certains acheteurs structurés. Les observations de terrain montrent notamment des situations où des collecteurs imposent des prix bas au champ, en tirant parti de la périssabilité du manioc et des besoins immédiats de liquidité. Ces dynamiques sont renforcées par des contraintes structurelles (faible capacité de stockage, coûts de transport élevés) qui limitent la sécurisation des volumes et la formalisation des échanges, réduisant ainsi l’efficacité de la négociation collective (Duval et al., 2013 ; MINEPAT, 2024).</t>
  </si>
  <si>
    <t>L’accès à l’information est réel mais inégal. Les producteurs peuvent s’appuyer sur les services techniques, les projets de développement et les réseaux locaux (notamment les organisations de producteurs et les collectifs) pour accéder à des informations sur les pratiques agricoles, les marchés ou les opportunités. Dans la filière manioc, ces flux d’information sont largement structurés par des réseaux interpersonnels et organisationnels, en particulier dans les segments féminisés de transformation et de commercialisation, où circulent savoir-faire techniques et informations de marché. Cependant, la diffusion reste incomplète et inégalement appropriée, notamment pour les producteurs isolés ou moins intégrés aux organisations. Les limites des systèmes de vulgarisation, combinées à la fragmentation des dispositifs d’appui, continuent de restreindre l’accès effectif à l’information et son appropriation (Ondoa Manga, 2025 ; République du Cameroun, 2011), ce qui contribue à maintenir des asymétries d’information au sein de la chaîne de valeur.</t>
  </si>
  <si>
    <t>Les relations entre acteurs reposent largement sur des mécanismes informels, fondés sur la réputation, les relations interpersonnelles et des accords souvent verbaux. Ces formes de confiance permettent le fonctionnement quotidien de la filière, notamment dans les échanges entre producteurs, transformateurs et commerçants, où la proximité sociale et les réseaux locaux jouent un rôle central. Des cas plus structurés existent, comme celui d’entreprises s’approvisionnant auprès de producteurs identifiés sur la base de relations de confiance et de critères de capacité (superficie, régularité), parfois via des accords oraux. Toutefois, ces formes d’organisation restent minoritaires dans un environnement largement informel. Ces dynamiques, combinées à la périssabilité du manioc et aux asymétries d’information, limitent la formalisation des relations commerciales et la sécurisation des échanges (Duval et al., 2013; Njukwe et al., 2014).</t>
  </si>
  <si>
    <t>La participation des communautés aux décisions affectant leurs moyens d’existence est réelle mais inégale. À l’échelle locale, les entretiens mettent en évidence des mécanismes de concertation informelle autour de l’accès aux ressources et de l’organisation des activités, portés par des réseaux de proximité (associations, groupes de femmes, autorités locales) (FAO–CIRAD–UE, 2022). Toutefois, cette participation se réduit face à des dynamiques externes structurantes, notamment liées au développement de cultures de rente à grande échelle, qui peuvent entraîner des transformations foncières et économiques. Les observations de terrain, notamment à Békoko (Littoral), illustrent ainsi un décalage entre gouvernance locale et cadres décisionnels plus institutionnalisés, où les marges d’influence des communautés restent limitées. La présence de grandes exploitations agro-industrielles, notamment dans le secteur du palmier à huile, contribue à accentuer ces déséquilibres en exerçant une pression sur l’accès au foncier et en entrant en concurrence avec les systèmes de production locaux, notamment le manioc (FAO–CIRAD–UE, 2022 ; Duval et al., 2013).</t>
  </si>
  <si>
    <t>Les savoirs et produits traditionnels liés au manioc restent largement mobilisés dans les activités de transformation (gari, bâtons, pâtes fermentées), reposant sur des connaissances empiriques transmises de manière intergénérationnelle généralement au sein de réseaux féminins. Ce rôle est particulièrement visible dans des bassins comme Békoko, où la production de myondo s’appuie sur des savoir-faire locaux spécifiques et contribue à l’identité et à la valorisation territoriale du produit. Les entretiens, notamment avec l’UNESCO, mettent en évidence que ces savoir-faire sont rarement formalisés, avec peu de dispositifs de reconnaissance ou de protection. Cette faible formalisation constitue une vulnérabilité dans un contexte de structuration croissante de la filière, notamment en termes de captation de la valeur et de risque d’appropriation des savoirs.</t>
  </si>
  <si>
    <t>Les activités collectives volontaires (entraide, tontines, travail en groupe, mutualisation des ressources) existent et constituent un pilier du capital social dans la filière manioc. Elles se traduisent par des journées de travail collectif, des dispositifs d’épargne rotative ou la mise en commun des volumes pour répondre à des commandes (i.e. Békoko). Souvent portées par des groupes de femmes, ces pratiques soutiennent l’organisation de la production, de la transformation et de la commercialisation (facilitant l’accès à la main-d’œuvre, au financement), réduisent les coûts de production et renforcent la résilience des ménages, tout en contribuant à la coordination locale et à l’intégration dans la chaîne de valeur (MINEPAT, 2024).</t>
  </si>
  <si>
    <t>Faible performance et durabilité de nombreuses organisations, en raison de capacités limitées et d’une dépendance aux projets.
Gouvernance insuffisante (manque de transparence, leadership concentré), limitant la redevabilité et l’inclusion effective.
Faible pouvoir de négociation des producteurs, renforçant des rapports de force défavorables et des prix peu rémunérateurs.</t>
  </si>
  <si>
    <t>Renforcement des capacités organisationnelles et de gouvernance (transparence, gestion collective).
Appui à la structuration économique (stockage, transformation, accès au financement).
Développement de mécanismes de commercialisation collective et contractualisation.</t>
  </si>
  <si>
    <t>Base organisationnelle solide mais efficacité inégale.</t>
  </si>
  <si>
    <t>Faible formalisation des relations commerciales, augmentant les risques d’opportunisme et d’insécurité des échanges.
Accès inégal à l’information, défavorable aux producteurs isolés, renforçant les asymétries au sein de la chaîne de valeur.
Dépendance à des réseaux informels, limitant la fiabilité et la diffusion homogène des informations techniques et de marché</t>
  </si>
  <si>
    <t>Renforcement des systèmes de vulgarisation et de diffusion de l’information (y compris via organisations locales).
Développement d’outils d’information sur les marchés (prix, débouchés) accessibles aux producteurs.
Promotion de mécanismes de contractualisation et de relations commerciales plus formalisées.</t>
  </si>
  <si>
    <t>Les réseaux sociaux et organisationnels jouent un rôle clé dans la circulation de l’information et la confiance.
Le caractère informel du système limite sa fiabilité et sa capacité à soutenir une structuration durable de la filière.</t>
  </si>
  <si>
    <t>Participation limitée des communautés dans les décisions structurantes (foncier, investissements), avec des rapports de pouvoir asymétriques.
Faible formalisation et protection des savoirs traditionnels, exposant à des risques d’appropriation et de perte de valeur
Érosion potentielle des mécanismes collectifs dans les segments plus intégrés de la filière.</t>
  </si>
  <si>
    <t>Renforcement des mécanismes de concertation locale et d’inclusion des communautés dans les projets et décisions foncières.
Développement de dispositifs de reconnaissance et valorisation des savoirs locaux (labels, indications géographiques, ...).
Appui aux dynamiques collectives existantes (groupes de femmes, tontines) pour maintenir leur rôle dans la structuration de la filière.</t>
  </si>
  <si>
    <t>L’accès physique aux infrastructures de santé apparaît partiellement assuré, mais très inégal selon les territoires. Les données de l’INS &amp; ICF (2019) montrent des disparités marquées entre zones urbaines et rurales dans l’accès aux services de santé, notamment pour les soins maternels et infantiles : la couverture vaccinale complète des enfants de 12 à 23 mois atteint 50,6 % en milieu urbain contre 34,7 % en milieu rural, reflétant une accessibilité plus limitée aux services de base. Ces écarts sont renforcés par les contraintes d’enclavement : la densité de routes revêtues n’est que d’environ 1,5 km pour 100 km² (FAO–CIRAD–UE, 2022), ce qui limite l’accès aux structures de santé, en particulier dans les zones rurales et dans certains bassins manioc comme l’Est, où l’état des pistes et la saisonnalité réduisent fortement la mobilité. Dans ce contexte, pour les ménages impliqués dans la chaîne de valeur du manioc, l’accès physique aux services de santé ne peut être considéré comme pleinement suffisant.</t>
  </si>
  <si>
    <t>L’accès effectif aux services de santé reste plus contraint que l’accès physique. En effet, la présence d’une structure ne garantit ni la disponibilité du personnel qualifié, ni celle des médicaments, ni la capacité financière des ménages à recourir aux soins. Les vulnérabilités nutritionnelles illustrent bien cette limite les résultats préliminaires de l´enquête SMART-SENS 2021 (MINSANTE, 2021) indique une malnutrition aiguë globale de 4,5 % dans la région de l’Est chez les enfants de 6 à 59 mois, tandis qu’elle atteint 12,5 % dans les sites de réfugiés centrafricains de cette même région, soit un niveau très dégradé. Ces données montrent que, dans les bassins les plus fragiles, les ménages engagés dans la chaîne de valeur restent exposés à des chocs sanitaires susceptibles de peser directement sur la main-d’œuvre disponible, les dépenses du ménage et la stabilité des revenus.</t>
  </si>
  <si>
    <t>L’influence de la chaîne de valeur du manioc sur l’accès aux services de santé apparaît réelle mais indirecte et limitée. Les revenus issus de la production et de la transformation contribuent à financer certaines dépenses, y compris les soins, améliorant à la marge le recours aux services ; toutefois, ces effets restent principalement incrémentaux et ne se traduisent pas par une amélioration structurelle des conditions d’accès. Les analyses de Nzossié et al. (2025) confirment que les dimensions « livelihoods, poverty and equity » (qui conditionnent directement les capacités d’accès des ménages) ainsi que « diets, nutrition and health » restent fragiles au Cameroun, avec une majorité d’indicateurs orientés négativement, traduisant une vulnérabilité persistante en matière de sécurité alimentaire et nutritionnelle. Ces résultats suggèrent que les gains issus des activités agricoles, y compris dans la filière manioc, ne suffisent pas à lever les contraintes structurelles liées à la pauvreté, à l’accès aux services et à la qualité des systèmes de santé. Ainsi, malgré son rôle dans la sécurité calorique, la chaîne de valeur du manioc améliore surtout la capacité de paiement à court terme, sans transformer en profondeur les déterminants structurels de l’accès aux soins.</t>
  </si>
  <si>
    <t>L’influence de la chaîne de valeur du manioc sur l’accès à un logement de bonne qualité apparaît globalement faible. Contrairement à certaines cultures de rente (cacao, palmier à huile ou encore hévéa), les revenus issus du manioc restent généralement modestes et instables, ce qui limite fortement leur capacité à soutenir des investissements significatifs dans l’habitat. Les effets observés se traduisent au mieux par des améliorations ponctuelles (entretien, petits équipements), sans transformation structurelle des conditions de logement pour la majorité des ménages. 
Par ailleurs, les transformations visibles du bâti rural ne reflètent pas nécessairement les dynamiques de la filière. Les travaux de Tchékoté (s.d.) montrent que l’émergence d’habitats modernes en milieu rural est souvent portée par des élites urbaines, contribuant à une transformation du paysage agricole en bâtis modernes relativement déconnectée des revenus agricoles locaux. Ainsi, dans les bassins manioc, l’amélioration du logement dépend davantage d’autres sources de revenus (cultures de rente, activités non agricoles, transferts) que de la chaîne de valeur elle-même, dont l’impact reste marginal sur la qualité résidentielle.</t>
  </si>
  <si>
    <t>L’influence de la chaîne de valeur du manioc sur l’accès à l’eau potable et à l’assainissement est indirecte et limitée, bien que ces facteurs soient déterminants pour son fonctionnement. Les activités de transformation (lavage, fermentation, pressage, séchage) dépendent fortement de la disponibilité d’une eau de qualité et de conditions d’hygiène adéquates, conditionnant à la fois la sécurité sanitaire des produits et l’accès à des segments plus rémunérateurs. Or, en 2018, l’accès à l’eau potable améliorée est estimé à environ 79 % et celui à l’assainissement à 61 %, avec de fortes disparités en défaveur des zones rurales (FAO–CIRAD–UE, 2022). Dans les bassins manioc, ces contraintes se traduisent par des coûts supplémentaires (achat ou transport d’eau) et des risques sanitaires accrus. Elles sont renforcées par les déficits d’accès à l’énergie (25,5 % en zone rurale contre 88,9 % en zone urbaine) qui entraînent une dépendance au gasoil et des surcoûts de transformation (FAO–CIRAD–UE, 2022). Dans ce contexte, si les revenus issus de la filière peuvent améliorer ponctuellement l’accès à certains services, ils ne compensent pas les déficits structurels d’infrastructures, laissant la chaîne de valeur fortement dépendante de conditions d’accès à l’eau et à l’énergie qu’elle ne transforme pas de manière significative.</t>
  </si>
  <si>
    <t>L’offre de formation professionnelle existe mais demeure fragmentée, peu accessible et inégalement répartie. Les dispositifs identifiés (centres techniques, programmes publics, projets de développement) visent à renforcer les compétences en transformation, gestion ou maintenance, en cohérence avec les besoins de structuration de la filière (African Union, s.d. ; MINADER, 2019). Toutefois, ces formations restent majoritairement concentrées dans les centres urbains et souvent liées à des projets ponctuels, limitant leur continuité et leur ancrage territorial. Les contraintes d’accès sont importantes : les coûts peuvent atteindre 600.000 FCFA/an pour certaines formations techniques (données d’enquête), auxquels s’ajoutent les frais de transport, d’hébergement et les pertes de revenu liées à l’absence du travail agricole. Dans un contexte où la pauvreté reste élevée et où 85 % des indicateurs du domaine “livelihoods, poverty and equity” évoluent défavorablement ( Nzossié et al., 2025), ces barrières limitent fortement l’accès des petits producteurs.</t>
  </si>
  <si>
    <t>L’influence de la chaîne de valeur du manioc sur l’accès à l’éducation primaire semble globalement positive mais indirecte et limitée. Au niveau national, le taux de scolarisation au primaire atteint 90,1 %, traduisant un accès relativement élevé aux services éducatifs de base (UNICEF Cameroun, 2025a). Toutefois, cette moyenne masque de fortes disparités territoriales et socio-économiques : la pauvreté touche encore 37,7 % des ménages en 2022, avec une incidence beaucoup plus élevée en milieu rural (56,3 %) (UNICEF Cameroun, 2025a), où se concentrent les producteurs de manioc. Dans ce contexte, les revenus issus de la filière peuvent contribuer à financer les frais scolaires (fournitures, uniformes, contributions), ce qui peut soutenir le maintien des enfants à l’école. Néanmoins, cet effet reste principalement un effet de stabilisation du budget des ménages, sans compenser les contraintes structurelles liées à la pauvreté, à l’enclavement ou aux crises, qui continuent d’affecter la continuité de la scolarisation (UNICEF Cameroun, 2025a-b).</t>
  </si>
  <si>
    <t>L’influence de la chaîne de valeur apparaît plus limitée pour l’accès au secondaire et à la formation, où les contraintes s’intensifient. Les données mettent en évidence un fort décrochage scolaire : dans la région de l’Est, le taux d’achèvement du primaire est de 80,5 %, mais le taux de transition vers le secondaire n’est que d’environ 60,96 % pour les garçons et 59,56 % pour les filles (UNICEF Cameroun, 2025a). Ces ruptures s’expliquent en partie par les coûts croissants (frais scolaires, transport, hébergement), difficilement soutenables pour des ménages agricoles aux revenus irréguliers. Si les revenus issus du manioc peuvent faciliter l’accès au secondaire pour certains ménages mieux insérés, ils restent généralement insuffisants pour lever ces contraintes. Cette situation s’inscrit dans un contexte plus large de vulnérabilité des systèmes alimentaires, marqué par une pauvreté persistante et des inégalités d’accès aux ressources (Nzossié et al., 2025).</t>
  </si>
  <si>
    <t>Accès physique limité dans les zones enclavées, À l´origine de retards de prise en charge et aggravation des pathologies.
Vulnérabilité sanitaire élevée (malnutrition jusqu’à 12,5 % dans certains contextes), pouvant entraîner une baisse de productivité et une instabilité des revenus.
Dépenses de santé imprévues : pression sur les budgets des ménages et désinvestissement productif.</t>
  </si>
  <si>
    <t>Renforcement de l’accessibilité territoriale (infrastructures routières, mobilité rurale).
Développement de services de santé de proximité (centres communautaires, cliniques mobiles).
Appui ciblé aux ménages vulnérables (mutuelles de santé, subventions, programmes nutritionnels).</t>
  </si>
  <si>
    <t>L’accès aux services de santé constitue un facteur limitant structurel pour la chaîne de valeur du manioc. Si les revenus agricoles améliorent marginalement la capacité de paiement, ils ne compensent pas les inégalités d’accès ni les déficits du système de santé.</t>
  </si>
  <si>
    <t>Faible impact des revenus du manioc sur le logement ; maintien de conditions d’habitat précaires pour une large part des ménages.
Accès insuffisant à l’eau potable et à l’assainissement en zones rurales, augmentant les risques sanitaires et constituant des contraintes pour la transformation.
Déficits en énergie (faible électrification rurale) à l´origine de surcoûts de production, baisse de qualité et limitation de la montée en gamme.</t>
  </si>
  <si>
    <t>Investissements publics dans les infrastructures de base (eau, assainissement, électrification rurale).
Appui à des solutions locales adaptées (forages, systèmes solaires pour la transformation).
Intégration des enjeux WASH et énergie dans les projets de développement de la filière (approche chaîne de valeur).</t>
  </si>
  <si>
    <t>Les conditions d’accès au logement, à l’eau et à l’énergie constituent des contraintes structurelles majeures pour la CV manioc. L’impact de la filière reste limité à des améliorations marginales, sans transformation durable des conditions de vie. Ces facteurs influencent directement la qualité des produits, les coûts de production et la capacité d’intégration dans des segments plus rémunérateurs, soulignant l’importance d’approches intégrées dépassant le seul cadre agricole.</t>
  </si>
  <si>
    <t>Maintien d’inégalités d’accès à l’éducation, en particulier entre zones urbaines et rurales.
Revenus du manioc insuffisants pour couvrir les coûts croissants de l’éducation et de la formation (exclusion des ménages les plus vulnérables).
Accès limité à la formation professionnelle à l´origine d´un déficit de compétences techniques freinant la montée en gamme de la filière.</t>
  </si>
  <si>
    <t>Renforcement des dispositifs d’appui à la scolarisation (bourses, cantines scolaires, soutien ciblé en zones rurales).
Développement de formations techniques décentralisées et adaptées aux réalités locales (centres mobiles, formations courtes).
Intégration de la formation dans les projets de chaîne de valeur (approche inclusive, ciblage des jeunes et des femmes).</t>
  </si>
  <si>
    <t>L’éducation et la formation constituent un levier central pour la transformation de la chaîne de valeur du manioc, mais leur accès reste fortement contraint par des facteurs structurels (pauvreté, enclavement, coûts). L’accès limité à la formation technique constitue un frein majeur à la modernisation et à la montée en gamme, avec un risque de renforcement des inégalités entre acteurs selon leur niveau d’insertion économique.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</si>
</sst>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5">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9"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2" fillId="4" borderId="24" xfId="0" applyFont="1" applyFill="1" applyBorder="1" applyAlignment="1">
      <alignment horizontal="center" vertical="center"/>
    </xf>
    <xf numFmtId="0" fontId="7" fillId="0" borderId="22" xfId="0" applyFont="1" applyBorder="1" applyAlignment="1" applyProtection="1">
      <alignment horizontal="center" vertical="top"/>
      <protection locked="0"/>
    </xf>
    <xf numFmtId="0" fontId="7" fillId="0" borderId="10" xfId="0" applyFont="1" applyBorder="1" applyAlignment="1" applyProtection="1">
      <alignment vertical="center" wrapText="1"/>
      <protection locked="0"/>
    </xf>
    <xf numFmtId="0" fontId="7" fillId="0" borderId="4" xfId="0" applyFont="1" applyBorder="1" applyAlignment="1" applyProtection="1">
      <alignment vertical="center" wrapText="1"/>
      <protection locked="0"/>
    </xf>
    <xf numFmtId="0" fontId="7" fillId="0" borderId="60" xfId="0" applyFont="1" applyBorder="1" applyAlignment="1" applyProtection="1">
      <alignment vertical="center" wrapText="1"/>
      <protection locked="0"/>
    </xf>
    <xf numFmtId="0" fontId="7" fillId="0" borderId="17" xfId="0" applyFont="1" applyBorder="1" applyAlignment="1" applyProtection="1">
      <alignment vertical="center" wrapText="1"/>
      <protection locked="0"/>
    </xf>
    <xf numFmtId="0" fontId="7" fillId="0" borderId="76" xfId="0" applyFont="1" applyBorder="1" applyAlignment="1" applyProtection="1">
      <alignment vertical="center" wrapText="1"/>
      <protection locked="0"/>
    </xf>
    <xf numFmtId="0" fontId="7" fillId="0" borderId="13" xfId="0" applyFont="1" applyBorder="1" applyAlignment="1" applyProtection="1">
      <alignment vertical="center" wrapText="1"/>
      <protection locked="0"/>
    </xf>
    <xf numFmtId="0" fontId="7" fillId="0" borderId="20" xfId="0" applyFont="1" applyBorder="1" applyAlignment="1" applyProtection="1">
      <alignment vertical="center" wrapText="1"/>
      <protection locked="0"/>
    </xf>
    <xf numFmtId="0" fontId="9" fillId="7" borderId="22" xfId="0" applyFont="1" applyFill="1" applyBorder="1" applyAlignment="1" applyProtection="1">
      <alignment vertical="top" wrapText="1"/>
      <protection locked="0"/>
    </xf>
    <xf numFmtId="0" fontId="9" fillId="7" borderId="47" xfId="0" applyFont="1" applyFill="1" applyBorder="1" applyAlignment="1" applyProtection="1">
      <alignment vertical="top" wrapText="1"/>
      <protection locked="0"/>
    </xf>
    <xf numFmtId="0" fontId="9" fillId="7" borderId="56" xfId="0" applyFont="1" applyFill="1" applyBorder="1" applyAlignment="1" applyProtection="1">
      <alignment vertical="top" wrapText="1"/>
      <protection locked="0"/>
    </xf>
    <xf numFmtId="0" fontId="7" fillId="0" borderId="0" xfId="0" applyFont="1"/>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9" fillId="0" borderId="0" xfId="0" applyFont="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9" fillId="0" borderId="66" xfId="0" applyFont="1" applyBorder="1" applyAlignment="1" applyProtection="1">
      <alignment horizontal="left" vertical="top" wrapText="1"/>
      <protection locked="0"/>
    </xf>
    <xf numFmtId="0" fontId="9"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9"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10" fillId="0" borderId="36" xfId="0" applyFont="1" applyBorder="1" applyAlignment="1" applyProtection="1">
      <alignment vertical="top" wrapText="1"/>
      <protection locked="0"/>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0" borderId="71" xfId="0" applyFont="1" applyBorder="1" applyAlignment="1" applyProtection="1">
      <alignment vertical="top" wrapText="1"/>
      <protection locked="0"/>
    </xf>
    <xf numFmtId="0" fontId="10" fillId="0" borderId="71" xfId="0" applyFont="1" applyBorder="1" applyAlignment="1" applyProtection="1">
      <alignment vertical="top" wrapText="1"/>
      <protection locked="0"/>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0" borderId="43" xfId="0" applyFont="1" applyBorder="1" applyAlignment="1" applyProtection="1">
      <alignment vertical="top" wrapText="1"/>
      <protection locked="0"/>
    </xf>
    <xf numFmtId="0" fontId="0" fillId="0" borderId="47" xfId="0" applyBorder="1" applyAlignment="1">
      <alignment vertical="top" wrapText="1"/>
    </xf>
    <xf numFmtId="0" fontId="9" fillId="0" borderId="65" xfId="0" applyFont="1" applyBorder="1" applyAlignment="1" applyProtection="1">
      <alignment vertical="top" wrapText="1"/>
      <protection locked="0"/>
    </xf>
    <xf numFmtId="0" fontId="0" fillId="0" borderId="69" xfId="0" applyBorder="1" applyAlignment="1">
      <alignment vertical="top" wrapText="1"/>
    </xf>
    <xf numFmtId="0" fontId="9"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0" borderId="64" xfId="0" applyFont="1" applyBorder="1" applyAlignment="1" applyProtection="1">
      <alignment horizontal="left" vertical="top" wrapText="1"/>
      <protection locked="0"/>
    </xf>
    <xf numFmtId="0" fontId="9"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9" fillId="0" borderId="43" xfId="0" applyFont="1" applyBorder="1" applyAlignment="1" applyProtection="1">
      <alignment horizontal="left" vertical="top" wrapText="1"/>
      <protection locked="0"/>
    </xf>
    <xf numFmtId="0" fontId="9" fillId="0" borderId="36" xfId="0" applyFont="1" applyBorder="1" applyAlignment="1" applyProtection="1">
      <alignment horizontal="left" vertical="top" wrapText="1"/>
      <protection locked="0"/>
    </xf>
    <xf numFmtId="0" fontId="9" fillId="0" borderId="47" xfId="0" applyFont="1" applyBorder="1" applyAlignment="1" applyProtection="1">
      <alignment horizontal="left" vertical="top" wrapText="1"/>
      <protection locked="0"/>
    </xf>
    <xf numFmtId="0" fontId="9" fillId="0" borderId="29" xfId="0" applyFont="1" applyBorder="1" applyAlignment="1" applyProtection="1">
      <alignment horizontal="left" vertical="top" wrapText="1"/>
      <protection locked="0"/>
    </xf>
    <xf numFmtId="0" fontId="9" fillId="0" borderId="41" xfId="0" applyFont="1" applyBorder="1" applyAlignment="1" applyProtection="1">
      <alignment horizontal="left" vertical="top" wrapText="1"/>
      <protection locked="0"/>
    </xf>
    <xf numFmtId="0" fontId="9" fillId="0" borderId="67" xfId="0" applyFont="1" applyBorder="1" applyAlignment="1" applyProtection="1">
      <alignment horizontal="left" vertical="top" wrapText="1"/>
      <protection locked="0"/>
    </xf>
    <xf numFmtId="0" fontId="9" fillId="0" borderId="39" xfId="0" applyFont="1" applyBorder="1" applyAlignment="1" applyProtection="1">
      <alignment horizontal="left" vertical="top" wrapText="1"/>
      <protection locked="0"/>
    </xf>
    <xf numFmtId="0" fontId="9" fillId="0" borderId="71" xfId="0" applyFont="1" applyBorder="1" applyAlignment="1" applyProtection="1">
      <alignment horizontal="left" vertical="top" wrapText="1"/>
      <protection locked="0"/>
    </xf>
    <xf numFmtId="0" fontId="9"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9" fillId="5" borderId="29" xfId="0" applyFont="1" applyFill="1" applyBorder="1" applyAlignment="1" applyProtection="1">
      <alignment horizontal="left" vertical="top" wrapText="1"/>
      <protection locked="0"/>
    </xf>
    <xf numFmtId="0" fontId="9" fillId="5" borderId="41" xfId="0" applyFont="1" applyFill="1" applyBorder="1" applyAlignment="1" applyProtection="1">
      <alignment horizontal="left" vertical="top" wrapText="1"/>
      <protection locked="0"/>
    </xf>
    <xf numFmtId="0" fontId="9"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9"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0" borderId="51" xfId="0" applyFont="1" applyBorder="1" applyAlignment="1" applyProtection="1">
      <alignment horizontal="left" vertical="top" wrapText="1"/>
      <protection locked="0"/>
    </xf>
    <xf numFmtId="0" fontId="9" fillId="0" borderId="72"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9"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9" fillId="0" borderId="80" xfId="0" applyFont="1" applyBorder="1" applyAlignment="1" applyProtection="1">
      <alignment horizontal="left" vertical="top" wrapText="1"/>
      <protection locked="0"/>
    </xf>
    <xf numFmtId="0" fontId="9" fillId="0" borderId="81" xfId="0" applyFont="1" applyBorder="1" applyAlignment="1" applyProtection="1">
      <alignment horizontal="left" vertical="top" wrapText="1"/>
      <protection locked="0"/>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9"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9"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0" fillId="0" borderId="72" xfId="0"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148">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2.2250000000000001</c:v>
                </c:pt>
                <c:pt idx="1">
                  <c:v>1.9166666666666667</c:v>
                </c:pt>
                <c:pt idx="2">
                  <c:v>2.5100000000000002</c:v>
                </c:pt>
                <c:pt idx="3">
                  <c:v>2.25</c:v>
                </c:pt>
                <c:pt idx="4">
                  <c:v>2.3611111111111112</c:v>
                </c:pt>
                <c:pt idx="5">
                  <c:v>1.5833333333333335</c:v>
                </c:pt>
              </c:numCache>
            </c:numRef>
          </c:val>
          <c:extLst>
            <c:ext xmlns:c16="http://schemas.microsoft.com/office/drawing/2014/chart" uri="{C3380CC4-5D6E-409C-BE32-E72D297353CC}">
              <c16:uniqueId val="{00000000-5395-4D25-AE73-72A377DC4598}"/>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5395-4D25-AE73-72A377DC4598}"/>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pt-PT"/>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pt-PT"/>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6" activePane="bottomLeft" state="frozen"/>
      <selection pane="bottomLeft" activeCell="C8" sqref="C8"/>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454" t="s">
        <v>200</v>
      </c>
      <c r="B1" s="455"/>
      <c r="C1" s="456"/>
      <c r="D1" s="393" t="s">
        <v>27</v>
      </c>
      <c r="E1" s="323"/>
      <c r="F1" s="425" t="s">
        <v>267</v>
      </c>
      <c r="G1" s="426"/>
      <c r="I1" s="218"/>
    </row>
    <row r="2" spans="1:10" ht="16.5" customHeight="1" thickBot="1" x14ac:dyDescent="0.3">
      <c r="A2" s="395"/>
      <c r="B2" s="113"/>
      <c r="C2" s="113"/>
      <c r="D2" s="324" t="s">
        <v>120</v>
      </c>
      <c r="E2" s="427" t="s">
        <v>268</v>
      </c>
      <c r="F2" s="427"/>
      <c r="G2" s="428"/>
    </row>
    <row r="3" spans="1:10" ht="18" customHeight="1" thickBot="1" x14ac:dyDescent="0.3">
      <c r="A3" s="15" t="s">
        <v>25</v>
      </c>
      <c r="B3" s="429">
        <v>46130</v>
      </c>
      <c r="C3" s="430"/>
      <c r="D3" s="16"/>
      <c r="G3" s="14"/>
      <c r="J3" s="280"/>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446" t="s">
        <v>79</v>
      </c>
      <c r="B12" s="447"/>
      <c r="C12" s="450" t="s">
        <v>80</v>
      </c>
      <c r="D12" s="451"/>
      <c r="E12" s="431" t="s">
        <v>7</v>
      </c>
      <c r="F12" s="17" t="s">
        <v>81</v>
      </c>
      <c r="G12" s="18" t="str">
        <f>Register!H3</f>
        <v>../../20..</v>
      </c>
    </row>
    <row r="13" spans="1:10" ht="13.8" thickBot="1" x14ac:dyDescent="0.3">
      <c r="A13" s="448"/>
      <c r="B13" s="449"/>
      <c r="C13" s="86" t="s">
        <v>83</v>
      </c>
      <c r="D13" s="87" t="s">
        <v>84</v>
      </c>
      <c r="E13" s="432"/>
      <c r="F13" s="19" t="s">
        <v>83</v>
      </c>
      <c r="G13" s="20" t="s">
        <v>84</v>
      </c>
      <c r="I13" s="219" t="s">
        <v>15</v>
      </c>
    </row>
    <row r="14" spans="1:10" ht="13.8" x14ac:dyDescent="0.25">
      <c r="A14" s="436" t="str">
        <f>Register!A5</f>
        <v>1. WORKING CONDITIONS</v>
      </c>
      <c r="B14" s="437"/>
      <c r="C14" s="325" t="str">
        <f>Register!C10</f>
        <v>Moderate/Low</v>
      </c>
      <c r="D14" s="309">
        <f>Register!B10</f>
        <v>2.2250000000000001</v>
      </c>
      <c r="E14" s="310" t="str">
        <f>Register!D10</f>
        <v>↑</v>
      </c>
      <c r="F14" s="21" t="str">
        <f>Register!I10</f>
        <v>Not at all</v>
      </c>
      <c r="G14" s="316">
        <f>Register!H10</f>
        <v>0</v>
      </c>
      <c r="I14" s="220" t="e">
        <f>Register!#REF!</f>
        <v>#REF!</v>
      </c>
    </row>
    <row r="15" spans="1:10" ht="13.8" x14ac:dyDescent="0.25">
      <c r="A15" s="438" t="str">
        <f>Register!A11</f>
        <v>2. LAND &amp; WATER RIGHTS</v>
      </c>
      <c r="B15" s="439"/>
      <c r="C15" s="326" t="str">
        <f>Register!C15</f>
        <v>Moderate/Low</v>
      </c>
      <c r="D15" s="311">
        <f>Register!B15</f>
        <v>1.9166666666666667</v>
      </c>
      <c r="E15" s="312" t="str">
        <f>Register!D15</f>
        <v>↑</v>
      </c>
      <c r="F15" s="22" t="str">
        <f>Register!I15</f>
        <v>Not at all</v>
      </c>
      <c r="G15" s="317">
        <f>Register!H15</f>
        <v>0</v>
      </c>
      <c r="I15" s="221" t="e">
        <f>Register!#REF!</f>
        <v>#REF!</v>
      </c>
    </row>
    <row r="16" spans="1:10" ht="13.8" x14ac:dyDescent="0.25">
      <c r="A16" s="440" t="str">
        <f>Register!A16</f>
        <v>3. GENDER EQUALITY</v>
      </c>
      <c r="B16" s="441"/>
      <c r="C16" s="326" t="str">
        <f>Register!C22</f>
        <v>Substantial</v>
      </c>
      <c r="D16" s="311">
        <f>Register!B22</f>
        <v>2.5100000000000002</v>
      </c>
      <c r="E16" s="312" t="str">
        <f>Register!D22</f>
        <v>↑</v>
      </c>
      <c r="F16" s="22" t="str">
        <f>Register!I22</f>
        <v>Not at all</v>
      </c>
      <c r="G16" s="317">
        <f>Register!H22</f>
        <v>0</v>
      </c>
      <c r="I16" s="221" t="e">
        <f>Register!#REF!</f>
        <v>#REF!</v>
      </c>
    </row>
    <row r="17" spans="1:9" ht="13.8" x14ac:dyDescent="0.25">
      <c r="A17" s="442" t="str">
        <f>Register!A23</f>
        <v>4. FOOD AND NUTRITION SECURITY</v>
      </c>
      <c r="B17" s="443"/>
      <c r="C17" s="326" t="str">
        <f>Register!C28</f>
        <v>Moderate/Low</v>
      </c>
      <c r="D17" s="311">
        <f>Register!B28</f>
        <v>2.25</v>
      </c>
      <c r="E17" s="312" t="str">
        <f>Register!D28</f>
        <v>↑</v>
      </c>
      <c r="F17" s="22" t="str">
        <f>Register!I28</f>
        <v>Not at all</v>
      </c>
      <c r="G17" s="317">
        <f>Register!H28</f>
        <v>0</v>
      </c>
      <c r="I17" s="221" t="e">
        <f>Register!#REF!</f>
        <v>#REF!</v>
      </c>
    </row>
    <row r="18" spans="1:9" ht="13.8" x14ac:dyDescent="0.25">
      <c r="A18" s="452" t="str">
        <f>Register!A29</f>
        <v>5. SOCIAL CAPITAL</v>
      </c>
      <c r="B18" s="453"/>
      <c r="C18" s="326" t="str">
        <f>Register!C33</f>
        <v>Moderate/Low</v>
      </c>
      <c r="D18" s="313">
        <f>Register!B33</f>
        <v>2.3611111111111112</v>
      </c>
      <c r="E18" s="312" t="str">
        <f>Register!D33</f>
        <v>↑</v>
      </c>
      <c r="F18" s="303" t="str">
        <f>Register!I33</f>
        <v>Not at all</v>
      </c>
      <c r="G18" s="317">
        <f>Register!H33</f>
        <v>0</v>
      </c>
      <c r="I18" s="302"/>
    </row>
    <row r="19" spans="1:9" ht="14.4" thickBot="1" x14ac:dyDescent="0.3">
      <c r="A19" s="444" t="str">
        <f>Register!A34</f>
        <v>6. LIVING CONDITIONS</v>
      </c>
      <c r="B19" s="445"/>
      <c r="C19" s="327" t="str">
        <f>Register!C39</f>
        <v>Moderate/Low</v>
      </c>
      <c r="D19" s="314">
        <f>Register!B39</f>
        <v>1.5833333333333335</v>
      </c>
      <c r="E19" s="315" t="str">
        <f>Register!D39</f>
        <v>↑</v>
      </c>
      <c r="F19" s="23" t="str">
        <f>Register!I39</f>
        <v>Not at all</v>
      </c>
      <c r="G19" s="318">
        <f>Register!H39</f>
        <v>0</v>
      </c>
      <c r="I19" s="222" t="e">
        <f>Register!#REF!</f>
        <v>#REF!</v>
      </c>
    </row>
    <row r="20" spans="1:9" s="25" customFormat="1" ht="9" customHeight="1" thickBot="1" x14ac:dyDescent="0.3">
      <c r="A20" s="24"/>
      <c r="E20"/>
      <c r="F20"/>
      <c r="G20" s="14"/>
      <c r="I20" s="223" t="e">
        <f>AVERAGE(I14:I19)</f>
        <v>#REF!</v>
      </c>
    </row>
    <row r="21" spans="1:9" ht="13.8" thickBot="1" x14ac:dyDescent="0.3">
      <c r="A21" s="433" t="s">
        <v>8</v>
      </c>
      <c r="B21" s="434"/>
      <c r="C21" s="434"/>
      <c r="D21" s="434"/>
      <c r="E21" s="434"/>
      <c r="F21" s="434"/>
      <c r="G21" s="435"/>
    </row>
    <row r="22" spans="1:9" ht="107.25" customHeight="1" thickBot="1" x14ac:dyDescent="0.3">
      <c r="A22" s="412"/>
      <c r="B22" s="413"/>
      <c r="C22" s="413"/>
      <c r="D22" s="413"/>
      <c r="E22" s="413"/>
      <c r="F22" s="413"/>
      <c r="G22" s="414"/>
    </row>
    <row r="23" spans="1:9" ht="7.5" customHeight="1" thickBot="1" x14ac:dyDescent="0.3">
      <c r="A23" s="13"/>
      <c r="G23" s="14"/>
    </row>
    <row r="24" spans="1:9" ht="13.8" thickBot="1" x14ac:dyDescent="0.3">
      <c r="A24" s="415" t="s">
        <v>85</v>
      </c>
      <c r="B24" s="416"/>
      <c r="C24" s="416"/>
      <c r="D24" s="423"/>
      <c r="E24" s="423"/>
      <c r="F24" s="423"/>
      <c r="G24" s="424"/>
    </row>
    <row r="25" spans="1:9" ht="105.75" customHeight="1" thickBot="1" x14ac:dyDescent="0.3">
      <c r="A25" s="412"/>
      <c r="B25" s="418"/>
      <c r="C25" s="418"/>
      <c r="D25" s="418"/>
      <c r="E25" s="418"/>
      <c r="F25" s="418"/>
      <c r="G25" s="419"/>
    </row>
    <row r="26" spans="1:9" ht="13.8" thickBot="1" x14ac:dyDescent="0.3">
      <c r="A26" s="415" t="s">
        <v>86</v>
      </c>
      <c r="B26" s="416"/>
      <c r="C26" s="416"/>
      <c r="D26" s="416"/>
      <c r="E26" s="416"/>
      <c r="F26" s="416"/>
      <c r="G26" s="417"/>
    </row>
    <row r="27" spans="1:9" ht="83.25" customHeight="1" thickBot="1" x14ac:dyDescent="0.3">
      <c r="A27" s="420"/>
      <c r="B27" s="421"/>
      <c r="C27" s="421"/>
      <c r="D27" s="421"/>
      <c r="E27" s="421"/>
      <c r="F27" s="421"/>
      <c r="G27" s="422"/>
    </row>
    <row r="28" spans="1:9" ht="13.8" thickBot="1" x14ac:dyDescent="0.3">
      <c r="A28" s="415" t="s">
        <v>17</v>
      </c>
      <c r="B28" s="416"/>
      <c r="C28" s="416"/>
      <c r="D28" s="416"/>
      <c r="E28" s="416"/>
      <c r="F28" s="416"/>
      <c r="G28" s="417"/>
    </row>
    <row r="29" spans="1:9" ht="83.25" customHeight="1" thickBot="1" x14ac:dyDescent="0.3">
      <c r="A29" s="412"/>
      <c r="B29" s="413"/>
      <c r="C29" s="413"/>
      <c r="D29" s="413"/>
      <c r="E29" s="413"/>
      <c r="F29" s="413"/>
      <c r="G29" s="414"/>
    </row>
  </sheetData>
  <sheetProtection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147" priority="1" operator="equal">
      <formula>"High"</formula>
    </cfRule>
    <cfRule type="cellIs" dxfId="146" priority="2" operator="equal">
      <formula>"Substantial"</formula>
    </cfRule>
    <cfRule type="cellIs" dxfId="145" priority="3" operator="equal">
      <formula>"Moderate"</formula>
    </cfRule>
    <cfRule type="cellIs" dxfId="144"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tabSelected="1" zoomScale="60" zoomScaleNormal="60" zoomScaleSheetLayoutView="100" workbookViewId="0">
      <pane ySplit="4" topLeftCell="A36" activePane="bottomLeft" state="frozen"/>
      <selection pane="bottomLeft" activeCell="E37" sqref="E37"/>
    </sheetView>
  </sheetViews>
  <sheetFormatPr defaultColWidth="8.77734375" defaultRowHeight="13.2" x14ac:dyDescent="0.25"/>
  <cols>
    <col min="1" max="1" width="36.77734375" customWidth="1"/>
    <col min="2" max="2" width="10.21875" style="270" customWidth="1"/>
    <col min="3" max="3" width="15.21875" style="25" customWidth="1"/>
    <col min="4" max="4" width="6.21875" style="25" customWidth="1"/>
    <col min="5" max="5" width="66.44140625" customWidth="1"/>
    <col min="6" max="7" width="39.21875" customWidth="1"/>
    <col min="8" max="8" width="6" style="270"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461" t="str">
        <f>Profile!F1</f>
        <v>Cassava</v>
      </c>
      <c r="B1" s="462"/>
      <c r="C1" s="362" t="s">
        <v>22</v>
      </c>
      <c r="D1" s="457" t="str">
        <f>Profile!E2</f>
        <v>Cameroon</v>
      </c>
      <c r="E1" s="458"/>
      <c r="F1" s="360" t="s">
        <v>26</v>
      </c>
      <c r="G1" s="361">
        <f>Profile!B3</f>
        <v>46130</v>
      </c>
      <c r="H1" s="459" t="s">
        <v>76</v>
      </c>
      <c r="I1" s="460"/>
      <c r="M1" s="106"/>
    </row>
    <row r="2" spans="1:15" s="105" customFormat="1" ht="10.5" customHeight="1" x14ac:dyDescent="0.25">
      <c r="A2" s="465" t="s">
        <v>9</v>
      </c>
      <c r="B2" s="477" t="s">
        <v>84</v>
      </c>
      <c r="C2" s="480" t="s">
        <v>83</v>
      </c>
      <c r="D2" s="468" t="s">
        <v>7</v>
      </c>
      <c r="E2" s="474" t="s">
        <v>10</v>
      </c>
      <c r="F2" s="468" t="s">
        <v>18</v>
      </c>
      <c r="G2" s="471" t="s">
        <v>82</v>
      </c>
      <c r="H2" s="459" t="s">
        <v>78</v>
      </c>
      <c r="I2" s="460"/>
      <c r="M2" s="106"/>
    </row>
    <row r="3" spans="1:15" s="106" customFormat="1" ht="13.5" customHeight="1" thickBot="1" x14ac:dyDescent="0.3">
      <c r="A3" s="466"/>
      <c r="B3" s="478"/>
      <c r="C3" s="481"/>
      <c r="D3" s="469"/>
      <c r="E3" s="475"/>
      <c r="F3" s="469"/>
      <c r="G3" s="472"/>
      <c r="H3" s="463" t="s">
        <v>77</v>
      </c>
      <c r="I3" s="464"/>
      <c r="L3" s="107" t="str">
        <f>Questionnaire!$N$3</f>
        <v>High</v>
      </c>
      <c r="M3" s="106" t="s">
        <v>20</v>
      </c>
    </row>
    <row r="4" spans="1:15" s="108" customFormat="1" ht="13.8" thickBot="1" x14ac:dyDescent="0.3">
      <c r="A4" s="467"/>
      <c r="B4" s="479"/>
      <c r="C4" s="482"/>
      <c r="D4" s="470"/>
      <c r="E4" s="476"/>
      <c r="F4" s="470"/>
      <c r="G4" s="473"/>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4"/>
      <c r="L5" s="107" t="str">
        <f>Questionnaire!$N$5</f>
        <v>Moderate/Low</v>
      </c>
      <c r="M5" s="106" t="s">
        <v>21</v>
      </c>
    </row>
    <row r="6" spans="1:15" s="109" customFormat="1" ht="165.6" x14ac:dyDescent="0.25">
      <c r="A6" s="56" t="str">
        <f>Questionnaire!$A$4</f>
        <v>1.1 Respect of labour rights</v>
      </c>
      <c r="B6" s="328">
        <f>Questionnaire!J10</f>
        <v>2.4</v>
      </c>
      <c r="C6" s="329" t="str">
        <f>IF(B6&lt;1.5,$L$6,IF(B6&lt;2.5,$L$5,IF(B6&lt;3.5,$L$4,IF(B6&lt;4.5,$L$3,"n/a"))))</f>
        <v>Moderate/Low</v>
      </c>
      <c r="D6" s="330" t="str">
        <f>IF(H6&lt;B6,"↑",IF(H6&gt;B6,"↓","↔"))</f>
        <v>↑</v>
      </c>
      <c r="E6" s="2" t="s">
        <v>298</v>
      </c>
      <c r="F6" s="1" t="s">
        <v>299</v>
      </c>
      <c r="G6" s="1" t="s">
        <v>300</v>
      </c>
      <c r="H6" s="231">
        <v>0</v>
      </c>
      <c r="I6" s="273" t="str">
        <f>IF(H6&lt;1.5,$L$6,IF(H6&lt;2.5,$L$5,IF(H6&lt;3.5,$L$4,IF(H6&lt;4.5,$L$3,"n/a"))))</f>
        <v>Not at all</v>
      </c>
      <c r="K6" s="109" t="s">
        <v>11</v>
      </c>
      <c r="L6" s="107" t="str">
        <f>Questionnaire!$N$6</f>
        <v>Not at all</v>
      </c>
      <c r="M6" s="109" t="s">
        <v>4</v>
      </c>
    </row>
    <row r="7" spans="1:15" s="109" customFormat="1" ht="82.8" x14ac:dyDescent="0.25">
      <c r="A7" s="57" t="str">
        <f>Questionnaire!$A$11</f>
        <v>1.2 Child Labour</v>
      </c>
      <c r="B7" s="331">
        <f>Questionnaire!J14</f>
        <v>2.5</v>
      </c>
      <c r="C7" s="332" t="str">
        <f>IF(B7&lt;1.5,$L$6,IF(B7&lt;2.5,$L$5,IF(B7&lt;3.5,$L$4,IF(B7&lt;4.5,$L$3,"n/a"))))</f>
        <v>Substantial</v>
      </c>
      <c r="D7" s="333" t="str">
        <f>IF(H7&lt;B7,"↑",IF(H7&gt;B7,"↓","↔"))</f>
        <v>↑</v>
      </c>
      <c r="E7" s="3" t="s">
        <v>306</v>
      </c>
      <c r="F7" s="3" t="s">
        <v>307</v>
      </c>
      <c r="G7" s="3" t="s">
        <v>308</v>
      </c>
      <c r="H7" s="232">
        <v>0</v>
      </c>
      <c r="I7" s="273" t="str">
        <f>IF(H7&lt;1.5,$L$6,IF(H7&lt;2.5,$L$5,IF(H7&lt;3.5,$L$4,IF(H7&lt;4.5,$L$3,"n/a"))))</f>
        <v>Not at all</v>
      </c>
      <c r="K7" s="109" t="s">
        <v>12</v>
      </c>
      <c r="L7" s="107" t="str">
        <f>Questionnaire!$N$7</f>
        <v>n/a</v>
      </c>
    </row>
    <row r="8" spans="1:15" s="109" customFormat="1" ht="110.4" x14ac:dyDescent="0.25">
      <c r="A8" s="57" t="str">
        <f>Questionnaire!$A$15</f>
        <v>1.3 Job safety</v>
      </c>
      <c r="B8" s="331">
        <f>Questionnaire!J17</f>
        <v>2</v>
      </c>
      <c r="C8" s="334" t="str">
        <f>IF(B8&lt;1.5,$L$6,IF(B8&lt;2.5,$L$5,IF(B8&lt;3.5,$L$4,IF(B8&lt;4.5,$L$3,"n/a"))))</f>
        <v>Moderate/Low</v>
      </c>
      <c r="D8" s="333" t="str">
        <f>IF(H8&lt;B8,"↑",IF(H8&gt;B8,"↓","↔"))</f>
        <v>↑</v>
      </c>
      <c r="E8" s="3" t="s">
        <v>309</v>
      </c>
      <c r="F8" s="3" t="s">
        <v>310</v>
      </c>
      <c r="G8" s="3" t="s">
        <v>311</v>
      </c>
      <c r="H8" s="232">
        <v>0</v>
      </c>
      <c r="I8" s="273" t="str">
        <f>IF(H8&lt;1.5,$L$6,IF(H8&lt;2.5,$L$5,IF(H8&lt;3.5,$L$4,IF(H8&lt;4.5,$L$3,"n/a"))))</f>
        <v>Not at all</v>
      </c>
      <c r="K8" s="109" t="s">
        <v>13</v>
      </c>
      <c r="L8" s="107"/>
    </row>
    <row r="9" spans="1:15" s="109" customFormat="1" ht="124.8" thickBot="1" x14ac:dyDescent="0.3">
      <c r="A9" s="58" t="str">
        <f>Questionnaire!$A$18</f>
        <v>1.4 Attractiveness</v>
      </c>
      <c r="B9" s="335">
        <f>Questionnaire!J21</f>
        <v>2</v>
      </c>
      <c r="C9" s="332" t="str">
        <f>IF(B9&lt;1.5,$L$6,IF(B9&lt;2.5,$L$5,IF(B9&lt;3.5,$L$4,IF(B9&lt;4.5,$L$3,"n/a"))))</f>
        <v>Moderate/Low</v>
      </c>
      <c r="D9" s="336" t="str">
        <f>IF(H9&lt;B9,"↑",IF(H9&gt;B9,"↓","↔"))</f>
        <v>↑</v>
      </c>
      <c r="E9" s="4" t="s">
        <v>312</v>
      </c>
      <c r="F9" s="4" t="s">
        <v>313</v>
      </c>
      <c r="G9" s="4" t="s">
        <v>314</v>
      </c>
      <c r="H9" s="233">
        <v>0</v>
      </c>
      <c r="I9" s="244" t="str">
        <f>IF(H9&lt;1.5,$L$6,IF(H9&lt;2.5,$L$5,IF(H9&lt;3.5,$L$4,IF(H9&lt;4.5,$L$3,"n/a"))))</f>
        <v>Not at all</v>
      </c>
      <c r="L9" s="107"/>
    </row>
    <row r="10" spans="1:15" s="109" customFormat="1" ht="18" customHeight="1" thickTop="1" thickBot="1" x14ac:dyDescent="0.3">
      <c r="A10" s="59" t="s">
        <v>14</v>
      </c>
      <c r="B10" s="337">
        <f>IF(COUNT(B6:B9)=0,"n/a",(AVERAGE(B6:B9)))</f>
        <v>2.2250000000000001</v>
      </c>
      <c r="C10" s="394" t="str">
        <f>IF(B10&lt;1.5,$L$6,IF(B10&lt;2.5,$L$5,IF(B10&lt;3.5,$L$4,IF(B10&lt;4.5,$L$3,"n/a"))))</f>
        <v>Moderate/Low</v>
      </c>
      <c r="D10" s="338" t="str">
        <f>IF(H10&lt;B10,"↑",IF(H10&gt;B10,"↓","↔"))</f>
        <v>↑</v>
      </c>
      <c r="E10" s="11"/>
      <c r="F10" s="110"/>
      <c r="G10" s="110"/>
      <c r="H10" s="12">
        <f>AVERAGE(H6:H9)</f>
        <v>0</v>
      </c>
      <c r="I10" s="272" t="str">
        <f>IF(H10&lt;1.5,$L$6,IF(H10&lt;2.5,$L$5,IF(H10&lt;3.5,$L$4,IF(H10&lt;4.5,$L$3,"n/a"))))</f>
        <v>Not at all</v>
      </c>
      <c r="O10" s="280"/>
    </row>
    <row r="11" spans="1:15" s="109" customFormat="1" ht="15" customHeight="1" thickBot="1" x14ac:dyDescent="0.3">
      <c r="A11" s="60" t="str">
        <f>Questionnaire!$A$22</f>
        <v>2. LAND &amp; WATER RIGHTS</v>
      </c>
      <c r="B11" s="339"/>
      <c r="C11" s="339"/>
      <c r="D11" s="340"/>
      <c r="E11" s="61"/>
      <c r="F11" s="61"/>
      <c r="G11" s="61"/>
      <c r="H11" s="61"/>
      <c r="I11" s="275"/>
    </row>
    <row r="12" spans="1:15" s="109" customFormat="1" ht="112.8" customHeight="1" x14ac:dyDescent="0.25">
      <c r="A12" s="62" t="str">
        <f>Questionnaire!$A$23</f>
        <v xml:space="preserve">2.1 Adherence to VGGT </v>
      </c>
      <c r="B12" s="341">
        <f>Questionnaire!J26</f>
        <v>1.5</v>
      </c>
      <c r="C12" s="342" t="str">
        <f>IF(B12&lt;1.5,$L$6,IF(B12&lt;2.5,$L$5,IF(B12&lt;3.5,$L$4,IF(B12&lt;4.5,$L$3,"n/a"))))</f>
        <v>Moderate/Low</v>
      </c>
      <c r="D12" s="333" t="str">
        <f>IF(H12&lt;B12,"↑",IF(H12&gt;B12,"↓","↔"))</f>
        <v>↑</v>
      </c>
      <c r="E12" s="5" t="s">
        <v>317</v>
      </c>
      <c r="F12" s="1" t="s">
        <v>318</v>
      </c>
      <c r="G12" s="1" t="s">
        <v>319</v>
      </c>
      <c r="H12" s="231">
        <v>0</v>
      </c>
      <c r="I12" s="273" t="str">
        <f>IF(H12&lt;1.5,$L$6,IF(H12&lt;2.5,$L$5,IF(H12&lt;3.5,$L$4,IF(H12&lt;4.5,$L$3,"n/a"))))</f>
        <v>Not at all</v>
      </c>
    </row>
    <row r="13" spans="1:15" s="109" customFormat="1" ht="170.4" customHeight="1" x14ac:dyDescent="0.25">
      <c r="A13" s="63" t="str">
        <f>Questionnaire!$A$27</f>
        <v>2.2 Transparency, participation and consultation</v>
      </c>
      <c r="B13" s="343">
        <f>Questionnaire!J32</f>
        <v>2</v>
      </c>
      <c r="C13" s="334" t="str">
        <f>IF(B13&lt;1.5,$L$6,IF(B13&lt;2.5,$L$5,IF(B13&lt;3.5,$L$4,IF(B13&lt;4.5,$L$3,"n/a"))))</f>
        <v>Moderate/Low</v>
      </c>
      <c r="D13" s="333" t="str">
        <f>IF(H13&lt;B13,"↑",IF(H13&gt;B13,"↓","↔"))</f>
        <v>↑</v>
      </c>
      <c r="E13" s="6" t="s">
        <v>320</v>
      </c>
      <c r="F13" s="3" t="s">
        <v>321</v>
      </c>
      <c r="G13" s="3" t="s">
        <v>322</v>
      </c>
      <c r="H13" s="232">
        <v>0</v>
      </c>
      <c r="I13" s="273" t="str">
        <f>IF(H13&lt;1.5,$L$6,IF(H13&lt;2.5,$L$5,IF(H13&lt;3.5,$L$4,IF(H13&lt;4.5,$L$3,"n/a"))))</f>
        <v>Not at all</v>
      </c>
    </row>
    <row r="14" spans="1:15" s="109" customFormat="1" ht="121.8" customHeight="1" thickBot="1" x14ac:dyDescent="0.3">
      <c r="A14" s="64" t="str">
        <f>Questionnaire!$A$33</f>
        <v>2.3  Equity,compensation and justice</v>
      </c>
      <c r="B14" s="344">
        <f>Questionnaire!J38</f>
        <v>2.25</v>
      </c>
      <c r="C14" s="332" t="str">
        <f>IF(B14&lt;1.5,$L$6,IF(B14&lt;2.5,$L$5,IF(B14&lt;3.5,$L$4,IF(B14&lt;4.5,$L$3,"n/a"))))</f>
        <v>Moderate/Low</v>
      </c>
      <c r="D14" s="336" t="str">
        <f>IF(H14&lt;B14,"↑",IF(H14&gt;B14,"↓","↔"))</f>
        <v>↑</v>
      </c>
      <c r="E14" s="7" t="s">
        <v>323</v>
      </c>
      <c r="F14" s="4" t="s">
        <v>324</v>
      </c>
      <c r="G14" s="4" t="s">
        <v>325</v>
      </c>
      <c r="H14" s="233">
        <v>0</v>
      </c>
      <c r="I14" s="244" t="str">
        <f>IF(H14&lt;1.5,$L$6,IF(H14&lt;2.5,$L$5,IF(H14&lt;3.5,$L$4,IF(H14&lt;4.5,$L$3,"n/a"))))</f>
        <v>Not at all</v>
      </c>
    </row>
    <row r="15" spans="1:15" s="106" customFormat="1" ht="14.4" thickTop="1" thickBot="1" x14ac:dyDescent="0.3">
      <c r="A15" s="65" t="s">
        <v>14</v>
      </c>
      <c r="B15" s="345">
        <f>IF(COUNT(B12:B14)=0,"n/a",(AVERAGE(B12:B14)))</f>
        <v>1.9166666666666667</v>
      </c>
      <c r="C15" s="346" t="str">
        <f>IF(B15&lt;1.5,$L$6,IF(B15&lt;2.5,$L$5,IF(B15&lt;3.5,$L$4,IF(B15&lt;4.5,$L$3,"n/a"))))</f>
        <v>Moderate/Low</v>
      </c>
      <c r="D15" s="338" t="str">
        <f>IF(H15&lt;B15,"↑",IF(H15&gt;B15,"↓","↔"))</f>
        <v>↑</v>
      </c>
      <c r="E15" s="110"/>
      <c r="F15" s="110"/>
      <c r="G15" s="110"/>
      <c r="H15" s="10">
        <f>AVERAGE(H12:H14)</f>
        <v>0</v>
      </c>
      <c r="I15" s="272" t="str">
        <f>IF(H15&lt;1.5,$L$6,IF(H15&lt;2.5,$L$5,IF(H15&lt;3.5,$L$4,IF(H15&lt;4.5,$L$3,"n/a"))))</f>
        <v>Not at all</v>
      </c>
    </row>
    <row r="16" spans="1:15" s="109" customFormat="1" ht="15" customHeight="1" thickBot="1" x14ac:dyDescent="0.3">
      <c r="A16" s="66" t="str">
        <f>Questionnaire!$A$39</f>
        <v>3. GENDER EQUALITY</v>
      </c>
      <c r="B16" s="339"/>
      <c r="C16" s="339"/>
      <c r="D16" s="339"/>
      <c r="E16" s="67"/>
      <c r="F16" s="67"/>
      <c r="G16" s="67"/>
      <c r="H16" s="67"/>
      <c r="I16" s="276"/>
    </row>
    <row r="17" spans="1:9" s="109" customFormat="1" ht="179.4" x14ac:dyDescent="0.25">
      <c r="A17" s="68" t="str">
        <f>Questionnaire!$A$40</f>
        <v>3.1 Economic activities</v>
      </c>
      <c r="B17" s="341">
        <f>Questionnaire!J43</f>
        <v>3</v>
      </c>
      <c r="C17" s="342" t="str">
        <f t="shared" ref="C17:C22" si="0">IF(B17&lt;1.5,$L$6,IF(B17&lt;2.5,$L$5,IF(B17&lt;3.5,$L$4,IF(B17&lt;4.5,$L$3,"n/a"))))</f>
        <v>Substantial</v>
      </c>
      <c r="D17" s="333" t="str">
        <f>IF(H17&lt;B17,"↑",IF(H17&gt;B17,"↓","↔"))</f>
        <v>↑</v>
      </c>
      <c r="E17" s="5" t="s">
        <v>333</v>
      </c>
      <c r="F17" s="1" t="s">
        <v>334</v>
      </c>
      <c r="G17" s="1" t="s">
        <v>335</v>
      </c>
      <c r="H17" s="231">
        <v>0</v>
      </c>
      <c r="I17" s="273" t="str">
        <f t="shared" ref="I17:I22" si="1">IF(H17&lt;1.5,$L$6,IF(H17&lt;2.5,$L$5,IF(H17&lt;3.5,$L$4,IF(H17&lt;4.5,$L$3,"n/a"))))</f>
        <v>Not at all</v>
      </c>
    </row>
    <row r="18" spans="1:9" s="109" customFormat="1" ht="151.80000000000001" x14ac:dyDescent="0.25">
      <c r="A18" s="68" t="str">
        <f>Questionnaire!$A$44</f>
        <v>3.2 Access to resources and services</v>
      </c>
      <c r="B18" s="343">
        <f>Questionnaire!J49</f>
        <v>1.75</v>
      </c>
      <c r="C18" s="347" t="str">
        <f t="shared" si="0"/>
        <v>Moderate/Low</v>
      </c>
      <c r="D18" s="333" t="str">
        <f t="shared" ref="D18:D20" si="2">IF(H18&lt;B18,"↑",IF(H18&gt;B18,"↓","↔"))</f>
        <v>↑</v>
      </c>
      <c r="E18" s="6" t="s">
        <v>336</v>
      </c>
      <c r="F18" s="3" t="s">
        <v>337</v>
      </c>
      <c r="G18" s="3" t="s">
        <v>338</v>
      </c>
      <c r="H18" s="232">
        <v>0</v>
      </c>
      <c r="I18" s="273" t="str">
        <f t="shared" si="1"/>
        <v>Not at all</v>
      </c>
    </row>
    <row r="19" spans="1:9" s="109" customFormat="1" ht="138" x14ac:dyDescent="0.25">
      <c r="A19" s="68" t="str">
        <f>Questionnaire!$A$50</f>
        <v>3.3 Decision making</v>
      </c>
      <c r="B19" s="343">
        <f>Questionnaire!J56</f>
        <v>2.8</v>
      </c>
      <c r="C19" s="334" t="str">
        <f t="shared" si="0"/>
        <v>Substantial</v>
      </c>
      <c r="D19" s="348" t="str">
        <f t="shared" si="2"/>
        <v>↑</v>
      </c>
      <c r="E19" s="236" t="s">
        <v>339</v>
      </c>
      <c r="F19" s="3" t="s">
        <v>340</v>
      </c>
      <c r="G19" s="237" t="s">
        <v>341</v>
      </c>
      <c r="H19" s="235">
        <v>0</v>
      </c>
      <c r="I19" s="273" t="str">
        <f t="shared" si="1"/>
        <v>Not at all</v>
      </c>
    </row>
    <row r="20" spans="1:9" s="109" customFormat="1" ht="138" x14ac:dyDescent="0.25">
      <c r="A20" s="68" t="str">
        <f>Questionnaire!$A$57</f>
        <v>3.4 Leadership and empowerment</v>
      </c>
      <c r="B20" s="343">
        <f>Questionnaire!J62</f>
        <v>3</v>
      </c>
      <c r="C20" s="332" t="str">
        <f t="shared" si="0"/>
        <v>Substantial</v>
      </c>
      <c r="D20" s="333" t="str">
        <f t="shared" si="2"/>
        <v>↑</v>
      </c>
      <c r="E20" s="82" t="s">
        <v>342</v>
      </c>
      <c r="F20" s="83" t="s">
        <v>343</v>
      </c>
      <c r="G20" s="83" t="s">
        <v>344</v>
      </c>
      <c r="H20" s="232">
        <v>0</v>
      </c>
      <c r="I20" s="273" t="str">
        <f t="shared" si="1"/>
        <v>Not at all</v>
      </c>
    </row>
    <row r="21" spans="1:9" s="109" customFormat="1" ht="138.6" thickBot="1" x14ac:dyDescent="0.3">
      <c r="A21" s="69" t="str">
        <f>Questionnaire!$A$63</f>
        <v>3.5 Hardship and division of labour</v>
      </c>
      <c r="B21" s="344">
        <f>Questionnaire!J66</f>
        <v>2</v>
      </c>
      <c r="C21" s="349" t="str">
        <f t="shared" si="0"/>
        <v>Moderate/Low</v>
      </c>
      <c r="D21" s="336" t="str">
        <f>IF(H21&lt;B21,"↑",IF(H21&gt;B21,"↓","↔"))</f>
        <v>↑</v>
      </c>
      <c r="E21" s="7" t="s">
        <v>345</v>
      </c>
      <c r="F21" s="4" t="s">
        <v>346</v>
      </c>
      <c r="G21" s="4" t="s">
        <v>347</v>
      </c>
      <c r="H21" s="233">
        <v>0</v>
      </c>
      <c r="I21" s="244" t="str">
        <f t="shared" si="1"/>
        <v>Not at all</v>
      </c>
    </row>
    <row r="22" spans="1:9" s="106" customFormat="1" ht="14.4" thickTop="1" thickBot="1" x14ac:dyDescent="0.3">
      <c r="A22" s="81" t="s">
        <v>14</v>
      </c>
      <c r="B22" s="345">
        <f>IF(COUNT(B17:B21)=0,"n/a",(AVERAGE(B17:B21)))</f>
        <v>2.5100000000000002</v>
      </c>
      <c r="C22" s="350" t="str">
        <f t="shared" si="0"/>
        <v>Substantial</v>
      </c>
      <c r="D22" s="338" t="str">
        <f>IF(H22&lt;B22,"↑",IF(H22&gt;B22,"↓","↔"))</f>
        <v>↑</v>
      </c>
      <c r="E22" s="110"/>
      <c r="F22" s="110"/>
      <c r="G22" s="110"/>
      <c r="H22" s="10">
        <f>AVERAGE(H17:H21)</f>
        <v>0</v>
      </c>
      <c r="I22" s="272" t="str">
        <f t="shared" si="1"/>
        <v>Not at all</v>
      </c>
    </row>
    <row r="23" spans="1:9" s="109" customFormat="1" ht="15" customHeight="1" thickBot="1" x14ac:dyDescent="0.3">
      <c r="A23" s="52" t="str">
        <f>Questionnaire!$A$67</f>
        <v>4. FOOD AND NUTRITION SECURITY</v>
      </c>
      <c r="B23" s="339"/>
      <c r="C23" s="339"/>
      <c r="D23" s="339"/>
      <c r="E23" s="70"/>
      <c r="F23" s="70"/>
      <c r="G23" s="70"/>
      <c r="H23" s="70"/>
      <c r="I23" s="277"/>
    </row>
    <row r="24" spans="1:9" s="109" customFormat="1" ht="144.6" customHeight="1" x14ac:dyDescent="0.25">
      <c r="A24" s="71" t="str">
        <f>Questionnaire!$A$68</f>
        <v xml:space="preserve">4.1 Availability of food </v>
      </c>
      <c r="B24" s="341">
        <f>Questionnaire!J71</f>
        <v>3</v>
      </c>
      <c r="C24" s="342" t="str">
        <f>IF(B24&lt;1.5,$L$6,IF(B24&lt;2.5,$L$5,IF(B24&lt;3.5,$L$4,IF(B24&lt;4.5,$L$3,"n/a"))))</f>
        <v>Substantial</v>
      </c>
      <c r="D24" s="330" t="str">
        <f>IF(H24&lt;B24,"↑",IF(H24&gt;B24,"↓","↔"))</f>
        <v>↑</v>
      </c>
      <c r="E24" s="5" t="s">
        <v>356</v>
      </c>
      <c r="F24" s="1" t="s">
        <v>357</v>
      </c>
      <c r="G24" s="1" t="s">
        <v>358</v>
      </c>
      <c r="H24" s="231">
        <v>0</v>
      </c>
      <c r="I24" s="273" t="str">
        <f>IF(H24&lt;1.5,$L$6,IF(H24&lt;2.5,$L$5,IF(H24&lt;3.5,$L$4,IF(H24&lt;4.5,$L$3,"n/a"))))</f>
        <v>Not at all</v>
      </c>
    </row>
    <row r="25" spans="1:9" s="109" customFormat="1" ht="161.4" customHeight="1" x14ac:dyDescent="0.25">
      <c r="A25" s="72" t="str">
        <f>Questionnaire!$A$72</f>
        <v xml:space="preserve">4.2 Accessibility of food </v>
      </c>
      <c r="B25" s="343">
        <f>Questionnaire!J75</f>
        <v>2</v>
      </c>
      <c r="C25" s="334" t="str">
        <f>IF(B25&lt;1.5,$L$6,IF(B25&lt;2.5,$L$5,IF(B25&lt;3.5,$L$4,IF(B25&lt;4.5,$L$3,"n/a"))))</f>
        <v>Moderate/Low</v>
      </c>
      <c r="D25" s="333" t="str">
        <f>IF(H25&lt;B25,"↑",IF(H25&gt;B25,"↓","↔"))</f>
        <v>↑</v>
      </c>
      <c r="E25" s="6" t="s">
        <v>359</v>
      </c>
      <c r="F25" s="3" t="s">
        <v>360</v>
      </c>
      <c r="G25" s="3" t="s">
        <v>361</v>
      </c>
      <c r="H25" s="232">
        <v>0</v>
      </c>
      <c r="I25" s="273" t="str">
        <f>IF(H25&lt;1.5,$L$6,IF(H25&lt;2.5,$L$5,IF(H25&lt;3.5,$L$4,IF(H25&lt;4.5,$L$3,"n/a"))))</f>
        <v>Not at all</v>
      </c>
    </row>
    <row r="26" spans="1:9" s="109" customFormat="1" ht="207" x14ac:dyDescent="0.25">
      <c r="A26" s="73" t="str">
        <f>Questionnaire!$A$76</f>
        <v xml:space="preserve">4.3 Utilisation and nutritional adequacy </v>
      </c>
      <c r="B26" s="343">
        <f>Questionnaire!J80</f>
        <v>2</v>
      </c>
      <c r="C26" s="334" t="str">
        <f>IF(B26&lt;1.5,$L$6,IF(B26&lt;2.5,$L$5,IF(B26&lt;3.5,$L$4,IF(B26&lt;4.5,$L$3,"n/a"))))</f>
        <v>Moderate/Low</v>
      </c>
      <c r="D26" s="333" t="str">
        <f>IF(H26&lt;B26,"↑",IF(H26&gt;B26,"↓","↔"))</f>
        <v>↑</v>
      </c>
      <c r="E26" s="6" t="s">
        <v>362</v>
      </c>
      <c r="F26" s="3" t="s">
        <v>363</v>
      </c>
      <c r="G26" s="3" t="s">
        <v>364</v>
      </c>
      <c r="H26" s="232">
        <v>0</v>
      </c>
      <c r="I26" s="273" t="str">
        <f>IF(H26&lt;1.5,$L$6,IF(H26&lt;2.5,$L$5,IF(H26&lt;3.5,$L$4,IF(H26&lt;4.5,$L$3,"n/a"))))</f>
        <v>Not at all</v>
      </c>
    </row>
    <row r="27" spans="1:9" s="109" customFormat="1" ht="193.8" thickBot="1" x14ac:dyDescent="0.3">
      <c r="A27" s="74" t="str">
        <f>Questionnaire!$A$81</f>
        <v xml:space="preserve">4.4 Stability </v>
      </c>
      <c r="B27" s="344">
        <f>Questionnaire!J84</f>
        <v>2</v>
      </c>
      <c r="C27" s="332" t="str">
        <f>IF(B27&lt;1.5,$L$6,IF(B27&lt;2.5,$L$5,IF(B27&lt;3.5,$L$4,IF(B27&lt;4.5,$L$3,"n/a"))))</f>
        <v>Moderate/Low</v>
      </c>
      <c r="D27" s="336" t="str">
        <f>IF(H27&lt;B27,"↑",IF(H27&gt;B27,"↓","↔"))</f>
        <v>↑</v>
      </c>
      <c r="E27" s="7" t="s">
        <v>365</v>
      </c>
      <c r="F27" s="4" t="s">
        <v>366</v>
      </c>
      <c r="G27" s="4" t="s">
        <v>367</v>
      </c>
      <c r="H27" s="233">
        <v>0</v>
      </c>
      <c r="I27" s="244" t="str">
        <f>IF(H27&lt;1.5,$L$6,IF(H27&lt;2.5,$L$5,IF(H27&lt;3.5,$L$4,IF(H27&lt;4.5,$L$3,"n/a"))))</f>
        <v>Not at all</v>
      </c>
    </row>
    <row r="28" spans="1:9" s="106" customFormat="1" ht="14.4" thickTop="1" thickBot="1" x14ac:dyDescent="0.3">
      <c r="A28" s="75" t="s">
        <v>14</v>
      </c>
      <c r="B28" s="345">
        <f>IF(COUNT(B24:B27)=0,"n/a",(AVERAGE(B24:B27)))</f>
        <v>2.25</v>
      </c>
      <c r="C28" s="346" t="str">
        <f>IF(B28&lt;1.5,$L$6,IF(B28&lt;2.5,$L$5,IF(B28&lt;3.5,$L$4,IF(B28&lt;4.5,$L$3,"n/a"))))</f>
        <v>Moderate/Low</v>
      </c>
      <c r="D28" s="338" t="str">
        <f>IF(H28&lt;B28,"↑",IF(H28&gt;B28,"↓","↔"))</f>
        <v>↑</v>
      </c>
      <c r="E28" s="110"/>
      <c r="F28" s="110"/>
      <c r="G28" s="110"/>
      <c r="H28" s="10">
        <f>AVERAGE(H24:H27)</f>
        <v>0</v>
      </c>
      <c r="I28" s="272" t="str">
        <f>IF(H28&lt;1.5,$L$6,IF(H28&lt;2.5,$L$5,IF(H28&lt;3.5,$L$4,IF(H28&lt;4.5,$L$3,"n/a"))))</f>
        <v>Not at all</v>
      </c>
    </row>
    <row r="29" spans="1:9" s="106" customFormat="1" ht="13.8" thickBot="1" x14ac:dyDescent="0.3">
      <c r="A29" s="301" t="str">
        <f>Questionnaire!$A$85</f>
        <v>5. SOCIAL CAPITAL</v>
      </c>
      <c r="B29" s="351"/>
      <c r="C29" s="352"/>
      <c r="D29" s="352"/>
      <c r="E29" s="293"/>
      <c r="F29" s="293"/>
      <c r="G29" s="293"/>
      <c r="H29" s="294"/>
      <c r="I29" s="295"/>
    </row>
    <row r="30" spans="1:9" s="106" customFormat="1" ht="145.19999999999999" x14ac:dyDescent="0.25">
      <c r="A30" s="298" t="str">
        <f>Questionnaire!$A$86</f>
        <v>5.1 Strength of producer organisations</v>
      </c>
      <c r="B30" s="353">
        <f>Questionnaire!J91</f>
        <v>2.75</v>
      </c>
      <c r="C30" s="329" t="str">
        <f>IF(B30&lt;1.5,$L$6,IF(B30&lt;2.5,$L$5,IF(B30&lt;3.5,$L$4,IF(B30&lt;4.5,$L$3,"n/a"))))</f>
        <v>Substantial</v>
      </c>
      <c r="D30" s="330" t="str">
        <f t="shared" ref="D30:D32" si="3">IF(H30&lt;B30,"↑",IF(H30&gt;B30,"↓","↔"))</f>
        <v>↑</v>
      </c>
      <c r="E30" s="401" t="s">
        <v>377</v>
      </c>
      <c r="F30" s="402" t="s">
        <v>378</v>
      </c>
      <c r="G30" s="396" t="s">
        <v>379</v>
      </c>
      <c r="H30" s="231">
        <v>0</v>
      </c>
      <c r="I30" s="273" t="str">
        <f>IF(H30&lt;1.5,$L$6,IF(H30&lt;2.5,$L$5,IF(H30&lt;3.5,$L$4,IF(H30&lt;4.5,$L$3,"n/a"))))</f>
        <v>Not at all</v>
      </c>
    </row>
    <row r="31" spans="1:9" s="106" customFormat="1" ht="145.19999999999999" x14ac:dyDescent="0.25">
      <c r="A31" s="299" t="str">
        <f>Questionnaire!$A$92</f>
        <v>5.2 Information and confidence</v>
      </c>
      <c r="B31" s="354">
        <f>Questionnaire!J95</f>
        <v>2</v>
      </c>
      <c r="C31" s="334" t="str">
        <f>IF(B31&lt;1.5,$L$6,IF(B31&lt;2.5,$L$5,IF(B31&lt;3.5,$L$4,IF(B31&lt;4.5,$L$3,"n/a"))))</f>
        <v>Moderate/Low</v>
      </c>
      <c r="D31" s="347" t="str">
        <f t="shared" si="3"/>
        <v>↑</v>
      </c>
      <c r="E31" s="403" t="s">
        <v>380</v>
      </c>
      <c r="F31" s="404" t="s">
        <v>381</v>
      </c>
      <c r="G31" s="405" t="s">
        <v>382</v>
      </c>
      <c r="H31" s="231">
        <v>0</v>
      </c>
      <c r="I31" s="273" t="str">
        <f>IF(H31&lt;1.5,$L$6,IF(H31&lt;2.5,$L$5,IF(H31&lt;3.5,$L$4,IF(H31&lt;4.5,$L$3,"n/a"))))</f>
        <v>Not at all</v>
      </c>
    </row>
    <row r="32" spans="1:9" s="106" customFormat="1" ht="172.2" thickBot="1" x14ac:dyDescent="0.3">
      <c r="A32" s="300" t="str">
        <f>Questionnaire!$A$96</f>
        <v>5.3 Social involvement</v>
      </c>
      <c r="B32" s="355">
        <f>Questionnaire!J100</f>
        <v>2.3333333333333335</v>
      </c>
      <c r="C32" s="332" t="str">
        <f>IF(B32&lt;1.5,$L$6,IF(B32&lt;2.5,$L$5,IF(B32&lt;3.5,$L$4,IF(B32&lt;4.5,$L$3,"n/a"))))</f>
        <v>Moderate/Low</v>
      </c>
      <c r="D32" s="349" t="str">
        <f t="shared" si="3"/>
        <v>↑</v>
      </c>
      <c r="E32" s="406" t="s">
        <v>383</v>
      </c>
      <c r="F32" s="407" t="s">
        <v>384</v>
      </c>
      <c r="G32" s="397"/>
      <c r="H32" s="233">
        <v>0</v>
      </c>
      <c r="I32" s="240" t="str">
        <f>IF(H32&lt;1.5,$L$6,IF(H32&lt;2.5,$L$5,IF(H32&lt;3.5,$L$4,IF(H32&lt;4.5,$L$3,"n/a"))))</f>
        <v>Not at all</v>
      </c>
    </row>
    <row r="33" spans="1:9" s="106" customFormat="1" ht="14.4" thickTop="1" thickBot="1" x14ac:dyDescent="0.3">
      <c r="A33" s="296" t="s">
        <v>14</v>
      </c>
      <c r="B33" s="345">
        <f>IF(COUNT(B30:B32)=0,"n/a",(AVERAGE(B30:B32)))</f>
        <v>2.3611111111111112</v>
      </c>
      <c r="C33" s="346" t="str">
        <f>IF(B33&lt;1.5,$L$6,IF(B33&lt;2.5,$L$5,IF(B33&lt;3.5,$L$4,IF(B33&lt;4.5,$L$3,"n/a"))))</f>
        <v>Moderate/Low</v>
      </c>
      <c r="D33" s="338" t="str">
        <f>IF(H33&lt;B33,"↑",IF(H33&gt;B33,"↓","↔"))</f>
        <v>↑</v>
      </c>
      <c r="E33" s="110"/>
      <c r="F33" s="297"/>
      <c r="G33" s="110"/>
      <c r="H33" s="10">
        <f>AVERAGE(H30:H32)</f>
        <v>0</v>
      </c>
      <c r="I33" s="281" t="str">
        <f>IF(H33&lt;1.5,$L$6,IF(H33&lt;2.5,$L$5,IF(H33&lt;3.5,$L$4,IF(H33&lt;4.5,$L$3,"n/a"))))</f>
        <v>Not at all</v>
      </c>
    </row>
    <row r="34" spans="1:9" s="109" customFormat="1" ht="15" customHeight="1" thickBot="1" x14ac:dyDescent="0.3">
      <c r="A34" s="76" t="str">
        <f>Questionnaire!$A$101</f>
        <v>6. LIVING CONDITIONS</v>
      </c>
      <c r="B34" s="356"/>
      <c r="C34" s="357"/>
      <c r="D34" s="357"/>
      <c r="E34" s="78"/>
      <c r="F34" s="78"/>
      <c r="G34" s="78"/>
      <c r="H34" s="77"/>
      <c r="I34" s="278"/>
    </row>
    <row r="35" spans="1:9" s="109" customFormat="1" ht="142.80000000000001" customHeight="1" thickBot="1" x14ac:dyDescent="0.3">
      <c r="A35" s="241" t="str">
        <f>Questionnaire!$A$102</f>
        <v>6.1 Health services</v>
      </c>
      <c r="B35" s="358">
        <f>Questionnaire!J106</f>
        <v>2</v>
      </c>
      <c r="C35" s="342" t="str">
        <f>IF(B35&lt;1.5,$L$6,IF(B35&lt;2.5,$L$5,IF(B35&lt;3.5,$L$4,IF(B35&lt;4.5,$L$3,"n/a"))))</f>
        <v>Moderate/Low</v>
      </c>
      <c r="D35" s="359" t="str">
        <f>IF(H35&lt;B35,"↑",IF(H35&gt;B35,"↓","↔"))</f>
        <v>↑</v>
      </c>
      <c r="E35" s="5" t="s">
        <v>393</v>
      </c>
      <c r="F35" s="238" t="s">
        <v>394</v>
      </c>
      <c r="G35" s="5" t="s">
        <v>395</v>
      </c>
      <c r="H35" s="234">
        <v>0</v>
      </c>
      <c r="I35" s="273" t="str">
        <f>IF(H35&lt;1.5,$L$6,IF(H35&lt;2.5,$L$5,IF(H35&lt;3.5,$L$4,IF(H35&lt;4.5,$L$3,"n/a"))))</f>
        <v>Not at all</v>
      </c>
    </row>
    <row r="36" spans="1:9" s="109" customFormat="1" ht="131.4" customHeight="1" thickTop="1" thickBot="1" x14ac:dyDescent="0.3">
      <c r="A36" s="79" t="str">
        <f>Questionnaire!$A$107</f>
        <v>6.2 Housing</v>
      </c>
      <c r="B36" s="343">
        <f>Questionnaire!J110</f>
        <v>2</v>
      </c>
      <c r="C36" s="334" t="str">
        <f>IF(B36&lt;1.5,$L$6,IF(B36&lt;2.5,$L$5,IF(B36&lt;3.5,$L$4,IF(B36&lt;4.5,$L$3,"n/a"))))</f>
        <v>Moderate/Low</v>
      </c>
      <c r="D36" s="334" t="str">
        <f>IF(H36&lt;B36,"↑",IF(H36&gt;B36,"↓","↔"))</f>
        <v>↑</v>
      </c>
      <c r="E36" s="6" t="s">
        <v>396</v>
      </c>
      <c r="F36" s="239" t="s">
        <v>397</v>
      </c>
      <c r="G36" s="6" t="s">
        <v>398</v>
      </c>
      <c r="H36" s="234">
        <v>0</v>
      </c>
      <c r="I36" s="273" t="str">
        <f>IF(H36&lt;1.5,$L$6,IF(H36&lt;2.5,$L$5,IF(H36&lt;3.5,$L$4,IF(H36&lt;4.5,$L$3,"n/a"))))</f>
        <v>Not at all</v>
      </c>
    </row>
    <row r="37" spans="1:9" s="109" customFormat="1" ht="123.6" customHeight="1" thickTop="1" thickBot="1" x14ac:dyDescent="0.3">
      <c r="A37" s="242" t="str">
        <f>Questionnaire!$A$111</f>
        <v>6.3 Education and training</v>
      </c>
      <c r="B37" s="358">
        <f>Questionnaire!J115</f>
        <v>2.3333333333333335</v>
      </c>
      <c r="C37" s="334" t="str">
        <f>IF(B37&lt;1.5,$L$6,IF(B37&lt;2.5,$L$5,IF(B37&lt;3.5,$L$4,IF(B37&lt;4.5,$L$3,"n/a"))))</f>
        <v>Moderate/Low</v>
      </c>
      <c r="D37" s="359" t="str">
        <f>IF(H37&lt;B37,"↑",IF(H37&gt;B37,"↓","↔"))</f>
        <v>↑</v>
      </c>
      <c r="E37" s="6" t="s">
        <v>399</v>
      </c>
      <c r="F37" s="239" t="s">
        <v>400</v>
      </c>
      <c r="G37" s="6" t="s">
        <v>401</v>
      </c>
      <c r="H37" s="234">
        <v>0</v>
      </c>
      <c r="I37" s="273" t="str">
        <f>IF(H37&lt;1.5,$L$6,IF(H37&lt;2.5,$L$5,IF(H37&lt;3.5,$L$4,IF(H37&lt;4.5,$L$3,"n/a"))))</f>
        <v>Not at all</v>
      </c>
    </row>
    <row r="38" spans="1:9" s="109" customFormat="1" ht="15" customHeight="1" thickTop="1" thickBot="1" x14ac:dyDescent="0.3">
      <c r="A38" s="243">
        <f>Questionnaire!$A$116</f>
        <v>0</v>
      </c>
      <c r="B38" s="344">
        <f>Questionnaire!J120</f>
        <v>0</v>
      </c>
      <c r="C38" s="332" t="str">
        <f>IF(B38&lt;1.5,$L$6,IF(B38&lt;2.5,$L$5,IF(B38&lt;3.5,$L$4,IF(B38&lt;4.5,$L$3,"n/a"))))</f>
        <v>Not at all</v>
      </c>
      <c r="D38" s="349" t="str">
        <f>IF(H38&lt;B38,"↑",IF(H38&gt;B38,"↓","↔"))</f>
        <v>↔</v>
      </c>
      <c r="E38" s="8"/>
      <c r="F38" s="9"/>
      <c r="G38" s="9"/>
      <c r="H38" s="234">
        <v>0</v>
      </c>
      <c r="I38" s="244" t="str">
        <f>IF(H38&lt;1.5,$L$6,IF(H38&lt;2.5,$L$5,IF(H38&lt;3.5,$L$4,IF(H38&lt;4.5,$L$3,"n/a"))))</f>
        <v>Not at all</v>
      </c>
    </row>
    <row r="39" spans="1:9" s="106" customFormat="1" ht="14.4" thickTop="1" thickBot="1" x14ac:dyDescent="0.3">
      <c r="A39" s="80" t="s">
        <v>14</v>
      </c>
      <c r="B39" s="337">
        <f>IF(COUNT(B35:B38)=0,"n/a",(AVERAGE(B35:B38)))</f>
        <v>1.5833333333333335</v>
      </c>
      <c r="C39" s="346" t="str">
        <f>IF(B39&lt;1.5,$L$6,IF(B39&lt;2.5,$L$5,IF(B39&lt;3.5,$L$4,IF(B39&lt;4.5,$L$3,"n/a"))))</f>
        <v>Moderate/Low</v>
      </c>
      <c r="D39" s="338" t="str">
        <f>IF(H39&lt;B39,"↑",IF(H39&gt;B39,"↓","↔"))</f>
        <v>↑</v>
      </c>
      <c r="E39" s="110"/>
      <c r="F39" s="110"/>
      <c r="G39" s="110"/>
      <c r="H39" s="10">
        <f>AVERAGE(H35:H38)</f>
        <v>0</v>
      </c>
      <c r="I39" s="279" t="str">
        <f>IF(H39&lt;1.5,$L$6,IF(H39&lt;2.5,$L$5,IF(H39&lt;3.5,$L$4,IF(H39&lt;4.5,$L$3,"n/a"))))</f>
        <v>Not at all</v>
      </c>
    </row>
    <row r="40" spans="1:9" x14ac:dyDescent="0.25">
      <c r="B40" s="269"/>
      <c r="C40" s="271"/>
      <c r="I40" s="271"/>
    </row>
    <row r="41" spans="1:9" x14ac:dyDescent="0.25">
      <c r="C41" s="111"/>
    </row>
    <row r="44" spans="1:9" x14ac:dyDescent="0.25">
      <c r="D44"/>
      <c r="I44"/>
    </row>
    <row r="45" spans="1:9" x14ac:dyDescent="0.25">
      <c r="F45" s="112"/>
    </row>
    <row r="46" spans="1:9" x14ac:dyDescent="0.25">
      <c r="B46" s="268"/>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139" priority="6" operator="equal">
      <formula>$L$4</formula>
    </cfRule>
    <cfRule type="cellIs" dxfId="138" priority="7" operator="equal">
      <formula>$L$3</formula>
    </cfRule>
    <cfRule type="cellIs" dxfId="137" priority="8" operator="equal">
      <formula>$L$6</formula>
    </cfRule>
  </conditionalFormatting>
  <conditionalFormatting sqref="A5:I9 A10 C10:I10 A11:I14 A15 C15:I15 A16:I21 A22 C22:I22 A23:I27 A34:I38 A39 C39:I39">
    <cfRule type="cellIs" dxfId="136" priority="47" operator="equal">
      <formula>$L$4</formula>
    </cfRule>
    <cfRule type="cellIs" dxfId="135" priority="48" operator="equal">
      <formula>$L$3</formula>
    </cfRule>
    <cfRule type="cellIs" dxfId="134" priority="57" operator="equal">
      <formula>$L$6</formula>
    </cfRule>
  </conditionalFormatting>
  <conditionalFormatting sqref="A5:I9 C10:I10 A11:I14 C15:I15 A16:I21 C22:I22 A23:I27 A34:I38 C39:I39 A10 A15 A22 A39">
    <cfRule type="cellIs" dxfId="133" priority="46" operator="equal">
      <formula>$L$5</formula>
    </cfRule>
  </conditionalFormatting>
  <conditionalFormatting sqref="C1">
    <cfRule type="cellIs" dxfId="132" priority="21" operator="equal">
      <formula>"High"</formula>
    </cfRule>
    <cfRule type="cellIs" dxfId="131" priority="22" operator="equal">
      <formula>"Substantial"</formula>
    </cfRule>
    <cfRule type="cellIs" dxfId="130" priority="23" operator="equal">
      <formula>"Moderate"</formula>
    </cfRule>
    <cfRule type="cellIs" dxfId="129" priority="24" operator="equal">
      <formula>"Low"</formula>
    </cfRule>
  </conditionalFormatting>
  <conditionalFormatting sqref="C28:I33 A28:A33">
    <cfRule type="cellIs" dxfId="128" priority="5" operator="equal">
      <formula>$L$5</formula>
    </cfRule>
  </conditionalFormatting>
  <conditionalFormatting sqref="F1">
    <cfRule type="cellIs" dxfId="127" priority="17" operator="equal">
      <formula>"High"</formula>
    </cfRule>
    <cfRule type="cellIs" dxfId="126" priority="18" operator="equal">
      <formula>"Substantial"</formula>
    </cfRule>
    <cfRule type="cellIs" dxfId="125" priority="19" operator="equal">
      <formula>"Moderate"</formula>
    </cfRule>
    <cfRule type="cellIs" dxfId="124" priority="20" operator="equal">
      <formula>"Low"</formula>
    </cfRule>
  </conditionalFormatting>
  <conditionalFormatting sqref="G2 G5 G10:G11 G15:G16 G22:G23">
    <cfRule type="cellIs" dxfId="123" priority="41" operator="equal">
      <formula>"High"</formula>
    </cfRule>
    <cfRule type="cellIs" dxfId="122" priority="42" operator="equal">
      <formula>"Substantial"</formula>
    </cfRule>
    <cfRule type="cellIs" dxfId="121" priority="43" operator="equal">
      <formula>"Moderate"</formula>
    </cfRule>
    <cfRule type="containsText" dxfId="120" priority="44" operator="containsText" text="Low">
      <formula>NOT(ISERROR(SEARCH("Low",G2)))</formula>
    </cfRule>
  </conditionalFormatting>
  <conditionalFormatting sqref="G28:G34">
    <cfRule type="cellIs" dxfId="119" priority="1" operator="equal">
      <formula>"High"</formula>
    </cfRule>
    <cfRule type="cellIs" dxfId="118" priority="2" operator="equal">
      <formula>"Substantial"</formula>
    </cfRule>
    <cfRule type="cellIs" dxfId="117" priority="3" operator="equal">
      <formula>"Moderate"</formula>
    </cfRule>
    <cfRule type="containsText" dxfId="116" priority="4" operator="containsText" text="Low">
      <formula>NOT(ISERROR(SEARCH("Low",G28)))</formula>
    </cfRule>
  </conditionalFormatting>
  <conditionalFormatting sqref="G39:H39">
    <cfRule type="cellIs" dxfId="115" priority="29" operator="equal">
      <formula>"High"</formula>
    </cfRule>
    <cfRule type="cellIs" dxfId="114" priority="30" operator="equal">
      <formula>"Substantial"</formula>
    </cfRule>
    <cfRule type="cellIs" dxfId="113" priority="31" operator="equal">
      <formula>"Moderate"</formula>
    </cfRule>
    <cfRule type="containsText" dxfId="112" priority="32" operator="containsText" text="Low">
      <formula>NOT(ISERROR(SEARCH("Low",G39)))</formula>
    </cfRule>
  </conditionalFormatting>
  <conditionalFormatting sqref="H35:I38">
    <cfRule type="cellIs" dxfId="111" priority="33" operator="equal">
      <formula>"High"</formula>
    </cfRule>
    <cfRule type="cellIs" dxfId="110" priority="34" operator="equal">
      <formula>"Substantial"</formula>
    </cfRule>
    <cfRule type="cellIs" dxfId="109" priority="35" operator="equal">
      <formula>"Moderate"</formula>
    </cfRule>
    <cfRule type="containsText" dxfId="108"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1"/>
  <sheetViews>
    <sheetView zoomScale="60" zoomScaleNormal="60" zoomScaleSheetLayoutView="100" workbookViewId="0">
      <pane ySplit="2" topLeftCell="A110" activePane="bottomLeft" state="frozen"/>
      <selection pane="bottomLeft" activeCell="F103" sqref="F103:K103"/>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3" t="s">
        <v>27</v>
      </c>
      <c r="B1" s="364" t="str">
        <f>Profile!F1</f>
        <v>Cassava</v>
      </c>
      <c r="C1" s="399" t="s">
        <v>22</v>
      </c>
      <c r="D1" s="457" t="str">
        <f>Profile!E2</f>
        <v>Cameroon</v>
      </c>
      <c r="E1" s="458"/>
      <c r="F1" s="360" t="s">
        <v>26</v>
      </c>
      <c r="G1" s="365"/>
      <c r="H1" s="366"/>
      <c r="I1" s="367"/>
      <c r="J1" s="361">
        <f>Profile!B3</f>
        <v>46130</v>
      </c>
      <c r="K1" s="113"/>
      <c r="L1" s="368" t="s">
        <v>169</v>
      </c>
    </row>
    <row r="2" spans="1:15" s="105" customFormat="1" ht="15" customHeight="1" thickBot="1" x14ac:dyDescent="0.3">
      <c r="A2" s="570" t="s">
        <v>0</v>
      </c>
      <c r="B2" s="571"/>
      <c r="C2" s="369" t="s">
        <v>2</v>
      </c>
      <c r="D2" s="369" t="s">
        <v>83</v>
      </c>
      <c r="E2" s="369" t="s">
        <v>84</v>
      </c>
      <c r="F2" s="570" t="s">
        <v>82</v>
      </c>
      <c r="G2" s="571"/>
      <c r="H2" s="571"/>
      <c r="I2" s="571"/>
      <c r="J2" s="571"/>
      <c r="K2" s="571"/>
      <c r="L2" s="370"/>
      <c r="M2" s="107"/>
    </row>
    <row r="3" spans="1:15" s="105" customFormat="1" ht="24.75" customHeight="1" thickBot="1" x14ac:dyDescent="0.3">
      <c r="A3" s="114" t="s">
        <v>194</v>
      </c>
      <c r="B3" s="115"/>
      <c r="C3" s="115"/>
      <c r="D3" s="115"/>
      <c r="E3" s="115"/>
      <c r="F3" s="115"/>
      <c r="G3" s="115"/>
      <c r="H3" s="115"/>
      <c r="I3" s="115"/>
      <c r="J3" s="115"/>
      <c r="K3" s="115"/>
      <c r="L3" s="371"/>
      <c r="N3" s="16" t="s">
        <v>4</v>
      </c>
      <c r="O3" s="105">
        <v>4.5</v>
      </c>
    </row>
    <row r="4" spans="1:15" s="105" customFormat="1" ht="21" customHeight="1" x14ac:dyDescent="0.25">
      <c r="A4" s="116" t="s">
        <v>29</v>
      </c>
      <c r="B4" s="117"/>
      <c r="C4" s="117"/>
      <c r="D4" s="117"/>
      <c r="E4" s="117"/>
      <c r="F4" s="117"/>
      <c r="G4" s="117"/>
      <c r="H4" s="117"/>
      <c r="I4" s="117"/>
      <c r="J4" s="117"/>
      <c r="K4" s="117"/>
      <c r="L4" s="371"/>
      <c r="N4" s="16" t="s">
        <v>5</v>
      </c>
      <c r="O4" s="105">
        <v>3.5</v>
      </c>
    </row>
    <row r="5" spans="1:15" s="105" customFormat="1" ht="178.8" customHeight="1" x14ac:dyDescent="0.25">
      <c r="A5" s="547" t="s">
        <v>69</v>
      </c>
      <c r="B5" s="547"/>
      <c r="C5" s="37" t="s">
        <v>220</v>
      </c>
      <c r="D5" s="48" t="s">
        <v>41</v>
      </c>
      <c r="E5" s="118">
        <f>IF(D5=$N$6,1,IF(D5=$N$5,2,IF(D5=$N$4,3,IF(D5=$N$3,4,"n/a"))))</f>
        <v>2</v>
      </c>
      <c r="F5" s="578" t="s">
        <v>294</v>
      </c>
      <c r="G5" s="578"/>
      <c r="H5" s="578"/>
      <c r="I5" s="578"/>
      <c r="J5" s="578"/>
      <c r="K5" s="578"/>
      <c r="L5" s="371"/>
      <c r="N5" s="107" t="s">
        <v>41</v>
      </c>
      <c r="O5" s="106">
        <v>2.5</v>
      </c>
    </row>
    <row r="6" spans="1:15" s="105" customFormat="1" ht="108" customHeight="1" x14ac:dyDescent="0.25">
      <c r="A6" s="547" t="s">
        <v>204</v>
      </c>
      <c r="B6" s="547"/>
      <c r="C6" s="37" t="s">
        <v>221</v>
      </c>
      <c r="D6" s="48" t="s">
        <v>5</v>
      </c>
      <c r="E6" s="118">
        <f>IF(D6=$N$6,1,IF(D6=$N$5,2,IF(D6=$N$4,3,IF(D6=$N$3,4,"n/a"))))</f>
        <v>3</v>
      </c>
      <c r="F6" s="578" t="s">
        <v>295</v>
      </c>
      <c r="G6" s="578"/>
      <c r="H6" s="578"/>
      <c r="I6" s="578"/>
      <c r="J6" s="578"/>
      <c r="K6" s="578"/>
      <c r="L6" s="371"/>
      <c r="N6" s="107" t="s">
        <v>75</v>
      </c>
      <c r="O6" s="106">
        <v>1.5</v>
      </c>
    </row>
    <row r="7" spans="1:15" s="105" customFormat="1" ht="165.6" customHeight="1" x14ac:dyDescent="0.25">
      <c r="A7" s="547" t="s">
        <v>171</v>
      </c>
      <c r="B7" s="547"/>
      <c r="C7" s="37" t="s">
        <v>301</v>
      </c>
      <c r="D7" s="48" t="s">
        <v>41</v>
      </c>
      <c r="E7" s="118">
        <f>IF(D7=$N$6,1,IF(D7=$N$5,2,IF(D7=$N$4,3,IF(D7=$N$3,4,"n/a"))))</f>
        <v>2</v>
      </c>
      <c r="F7" s="578" t="s">
        <v>228</v>
      </c>
      <c r="G7" s="578"/>
      <c r="H7" s="578"/>
      <c r="I7" s="578"/>
      <c r="J7" s="578"/>
      <c r="K7" s="578"/>
      <c r="L7" s="371"/>
      <c r="N7" s="16" t="s">
        <v>19</v>
      </c>
    </row>
    <row r="8" spans="1:15" s="105" customFormat="1" ht="123.6" customHeight="1" x14ac:dyDescent="0.25">
      <c r="A8" s="547" t="s">
        <v>39</v>
      </c>
      <c r="B8" s="547"/>
      <c r="C8" s="37" t="s">
        <v>301</v>
      </c>
      <c r="D8" s="48" t="s">
        <v>41</v>
      </c>
      <c r="E8" s="118">
        <f>IF(D8=$N$6,1,IF(D8=$N$5,2,IF(D8=$N$4,3,IF(D8=$N$3,4,"n/a"))))</f>
        <v>2</v>
      </c>
      <c r="F8" s="578" t="s">
        <v>296</v>
      </c>
      <c r="G8" s="578"/>
      <c r="H8" s="578"/>
      <c r="I8" s="578"/>
      <c r="J8" s="578"/>
      <c r="K8" s="578"/>
      <c r="L8" s="371"/>
      <c r="N8" s="107"/>
    </row>
    <row r="9" spans="1:15" s="105" customFormat="1" ht="166.8" customHeight="1" thickBot="1" x14ac:dyDescent="0.3">
      <c r="A9" s="546" t="s">
        <v>57</v>
      </c>
      <c r="B9" s="546"/>
      <c r="C9" s="179" t="s">
        <v>222</v>
      </c>
      <c r="D9" s="167" t="s">
        <v>5</v>
      </c>
      <c r="E9" s="175">
        <f>IF(D9=$N$6,1,IF(D9=$N$5,2,IF(D9=$N$4,3,IF(D9=$N$3,4,"n/a"))))</f>
        <v>3</v>
      </c>
      <c r="F9" s="532" t="s">
        <v>297</v>
      </c>
      <c r="G9" s="533"/>
      <c r="H9" s="532"/>
      <c r="I9" s="532"/>
      <c r="J9" s="532"/>
      <c r="K9" s="532"/>
      <c r="L9" s="371"/>
      <c r="N9" s="119"/>
    </row>
    <row r="10" spans="1:15" s="105" customFormat="1" ht="28.5" customHeight="1" thickBot="1" x14ac:dyDescent="0.3">
      <c r="A10" s="558"/>
      <c r="B10" s="574"/>
      <c r="C10" s="183" t="s">
        <v>24</v>
      </c>
      <c r="D10" s="90" t="str">
        <f>IF(E10&lt;1.5,$N$6,IF(E10&lt;2.5,$N$5,IF(E10&lt;3.5,$N$4,IF(E10&lt;4.5,$N$3,"n/a"))))</f>
        <v>Moderate/Low</v>
      </c>
      <c r="E10" s="245">
        <f>IF(COUNT(E5:E9)=0,"n/a",AVERAGE(E5:E9))</f>
        <v>2.4</v>
      </c>
      <c r="F10" s="49">
        <f>E10</f>
        <v>2.4</v>
      </c>
      <c r="G10" s="216"/>
      <c r="H10" s="50" t="s">
        <v>23</v>
      </c>
      <c r="I10" s="26" t="str">
        <f>D10</f>
        <v>Moderate/Low</v>
      </c>
      <c r="J10" s="91">
        <f>IF(I10=$N$7,"n/a",IF(AND(I10=$N$5,D10=$N$6),1.5,IF(AND(I10=$N$4,D10=$N$5),2.5,IF(AND(I10=$N$3,D10=$N$4),3.5,IF(AND(I10=$N$6,D10=$N$5),1.49,IF(AND(I10=$N$5,D10=$N$4),2.49,IF(AND(I10=$N$4,D10=$N$3),3.49,E10)))))))</f>
        <v>2.4</v>
      </c>
      <c r="K10" s="92" t="s">
        <v>87</v>
      </c>
      <c r="L10" s="372"/>
      <c r="N10" s="16"/>
    </row>
    <row r="11" spans="1:15" s="105" customFormat="1" ht="20.25" customHeight="1" thickBot="1" x14ac:dyDescent="0.3">
      <c r="A11" s="121" t="s">
        <v>28</v>
      </c>
      <c r="B11" s="122"/>
      <c r="C11" s="180"/>
      <c r="D11" s="123"/>
      <c r="E11" s="123"/>
      <c r="F11" s="123"/>
      <c r="G11" s="123"/>
      <c r="H11" s="123"/>
      <c r="I11" s="123"/>
      <c r="J11" s="123"/>
      <c r="K11" s="123"/>
      <c r="L11" s="371"/>
      <c r="N11" s="16"/>
    </row>
    <row r="12" spans="1:15" ht="142.80000000000001" customHeight="1" x14ac:dyDescent="0.25">
      <c r="A12" s="547" t="s">
        <v>205</v>
      </c>
      <c r="B12" s="547"/>
      <c r="C12" s="37" t="s">
        <v>223</v>
      </c>
      <c r="D12" s="166" t="s">
        <v>5</v>
      </c>
      <c r="E12" s="177">
        <f>IF(D12=$N$6,1,IF(D12=$N$5,2,IF(D12=$N$4,3,IF(D12=$N$3,4,"n/a"))))</f>
        <v>3</v>
      </c>
      <c r="F12" s="560" t="s">
        <v>302</v>
      </c>
      <c r="G12" s="560"/>
      <c r="H12" s="560"/>
      <c r="I12" s="560"/>
      <c r="J12" s="560"/>
      <c r="K12" s="560"/>
      <c r="L12" s="373" t="s">
        <v>92</v>
      </c>
      <c r="N12" s="16"/>
    </row>
    <row r="13" spans="1:15" ht="114" customHeight="1" thickBot="1" x14ac:dyDescent="0.3">
      <c r="A13" s="534" t="s">
        <v>206</v>
      </c>
      <c r="B13" s="534"/>
      <c r="C13" s="184" t="s">
        <v>224</v>
      </c>
      <c r="D13" s="182" t="s">
        <v>41</v>
      </c>
      <c r="E13" s="178">
        <f>IF(D13=$N$6,1,IF(D13=$N$5,2,IF(D13=$N$4,3,IF(D13=$N$3,4,"n/a"))))</f>
        <v>2</v>
      </c>
      <c r="F13" s="553" t="s">
        <v>229</v>
      </c>
      <c r="G13" s="501"/>
      <c r="H13" s="501"/>
      <c r="I13" s="501"/>
      <c r="J13" s="501"/>
      <c r="K13" s="537"/>
      <c r="L13" s="373" t="s">
        <v>92</v>
      </c>
    </row>
    <row r="14" spans="1:15" s="108" customFormat="1" ht="28.5" customHeight="1" thickBot="1" x14ac:dyDescent="0.3">
      <c r="A14" s="558"/>
      <c r="B14" s="559"/>
      <c r="C14" s="183" t="s">
        <v>24</v>
      </c>
      <c r="D14" s="27" t="str">
        <f>IF(E14&lt;1.5,$N$6,IF(E14&lt;2.5,$N$5,IF(E14&lt;3.5,$N$4,IF(E14&lt;4.5,$N$3,"n/a"))))</f>
        <v>Substantial</v>
      </c>
      <c r="E14" s="145">
        <f>IF(COUNT(E12:E13)=0,"n/a",AVERAGE(E12:E13))</f>
        <v>2.5</v>
      </c>
      <c r="F14" s="28">
        <f>E14</f>
        <v>2.5</v>
      </c>
      <c r="G14" s="216"/>
      <c r="H14" s="29" t="s">
        <v>23</v>
      </c>
      <c r="I14" s="26" t="str">
        <f>D14</f>
        <v>Substantial</v>
      </c>
      <c r="J14" s="30">
        <f>IF(I14=$N$7,"n/a",IF(AND(I14=$N$5,D14=$N$6),1.5,IF(AND(I14=$N$4,D14=$N$5),2.5,IF(AND(I14=$N$3,D14=$N$4),3.5,IF(AND(I14=$N$6,D14=$N$5),1.49,IF(AND(I14=$N$5,D14=$N$4),2.49,IF(AND(I14=$N$4,D14=$N$3),3.49,E14)))))))</f>
        <v>2.5</v>
      </c>
      <c r="K14" s="181" t="s">
        <v>87</v>
      </c>
      <c r="L14" s="374"/>
      <c r="N14" s="16"/>
    </row>
    <row r="15" spans="1:15" ht="21.75" customHeight="1" x14ac:dyDescent="0.25">
      <c r="A15" s="392" t="s">
        <v>30</v>
      </c>
      <c r="B15" s="121"/>
      <c r="C15" s="121"/>
      <c r="D15" s="121"/>
      <c r="E15" s="121"/>
      <c r="F15" s="121"/>
      <c r="G15" s="121"/>
      <c r="H15" s="121"/>
      <c r="I15" s="121"/>
      <c r="J15" s="121"/>
      <c r="K15" s="121"/>
      <c r="L15" s="375"/>
      <c r="N15" s="16"/>
    </row>
    <row r="16" spans="1:15" ht="139.19999999999999" customHeight="1" thickBot="1" x14ac:dyDescent="0.3">
      <c r="A16" s="546" t="s">
        <v>172</v>
      </c>
      <c r="B16" s="546"/>
      <c r="C16" s="184" t="s">
        <v>225</v>
      </c>
      <c r="D16" s="167" t="s">
        <v>41</v>
      </c>
      <c r="E16" s="171">
        <f>IF(D16=$N$6,1,IF(D16=$N$5,2,IF(D16=$N$4,3,IF(D16=$N$3,4,"n/a"))))</f>
        <v>2</v>
      </c>
      <c r="F16" s="535" t="s">
        <v>303</v>
      </c>
      <c r="G16" s="501"/>
      <c r="H16" s="536"/>
      <c r="I16" s="536"/>
      <c r="J16" s="501"/>
      <c r="K16" s="537"/>
      <c r="L16" s="375"/>
    </row>
    <row r="17" spans="1:14" s="105" customFormat="1" ht="24.75" customHeight="1" thickBot="1" x14ac:dyDescent="0.3">
      <c r="A17" s="581"/>
      <c r="B17" s="582"/>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87</v>
      </c>
      <c r="L17" s="371"/>
      <c r="N17" s="107"/>
    </row>
    <row r="18" spans="1:14" s="124" customFormat="1" ht="21" customHeight="1" x14ac:dyDescent="0.25">
      <c r="A18" s="121" t="s">
        <v>67</v>
      </c>
      <c r="B18" s="121"/>
      <c r="C18" s="121"/>
      <c r="D18" s="121"/>
      <c r="E18" s="121"/>
      <c r="F18" s="121"/>
      <c r="G18" s="121"/>
      <c r="H18" s="121"/>
      <c r="I18" s="121"/>
      <c r="J18" s="121"/>
      <c r="K18" s="121"/>
      <c r="L18" s="375"/>
      <c r="N18" s="16"/>
    </row>
    <row r="19" spans="1:14" s="124" customFormat="1" ht="217.2" customHeight="1" x14ac:dyDescent="0.25">
      <c r="A19" s="547" t="s">
        <v>71</v>
      </c>
      <c r="B19" s="547"/>
      <c r="C19" s="37" t="s">
        <v>226</v>
      </c>
      <c r="D19" s="48" t="s">
        <v>41</v>
      </c>
      <c r="E19" s="163">
        <f>IF(D19=$N$6,1,IF(D19=$N$5,2,IF(D19=$N$4,3,IF(D19=$N$3,4,"n/a"))))</f>
        <v>2</v>
      </c>
      <c r="F19" s="535" t="s">
        <v>304</v>
      </c>
      <c r="G19" s="536"/>
      <c r="H19" s="536"/>
      <c r="I19" s="536"/>
      <c r="J19" s="536"/>
      <c r="K19" s="537"/>
      <c r="L19" s="373" t="s">
        <v>92</v>
      </c>
      <c r="N19" s="16"/>
    </row>
    <row r="20" spans="1:14" s="124" customFormat="1" ht="146.4" customHeight="1" thickBot="1" x14ac:dyDescent="0.3">
      <c r="A20" s="534" t="s">
        <v>68</v>
      </c>
      <c r="B20" s="534"/>
      <c r="C20" s="184" t="s">
        <v>227</v>
      </c>
      <c r="D20" s="176" t="s">
        <v>41</v>
      </c>
      <c r="E20" s="175">
        <f>IF(D20=$N$6,1,IF(D20=$N$5,2,IF(D20=$N$4,3,IF(D20=$N$3,4,"n/a"))))</f>
        <v>2</v>
      </c>
      <c r="F20" s="485" t="s">
        <v>305</v>
      </c>
      <c r="G20" s="501"/>
      <c r="H20" s="556"/>
      <c r="I20" s="556"/>
      <c r="J20" s="556"/>
      <c r="K20" s="557"/>
      <c r="L20" s="376"/>
      <c r="N20" s="16"/>
    </row>
    <row r="21" spans="1:14" s="105" customFormat="1" ht="29.25" customHeight="1" thickBot="1" x14ac:dyDescent="0.3">
      <c r="A21" s="558"/>
      <c r="B21" s="559"/>
      <c r="C21" s="183" t="s">
        <v>24</v>
      </c>
      <c r="D21" s="27" t="str">
        <f>IF(E21&lt;1.5,$N$6,IF(E21&lt;2.5,$N$5,IF(E21&lt;3.5,$N$4,IF(E21&lt;4.5,$N$3,"n/a"))))</f>
        <v>Moderate/Low</v>
      </c>
      <c r="E21" s="145">
        <f>IF(COUNT(E19:E20)=0,"n/a",AVERAGE(E19:E20))</f>
        <v>2</v>
      </c>
      <c r="F21" s="28">
        <f>E21</f>
        <v>2</v>
      </c>
      <c r="G21" s="216"/>
      <c r="H21" s="29" t="s">
        <v>23</v>
      </c>
      <c r="I21" s="26" t="str">
        <f>D21</f>
        <v>Moderate/Low</v>
      </c>
      <c r="J21" s="91">
        <f>IF(I21=$N$7,"n/a",IF(AND(I21=$N$5,D21=$N$6),1.5,IF(AND(I21=$N$4,D21=$N$5),2.5,IF(AND(I21=$N$3,D21=$N$4),3.5,IF(AND(I21=$N$6,D21=$N$5),1.49,IF(AND(I21=$N$5,D21=$N$4),2.49,IF(AND(I21=$N$4,D21=$N$3),3.49,E21)))))))</f>
        <v>2</v>
      </c>
      <c r="K21" s="89" t="s">
        <v>87</v>
      </c>
      <c r="L21" s="377"/>
    </row>
    <row r="22" spans="1:14" s="105" customFormat="1" ht="22.5" customHeight="1" thickBot="1" x14ac:dyDescent="0.3">
      <c r="A22" s="125" t="s">
        <v>195</v>
      </c>
      <c r="B22" s="126"/>
      <c r="C22" s="126"/>
      <c r="D22" s="127"/>
      <c r="E22" s="127"/>
      <c r="F22" s="127"/>
      <c r="G22" s="127"/>
      <c r="H22" s="127"/>
      <c r="I22" s="127"/>
      <c r="J22" s="127"/>
      <c r="K22" s="127"/>
      <c r="L22" s="371"/>
    </row>
    <row r="23" spans="1:14" ht="21.75" customHeight="1" thickBot="1" x14ac:dyDescent="0.3">
      <c r="A23" s="128" t="s">
        <v>43</v>
      </c>
      <c r="B23" s="129"/>
      <c r="C23" s="129"/>
      <c r="D23" s="129"/>
      <c r="E23" s="129"/>
      <c r="F23" s="129"/>
      <c r="G23" s="129"/>
      <c r="H23" s="129"/>
      <c r="I23" s="129"/>
      <c r="J23" s="129"/>
      <c r="K23" s="129"/>
      <c r="L23" s="373" t="s">
        <v>92</v>
      </c>
    </row>
    <row r="24" spans="1:14" ht="169.2" customHeight="1" x14ac:dyDescent="0.25">
      <c r="A24" s="572" t="s">
        <v>44</v>
      </c>
      <c r="B24" s="573"/>
      <c r="C24" s="173" t="s">
        <v>230</v>
      </c>
      <c r="D24" s="164" t="s">
        <v>75</v>
      </c>
      <c r="E24" s="174">
        <f>IF(D24=$N$6,1,IF(D24=$N$5,2,IF(D24=$N$4,3,IF(D24=$N$3,4,"n/a"))))</f>
        <v>1</v>
      </c>
      <c r="F24" s="560" t="s">
        <v>315</v>
      </c>
      <c r="G24" s="560"/>
      <c r="H24" s="560"/>
      <c r="I24" s="560"/>
      <c r="J24" s="560"/>
      <c r="K24" s="560"/>
      <c r="L24" s="373" t="s">
        <v>92</v>
      </c>
    </row>
    <row r="25" spans="1:14" ht="112.2" customHeight="1" thickBot="1" x14ac:dyDescent="0.3">
      <c r="A25" s="579" t="s">
        <v>60</v>
      </c>
      <c r="B25" s="580"/>
      <c r="C25" s="185" t="s">
        <v>231</v>
      </c>
      <c r="D25" s="165" t="s">
        <v>41</v>
      </c>
      <c r="E25" s="175">
        <f>IF(D25=$N$6,1,IF(D25=$N$5,2,IF(D25=$N$4,3,IF(D25=$N$3,4,"n/a"))))</f>
        <v>2</v>
      </c>
      <c r="F25" s="485" t="s">
        <v>232</v>
      </c>
      <c r="G25" s="556"/>
      <c r="H25" s="556"/>
      <c r="I25" s="556"/>
      <c r="J25" s="556"/>
      <c r="K25" s="557"/>
      <c r="L25" s="375"/>
    </row>
    <row r="26" spans="1:14" ht="35.25" customHeight="1" thickBot="1" x14ac:dyDescent="0.3">
      <c r="A26" s="544"/>
      <c r="B26" s="545"/>
      <c r="C26" s="40" t="s">
        <v>24</v>
      </c>
      <c r="D26" s="27" t="str">
        <f>IF(E26&lt;1.5,"Low",IF(E26&lt;2.5,"Moderate",IF(E26&lt;3.5,"Substantial",IF(E26&lt;4.5,"High","n/a"))))</f>
        <v>Moderate</v>
      </c>
      <c r="E26" s="145">
        <f>IF(COUNT(E24:E25)=0,"n/a",AVERAGE(E24:E25))</f>
        <v>1.5</v>
      </c>
      <c r="F26" s="49">
        <f>E26</f>
        <v>1.5</v>
      </c>
      <c r="G26" s="216"/>
      <c r="H26" s="50" t="s">
        <v>23</v>
      </c>
      <c r="I26" s="26" t="str">
        <f>D26</f>
        <v>Moderate</v>
      </c>
      <c r="J26" s="91">
        <f>IF(I26=$N$7,"n/a",IF(AND(I26=$N$5,D26=$N$6),1.5,IF(AND(I26=$N$4,D26=$N$5),2.5,IF(AND(I26=$N$3,D26=$N$4),3.5,IF(AND(I26=$N$6,D26=$N$5),1.49,IF(AND(I26=$N$5,D26=$N$4),2.49,IF(AND(I26=$N$4,D26=$N$3),3.49,E26)))))))</f>
        <v>1.5</v>
      </c>
      <c r="K26" s="321" t="s">
        <v>87</v>
      </c>
      <c r="L26" s="375"/>
    </row>
    <row r="27" spans="1:14" ht="20.25" customHeight="1" thickBot="1" x14ac:dyDescent="0.3">
      <c r="A27" s="130" t="s">
        <v>47</v>
      </c>
      <c r="B27" s="131"/>
      <c r="C27" s="132"/>
      <c r="D27" s="133"/>
      <c r="E27" s="133"/>
      <c r="F27" s="133"/>
      <c r="G27" s="133"/>
      <c r="H27" s="133"/>
      <c r="I27" s="133"/>
      <c r="J27" s="133"/>
      <c r="K27" s="133"/>
      <c r="L27" s="375"/>
    </row>
    <row r="28" spans="1:14" ht="169.8" customHeight="1" x14ac:dyDescent="0.25">
      <c r="A28" s="490" t="s">
        <v>63</v>
      </c>
      <c r="B28" s="491"/>
      <c r="C28" s="41" t="s">
        <v>233</v>
      </c>
      <c r="D28" s="166" t="s">
        <v>41</v>
      </c>
      <c r="E28" s="177">
        <f>IF(D28=$N$6,1,IF(D28=$N$5,2,IF(D28=$N$4,3,IF(D28=$N$3,4,"n/a"))))</f>
        <v>2</v>
      </c>
      <c r="F28" s="538" t="s">
        <v>237</v>
      </c>
      <c r="G28" s="539"/>
      <c r="H28" s="539"/>
      <c r="I28" s="539"/>
      <c r="J28" s="539"/>
      <c r="K28" s="540"/>
      <c r="L28" s="375"/>
    </row>
    <row r="29" spans="1:14" ht="153.6" customHeight="1" x14ac:dyDescent="0.25">
      <c r="A29" s="490" t="s">
        <v>45</v>
      </c>
      <c r="B29" s="491"/>
      <c r="C29" s="41" t="s">
        <v>236</v>
      </c>
      <c r="D29" s="48" t="s">
        <v>41</v>
      </c>
      <c r="E29" s="163">
        <f>IF(D29=$N$6,1,IF(D29=$N$5,2,IF(D29=$N$4,3,IF(D29=$N$3,4,"n/a"))))</f>
        <v>2</v>
      </c>
      <c r="F29" s="535" t="s">
        <v>238</v>
      </c>
      <c r="G29" s="536"/>
      <c r="H29" s="536"/>
      <c r="I29" s="536"/>
      <c r="J29" s="536"/>
      <c r="K29" s="537"/>
      <c r="L29" s="375"/>
    </row>
    <row r="30" spans="1:14" s="134" customFormat="1" ht="140.4" customHeight="1" x14ac:dyDescent="0.25">
      <c r="A30" s="490" t="s">
        <v>58</v>
      </c>
      <c r="B30" s="491"/>
      <c r="C30" s="41" t="s">
        <v>234</v>
      </c>
      <c r="D30" s="48" t="s">
        <v>41</v>
      </c>
      <c r="E30" s="163">
        <f>IF(D30=$N$6,1,IF(D30=$N$5,2,IF(D30=$N$4,3,IF(D30=$N$3,4,"n/a"))))</f>
        <v>2</v>
      </c>
      <c r="F30" s="483" t="s">
        <v>239</v>
      </c>
      <c r="G30" s="483"/>
      <c r="H30" s="483"/>
      <c r="I30" s="483"/>
      <c r="J30" s="483"/>
      <c r="K30" s="483"/>
      <c r="L30" s="371"/>
    </row>
    <row r="31" spans="1:14" s="105" customFormat="1" ht="108.6" customHeight="1" thickBot="1" x14ac:dyDescent="0.3">
      <c r="A31" s="551" t="s">
        <v>59</v>
      </c>
      <c r="B31" s="552"/>
      <c r="C31" s="185" t="s">
        <v>235</v>
      </c>
      <c r="D31" s="167" t="s">
        <v>41</v>
      </c>
      <c r="E31" s="172">
        <f>IF(D31=$N$6,1,IF(D31=$N$5,2,IF(D31=$N$4,3,IF(D31=$N$3,4,"n/a"))))</f>
        <v>2</v>
      </c>
      <c r="F31" s="553" t="s">
        <v>316</v>
      </c>
      <c r="G31" s="501"/>
      <c r="H31" s="501"/>
      <c r="I31" s="501"/>
      <c r="J31" s="501"/>
      <c r="K31" s="502"/>
      <c r="L31" s="373" t="s">
        <v>92</v>
      </c>
    </row>
    <row r="32" spans="1:14" s="105" customFormat="1" ht="25.5" customHeight="1" thickBot="1" x14ac:dyDescent="0.3">
      <c r="A32" s="188"/>
      <c r="B32" s="189"/>
      <c r="C32" s="40" t="s">
        <v>24</v>
      </c>
      <c r="D32" s="27" t="str">
        <f>IF(E32&lt;1.5,"Low",IF(E32&lt;2.5,"Moderate",IF(E32&lt;3.5,"Substantial",IF(E32&lt;4.5,"High","n/a"))))</f>
        <v>Moderate</v>
      </c>
      <c r="E32" s="145">
        <f>IF(COUNT(E28:E31)=0,"n/a",AVERAGE(E28:E31))</f>
        <v>2</v>
      </c>
      <c r="F32" s="28">
        <f>E32</f>
        <v>2</v>
      </c>
      <c r="G32" s="216"/>
      <c r="H32" s="29" t="s">
        <v>23</v>
      </c>
      <c r="I32" s="26" t="str">
        <f>D32</f>
        <v>Moderate</v>
      </c>
      <c r="J32" s="30">
        <f>IF(I32=$N$7,"n/a",IF(AND(I32=$N$5,D32=$N$6),1.5,IF(AND(I32=$N$4,D32=$N$5),2.5,IF(AND(I32=$N$3,D32=$N$4),3.5,IF(AND(I32=$N$6,D32=$N$5),1.49,IF(AND(I32=$N$5,D32=$N$4),2.49,IF(AND(I32=$N$4,D32=$N$3),3.49,E32)))))))</f>
        <v>2</v>
      </c>
      <c r="K32" s="181" t="s">
        <v>87</v>
      </c>
      <c r="L32" s="371"/>
    </row>
    <row r="33" spans="1:12" s="105" customFormat="1" ht="25.5" customHeight="1" thickBot="1" x14ac:dyDescent="0.3">
      <c r="A33" s="186" t="s">
        <v>48</v>
      </c>
      <c r="B33" s="187"/>
      <c r="C33" s="187"/>
      <c r="D33" s="187"/>
      <c r="E33" s="187"/>
      <c r="F33" s="187"/>
      <c r="G33" s="187"/>
      <c r="H33" s="187"/>
      <c r="I33" s="187"/>
      <c r="J33" s="187"/>
      <c r="K33" s="187"/>
      <c r="L33" s="371"/>
    </row>
    <row r="34" spans="1:12" s="105" customFormat="1" ht="196.8" customHeight="1" x14ac:dyDescent="0.25">
      <c r="A34" s="575" t="s">
        <v>49</v>
      </c>
      <c r="B34" s="576"/>
      <c r="C34" s="47" t="s">
        <v>240</v>
      </c>
      <c r="D34" s="48" t="s">
        <v>41</v>
      </c>
      <c r="E34" s="118">
        <f>IF(D34=$N$6,1,IF(D34=$N$5,2,IF(D34=$N$4,3,IF(D34=$N$3,4,"n/a"))))</f>
        <v>2</v>
      </c>
      <c r="F34" s="560" t="s">
        <v>243</v>
      </c>
      <c r="G34" s="560"/>
      <c r="H34" s="560"/>
      <c r="I34" s="560"/>
      <c r="J34" s="560"/>
      <c r="K34" s="560"/>
      <c r="L34" s="373" t="s">
        <v>92</v>
      </c>
    </row>
    <row r="35" spans="1:12" s="105" customFormat="1" ht="97.8" customHeight="1" x14ac:dyDescent="0.25">
      <c r="A35" s="577" t="s">
        <v>50</v>
      </c>
      <c r="B35" s="491"/>
      <c r="C35" s="47" t="s">
        <v>241</v>
      </c>
      <c r="D35" s="168" t="s">
        <v>41</v>
      </c>
      <c r="E35" s="118">
        <f>IF(D35=$N$6,1,IF(D35=$N$5,2,IF(D35=$N$4,3,IF(D35=$N$3,4,"n/a"))))</f>
        <v>2</v>
      </c>
      <c r="F35" s="535" t="s">
        <v>244</v>
      </c>
      <c r="G35" s="536"/>
      <c r="H35" s="536"/>
      <c r="I35" s="536"/>
      <c r="J35" s="536"/>
      <c r="K35" s="537"/>
      <c r="L35" s="371"/>
    </row>
    <row r="36" spans="1:12" s="105" customFormat="1" ht="169.8" customHeight="1" x14ac:dyDescent="0.25">
      <c r="A36" s="575" t="s">
        <v>65</v>
      </c>
      <c r="B36" s="576"/>
      <c r="C36" s="47" t="s">
        <v>242</v>
      </c>
      <c r="D36" s="168" t="s">
        <v>41</v>
      </c>
      <c r="E36" s="118">
        <f>IF(D36=$N$6,1,IF(D36=$N$5,2,IF(D36=$N$4,3,IF(D36=$N$3,4,"n/a"))))</f>
        <v>2</v>
      </c>
      <c r="F36" s="535" t="s">
        <v>245</v>
      </c>
      <c r="G36" s="536"/>
      <c r="H36" s="536"/>
      <c r="I36" s="536"/>
      <c r="J36" s="536"/>
      <c r="K36" s="537"/>
      <c r="L36" s="371"/>
    </row>
    <row r="37" spans="1:12" s="105" customFormat="1" ht="166.2" customHeight="1" thickBot="1" x14ac:dyDescent="0.3">
      <c r="A37" s="566" t="s">
        <v>66</v>
      </c>
      <c r="B37" s="567"/>
      <c r="C37" s="190" t="s">
        <v>242</v>
      </c>
      <c r="D37" s="167" t="s">
        <v>5</v>
      </c>
      <c r="E37" s="171">
        <f>IF(D37=$N$6,1,IF(D37=$N$5,2,IF(D37=$N$4,3,IF(D37=$N$3,4,"n/a"))))</f>
        <v>3</v>
      </c>
      <c r="F37" s="568" t="s">
        <v>246</v>
      </c>
      <c r="G37" s="483"/>
      <c r="H37" s="483"/>
      <c r="I37" s="483"/>
      <c r="J37" s="483"/>
      <c r="K37" s="569"/>
      <c r="L37" s="371"/>
    </row>
    <row r="38" spans="1:12" s="105" customFormat="1" ht="25.5" customHeight="1" thickBot="1" x14ac:dyDescent="0.3">
      <c r="A38" s="42"/>
      <c r="B38" s="43"/>
      <c r="C38" s="44" t="s">
        <v>24</v>
      </c>
      <c r="D38" s="27" t="str">
        <f>IF(E38&lt;1.5,"Low",IF(E38&lt;2.5,"Moderate",IF(E38&lt;3.5,"Substantial",IF(E38&lt;4.5,"High","n/a"))))</f>
        <v>Moderate</v>
      </c>
      <c r="E38" s="145">
        <f>IF(COUNT(E34:E37)=0,"n/a",AVERAGE(E34:E37))</f>
        <v>2.25</v>
      </c>
      <c r="F38" s="28">
        <f>E38</f>
        <v>2.25</v>
      </c>
      <c r="G38" s="216"/>
      <c r="H38" s="29" t="s">
        <v>23</v>
      </c>
      <c r="I38" s="26" t="str">
        <f>D38</f>
        <v>Moderate</v>
      </c>
      <c r="J38" s="30">
        <f>IF(I38=$N$7,"n/a",IF(AND(I38=$N$5,D38=$N$6),1.5,IF(AND(I38=$N$4,D38=$N$5),2.5,IF(AND(I38=$N$3,D38=$N$4),3.5,IF(AND(I38=$N$6,D38=$N$5),1.49,IF(AND(I38=$N$5,D38=$N$4),2.49,IF(AND(I38=$N$4,D38=$N$3),3.49,E38)))))))</f>
        <v>2.25</v>
      </c>
      <c r="K38" s="181" t="s">
        <v>87</v>
      </c>
      <c r="L38" s="371"/>
    </row>
    <row r="39" spans="1:12" s="124" customFormat="1" ht="22.5" customHeight="1" thickBot="1" x14ac:dyDescent="0.3">
      <c r="A39" s="31" t="s">
        <v>196</v>
      </c>
      <c r="B39" s="32"/>
      <c r="C39" s="33"/>
      <c r="D39" s="35"/>
      <c r="E39" s="35"/>
      <c r="F39" s="34"/>
      <c r="G39" s="135"/>
      <c r="H39" s="35"/>
      <c r="I39" s="35"/>
      <c r="J39" s="34"/>
      <c r="K39" s="136"/>
      <c r="L39" s="375"/>
    </row>
    <row r="40" spans="1:12" s="124" customFormat="1" ht="22.5" customHeight="1" x14ac:dyDescent="0.25">
      <c r="A40" s="137" t="s">
        <v>32</v>
      </c>
      <c r="B40" s="138"/>
      <c r="C40" s="138"/>
      <c r="D40" s="138"/>
      <c r="E40" s="138"/>
      <c r="F40" s="138"/>
      <c r="G40" s="138"/>
      <c r="H40" s="138"/>
      <c r="I40" s="138"/>
      <c r="J40" s="138"/>
      <c r="K40" s="138"/>
      <c r="L40" s="375"/>
    </row>
    <row r="41" spans="1:12" s="105" customFormat="1" ht="165.6" customHeight="1" x14ac:dyDescent="0.25">
      <c r="A41" s="496" t="s">
        <v>40</v>
      </c>
      <c r="B41" s="496"/>
      <c r="C41" s="38" t="s">
        <v>247</v>
      </c>
      <c r="D41" s="48" t="s">
        <v>5</v>
      </c>
      <c r="E41" s="163">
        <f>IF(D41=$N$6,1,IF(D41=$N$5,2,IF(D41=$N$4,3,IF(D41=$N$3,4,"n/a"))))</f>
        <v>3</v>
      </c>
      <c r="F41" s="501" t="s">
        <v>326</v>
      </c>
      <c r="G41" s="501"/>
      <c r="H41" s="501"/>
      <c r="I41" s="501"/>
      <c r="J41" s="501"/>
      <c r="K41" s="501"/>
      <c r="L41" s="373" t="s">
        <v>92</v>
      </c>
    </row>
    <row r="42" spans="1:12" s="105" customFormat="1" ht="169.2" customHeight="1" thickBot="1" x14ac:dyDescent="0.3">
      <c r="A42" s="563" t="s">
        <v>135</v>
      </c>
      <c r="B42" s="564"/>
      <c r="C42" s="191" t="s">
        <v>248</v>
      </c>
      <c r="D42" s="48" t="s">
        <v>5</v>
      </c>
      <c r="E42" s="163">
        <f>IF(D42=$N$6,1,IF(D42=$N$5,2,IF(D42=$N$4,3,IF(D42=$N$3,4,"n/a"))))</f>
        <v>3</v>
      </c>
      <c r="F42" s="501" t="s">
        <v>327</v>
      </c>
      <c r="G42" s="501"/>
      <c r="H42" s="501"/>
      <c r="I42" s="501"/>
      <c r="J42" s="501"/>
      <c r="K42" s="502"/>
      <c r="L42" s="371"/>
    </row>
    <row r="43" spans="1:12" s="124" customFormat="1" ht="30" customHeight="1" thickBot="1" x14ac:dyDescent="0.3">
      <c r="A43" s="561"/>
      <c r="B43" s="562"/>
      <c r="C43" s="36" t="s">
        <v>24</v>
      </c>
      <c r="D43" s="27" t="str">
        <f>IF(E43&lt;1.5,"Low",IF(E43&lt;2.5,"Moderate",IF(E43&lt;3.5,"Substantial",IF(E43&lt;4.5,"High","n/a"))))</f>
        <v>Substantial</v>
      </c>
      <c r="E43" s="145">
        <f>IF(COUNT(E41:E42)=0,"n/a",AVERAGE(E41:E42))</f>
        <v>3</v>
      </c>
      <c r="F43" s="28">
        <f>E43</f>
        <v>3</v>
      </c>
      <c r="G43" s="216"/>
      <c r="H43" s="29" t="s">
        <v>23</v>
      </c>
      <c r="I43" s="26" t="str">
        <f>D43</f>
        <v>Substantial</v>
      </c>
      <c r="J43" s="30">
        <f>IF(I43=$N$7,"n/a",IF(AND(I43=$N$5,D43=$N$6),1.5,IF(AND(I43=$N$4,D43=$N$5),2.5,IF(AND(I43=$N$3,D43=$N$4),3.5,IF(AND(I43=$N$6,D43=$N$5),1.49,IF(AND(I43=$N$5,D43=$N$4),2.49,IF(AND(I43=$N$4,D43=$N$3),3.49,E43)))))))</f>
        <v>3</v>
      </c>
      <c r="K43" s="192" t="s">
        <v>87</v>
      </c>
      <c r="L43" s="378"/>
    </row>
    <row r="44" spans="1:12" s="124" customFormat="1" ht="18" customHeight="1" thickBot="1" x14ac:dyDescent="0.3">
      <c r="A44" s="139" t="s">
        <v>33</v>
      </c>
      <c r="B44" s="140"/>
      <c r="C44" s="140"/>
      <c r="D44" s="141"/>
      <c r="E44" s="141"/>
      <c r="F44" s="141"/>
      <c r="G44" s="141"/>
      <c r="H44" s="141"/>
      <c r="I44" s="141"/>
      <c r="J44" s="141"/>
      <c r="K44" s="141"/>
      <c r="L44" s="375"/>
    </row>
    <row r="45" spans="1:12" s="105" customFormat="1" ht="185.4" customHeight="1" x14ac:dyDescent="0.25">
      <c r="A45" s="496" t="s">
        <v>136</v>
      </c>
      <c r="B45" s="595"/>
      <c r="C45" s="38" t="s">
        <v>250</v>
      </c>
      <c r="D45" s="48" t="s">
        <v>41</v>
      </c>
      <c r="E45" s="163">
        <f>IF(D45=$N$6,1,IF(D45=$N$5,2,IF(D45=$N$4,3,IF(D45=$N$3,4,"n/a"))))</f>
        <v>2</v>
      </c>
      <c r="F45" s="538" t="s">
        <v>249</v>
      </c>
      <c r="G45" s="539"/>
      <c r="H45" s="539"/>
      <c r="I45" s="539"/>
      <c r="J45" s="539"/>
      <c r="K45" s="540"/>
      <c r="L45" s="371"/>
    </row>
    <row r="46" spans="1:12" s="105" customFormat="1" ht="142.19999999999999" customHeight="1" x14ac:dyDescent="0.25">
      <c r="A46" s="565" t="s">
        <v>38</v>
      </c>
      <c r="B46" s="493"/>
      <c r="C46" s="38" t="s">
        <v>252</v>
      </c>
      <c r="D46" s="48" t="s">
        <v>75</v>
      </c>
      <c r="E46" s="163">
        <f>IF(D46=$N$6,1,IF(D46=$N$5,2,IF(D46=$N$4,3,IF(D46=$N$3,4,"n/a"))))</f>
        <v>1</v>
      </c>
      <c r="F46" s="542" t="s">
        <v>251</v>
      </c>
      <c r="G46" s="542"/>
      <c r="H46" s="542"/>
      <c r="I46" s="542"/>
      <c r="J46" s="542"/>
      <c r="K46" s="542"/>
      <c r="L46" s="371"/>
    </row>
    <row r="47" spans="1:12" s="105" customFormat="1" ht="121.8" customHeight="1" x14ac:dyDescent="0.25">
      <c r="A47" s="565" t="s">
        <v>137</v>
      </c>
      <c r="B47" s="493"/>
      <c r="C47" s="38" t="s">
        <v>254</v>
      </c>
      <c r="D47" s="48" t="s">
        <v>41</v>
      </c>
      <c r="E47" s="163">
        <f>IF(D47=$N$6,1,IF(D47=$N$5,2,IF(D47=$N$4,3,IF(D47=$N$3,4,"n/a"))))</f>
        <v>2</v>
      </c>
      <c r="F47" s="536" t="s">
        <v>253</v>
      </c>
      <c r="G47" s="536"/>
      <c r="H47" s="536"/>
      <c r="I47" s="536"/>
      <c r="J47" s="536"/>
      <c r="K47" s="536"/>
      <c r="L47" s="371"/>
    </row>
    <row r="48" spans="1:12" s="105" customFormat="1" ht="167.4" customHeight="1" thickBot="1" x14ac:dyDescent="0.3">
      <c r="A48" s="563" t="s">
        <v>138</v>
      </c>
      <c r="B48" s="564"/>
      <c r="C48" s="193" t="s">
        <v>256</v>
      </c>
      <c r="D48" s="167" t="s">
        <v>41</v>
      </c>
      <c r="E48" s="163">
        <f>IF(D48=$N$6,1,IF(D48=$N$5,2,IF(D48=$N$4,3,IF(D48=$N$3,4,"n/a"))))</f>
        <v>2</v>
      </c>
      <c r="F48" s="485" t="s">
        <v>255</v>
      </c>
      <c r="G48" s="556"/>
      <c r="H48" s="556"/>
      <c r="I48" s="556"/>
      <c r="J48" s="556"/>
      <c r="K48" s="557"/>
      <c r="L48" s="371"/>
    </row>
    <row r="49" spans="1:19" s="124" customFormat="1" ht="32.25" customHeight="1" thickBot="1" x14ac:dyDescent="0.3">
      <c r="A49" s="562"/>
      <c r="B49" s="596"/>
      <c r="C49" s="36" t="s">
        <v>24</v>
      </c>
      <c r="D49" s="27" t="str">
        <f>IF(E49&lt;1.5,"Low",IF(E49&lt;2.5,"Moderate",IF(E49&lt;3.5,"Substantial",IF(E49&lt;4.5,"High","n/a"))))</f>
        <v>Moderate</v>
      </c>
      <c r="E49" s="145">
        <f>IF(COUNT(E45:E48)=0,"n/a",AVERAGE(E45:E48))</f>
        <v>1.75</v>
      </c>
      <c r="F49" s="49">
        <f>E49</f>
        <v>1.75</v>
      </c>
      <c r="G49" s="216"/>
      <c r="H49" s="50" t="s">
        <v>23</v>
      </c>
      <c r="I49" s="320" t="str">
        <f>D49</f>
        <v>Moderate</v>
      </c>
      <c r="J49" s="91">
        <f>IF(I49=$N$7,"n/a",IF(AND(I49=$N$5,D49=$N$6),1.5,IF(AND(I49=$N$4,D49=$N$5),2.5,IF(AND(I49=$N$3,D49=$N$4),3.5,IF(AND(I49=$N$6,D49=$N$5),1.49,IF(AND(I49=$N$5,D49=$N$4),2.49,IF(AND(I49=$N$4,D49=$N$3),3.49,E49)))))))</f>
        <v>1.75</v>
      </c>
      <c r="K49" s="92" t="s">
        <v>87</v>
      </c>
      <c r="L49" s="375"/>
    </row>
    <row r="50" spans="1:19" s="124" customFormat="1" ht="22.5" customHeight="1" thickBot="1" x14ac:dyDescent="0.3">
      <c r="A50" s="142" t="s">
        <v>141</v>
      </c>
      <c r="B50" s="143"/>
      <c r="C50" s="169"/>
      <c r="D50" s="169"/>
      <c r="E50" s="170"/>
      <c r="F50" s="144"/>
      <c r="G50" s="144"/>
      <c r="H50" s="144"/>
      <c r="I50" s="144"/>
      <c r="J50" s="144"/>
      <c r="K50" s="144"/>
      <c r="L50" s="375"/>
    </row>
    <row r="51" spans="1:19" s="124" customFormat="1" ht="112.2" customHeight="1" x14ac:dyDescent="0.25">
      <c r="A51" s="505" t="s">
        <v>140</v>
      </c>
      <c r="B51" s="505"/>
      <c r="C51" s="193" t="s">
        <v>257</v>
      </c>
      <c r="D51" s="168" t="s">
        <v>5</v>
      </c>
      <c r="E51" s="162">
        <f>IF(D51=$N$6,1,IF(D51=$N$5,2,IF(D51=$N$4,3,IF(D51=$N$3,4,"n/a"))))</f>
        <v>3</v>
      </c>
      <c r="F51" s="538" t="s">
        <v>328</v>
      </c>
      <c r="G51" s="539"/>
      <c r="H51" s="539"/>
      <c r="I51" s="539"/>
      <c r="J51" s="539"/>
      <c r="K51" s="540"/>
      <c r="L51" s="375"/>
    </row>
    <row r="52" spans="1:19" s="124" customFormat="1" ht="164.4" customHeight="1" x14ac:dyDescent="0.25">
      <c r="A52" s="505" t="s">
        <v>207</v>
      </c>
      <c r="B52" s="505"/>
      <c r="C52" s="193" t="s">
        <v>259</v>
      </c>
      <c r="D52" s="168" t="s">
        <v>5</v>
      </c>
      <c r="E52" s="162">
        <f>IF(D52=$N$6,1,IF(D52=$N$5,2,IF(D52=$N$4,3,IF(D52=$N$3,4,"n/a"))))</f>
        <v>3</v>
      </c>
      <c r="F52" s="535" t="s">
        <v>258</v>
      </c>
      <c r="G52" s="536"/>
      <c r="H52" s="536"/>
      <c r="I52" s="536"/>
      <c r="J52" s="536"/>
      <c r="K52" s="537"/>
      <c r="L52" s="375"/>
    </row>
    <row r="53" spans="1:19" s="124" customFormat="1" ht="66" customHeight="1" x14ac:dyDescent="0.25">
      <c r="A53" s="496" t="s">
        <v>139</v>
      </c>
      <c r="B53" s="496"/>
      <c r="C53" s="38"/>
      <c r="D53" s="168" t="s">
        <v>5</v>
      </c>
      <c r="E53" s="162">
        <f>IF(D53=$N$6,1,IF(D53=$N$5,2,IF(D53=$N$4,3,IF(D53=$N$3,4,"n/a"))))</f>
        <v>3</v>
      </c>
      <c r="F53" s="541" t="s">
        <v>269</v>
      </c>
      <c r="G53" s="542"/>
      <c r="H53" s="542"/>
      <c r="I53" s="542"/>
      <c r="J53" s="542"/>
      <c r="K53" s="543"/>
      <c r="L53" s="375"/>
    </row>
    <row r="54" spans="1:19" s="124" customFormat="1" ht="94.8" customHeight="1" x14ac:dyDescent="0.25">
      <c r="A54" s="505" t="s">
        <v>142</v>
      </c>
      <c r="B54" s="505"/>
      <c r="C54" s="193" t="s">
        <v>261</v>
      </c>
      <c r="D54" s="48" t="s">
        <v>5</v>
      </c>
      <c r="E54" s="171">
        <f>IF(D54=$N$6,1,IF(D54=$N$5,2,IF(D54=$N$4,3,IF(D54=$N$3,4,"n/a"))))</f>
        <v>3</v>
      </c>
      <c r="F54" s="535" t="s">
        <v>260</v>
      </c>
      <c r="G54" s="501"/>
      <c r="H54" s="536"/>
      <c r="I54" s="536"/>
      <c r="J54" s="536"/>
      <c r="K54" s="537"/>
      <c r="L54" s="375"/>
    </row>
    <row r="55" spans="1:19" s="124" customFormat="1" ht="154.19999999999999" customHeight="1" thickBot="1" x14ac:dyDescent="0.3">
      <c r="A55" s="496" t="s">
        <v>219</v>
      </c>
      <c r="B55" s="496"/>
      <c r="C55" s="38" t="s">
        <v>262</v>
      </c>
      <c r="D55" s="168" t="s">
        <v>41</v>
      </c>
      <c r="E55" s="163">
        <f>IF(D55=$N$6,1,IF(D55=$N$5,2,IF(D55=$N$4,3,IF(D55=$N$3,4,"n/a"))))</f>
        <v>2</v>
      </c>
      <c r="F55" s="536" t="s">
        <v>329</v>
      </c>
      <c r="G55" s="536"/>
      <c r="H55" s="536"/>
      <c r="I55" s="536"/>
      <c r="J55" s="501"/>
      <c r="K55" s="536"/>
      <c r="L55" s="375"/>
    </row>
    <row r="56" spans="1:19" s="105" customFormat="1" ht="28.5" customHeight="1" thickBot="1" x14ac:dyDescent="0.3">
      <c r="A56" s="554"/>
      <c r="B56" s="555"/>
      <c r="C56" s="36" t="s">
        <v>24</v>
      </c>
      <c r="D56" s="27" t="str">
        <f>IF(E56&lt;1.5,"Low",IF(E56&lt;2.5,"Moderate",IF(E56&lt;3.5,"Substantial",IF(E56&lt;4.5,"High","n/a"))))</f>
        <v>Substantial</v>
      </c>
      <c r="E56" s="145">
        <f>IF(COUNT(E51:E55)=0,"n/a",AVERAGE(E51:E55))</f>
        <v>2.8</v>
      </c>
      <c r="F56" s="28">
        <f>E56</f>
        <v>2.8</v>
      </c>
      <c r="G56" s="216"/>
      <c r="H56" s="29" t="s">
        <v>23</v>
      </c>
      <c r="I56" s="26" t="str">
        <f>D56</f>
        <v>Substantial</v>
      </c>
      <c r="J56" s="30">
        <f>IF(I56=$N$7,"n/a",IF(AND(I56=$N$5,D56=$N$6),1.5,IF(AND(I56=$N$4,D56=$N$5),2.5,IF(AND(I56=$N$3,D56=$N$4),3.5,IF(AND(I56=$N$6,D56=$N$5),1.49,IF(AND(I56=$N$5,D56=$N$4),2.49,IF(AND(I56=$N$4,D56=$N$3),3.49,E56)))))))</f>
        <v>2.8</v>
      </c>
      <c r="K56" s="89" t="s">
        <v>87</v>
      </c>
      <c r="L56" s="371"/>
    </row>
    <row r="57" spans="1:19" s="105" customFormat="1" ht="19.5" customHeight="1" thickBot="1" x14ac:dyDescent="0.3">
      <c r="A57" s="139" t="s">
        <v>143</v>
      </c>
      <c r="B57" s="146"/>
      <c r="C57" s="194"/>
      <c r="D57" s="147"/>
      <c r="E57" s="147"/>
      <c r="F57" s="147"/>
      <c r="G57" s="147"/>
      <c r="H57" s="147"/>
      <c r="I57" s="147"/>
      <c r="J57" s="147"/>
      <c r="K57" s="147"/>
      <c r="L57" s="371"/>
    </row>
    <row r="58" spans="1:19" s="124" customFormat="1" ht="46.8" customHeight="1" x14ac:dyDescent="0.25">
      <c r="A58" s="496" t="s">
        <v>37</v>
      </c>
      <c r="B58" s="496"/>
      <c r="C58" s="38"/>
      <c r="D58" s="166" t="s">
        <v>4</v>
      </c>
      <c r="E58" s="171">
        <f>IF(D58=$N$6,1,IF(D58=$N$5,2,IF(D58=$N$4,3,IF(D58=$N$3,4,"n/a"))))</f>
        <v>4</v>
      </c>
      <c r="F58" s="548" t="s">
        <v>263</v>
      </c>
      <c r="G58" s="549"/>
      <c r="H58" s="549"/>
      <c r="I58" s="549"/>
      <c r="J58" s="549"/>
      <c r="K58" s="550"/>
      <c r="L58" s="375"/>
    </row>
    <row r="59" spans="1:19" s="124" customFormat="1" ht="49.8" customHeight="1" x14ac:dyDescent="0.25">
      <c r="A59" s="496" t="s">
        <v>34</v>
      </c>
      <c r="B59" s="496"/>
      <c r="C59" s="38"/>
      <c r="D59" s="48" t="s">
        <v>5</v>
      </c>
      <c r="E59" s="118">
        <f>IF(D59=$N$6,1,IF(D59=$N$5,2,IF(D59=$N$4,3,IF(D59=$N$3,4,"n/a"))))</f>
        <v>3</v>
      </c>
      <c r="F59" s="535" t="s">
        <v>330</v>
      </c>
      <c r="G59" s="536"/>
      <c r="H59" s="536"/>
      <c r="I59" s="536"/>
      <c r="J59" s="536"/>
      <c r="K59" s="537"/>
      <c r="L59" s="375"/>
    </row>
    <row r="60" spans="1:19" s="124" customFormat="1" ht="153.6" customHeight="1" x14ac:dyDescent="0.25">
      <c r="A60" s="496" t="s">
        <v>35</v>
      </c>
      <c r="B60" s="496"/>
      <c r="C60" s="38" t="s">
        <v>265</v>
      </c>
      <c r="D60" s="48" t="s">
        <v>41</v>
      </c>
      <c r="E60" s="118">
        <f>IF(D60=$N$6,1,IF(D60=$N$5,2,IF(D60=$N$4,3,IF(D60=$N$3,4,"n/a"))))</f>
        <v>2</v>
      </c>
      <c r="F60" s="535" t="s">
        <v>264</v>
      </c>
      <c r="G60" s="536"/>
      <c r="H60" s="536"/>
      <c r="I60" s="536"/>
      <c r="J60" s="536"/>
      <c r="K60" s="537"/>
      <c r="L60" s="379"/>
    </row>
    <row r="61" spans="1:19" s="124" customFormat="1" ht="112.2" customHeight="1" thickBot="1" x14ac:dyDescent="0.3">
      <c r="A61" s="505" t="s">
        <v>36</v>
      </c>
      <c r="B61" s="505"/>
      <c r="C61" s="193"/>
      <c r="D61" s="176" t="s">
        <v>5</v>
      </c>
      <c r="E61" s="175">
        <f>IF(D61=$N$6,1,IF(D61=$N$5,2,IF(D61=$N$4,3,IF(D61=$N$3,4,"n/a"))))</f>
        <v>3</v>
      </c>
      <c r="F61" s="485" t="s">
        <v>270</v>
      </c>
      <c r="G61" s="556"/>
      <c r="H61" s="556"/>
      <c r="I61" s="556"/>
      <c r="J61" s="556"/>
      <c r="K61" s="557"/>
      <c r="L61" s="375"/>
    </row>
    <row r="62" spans="1:19" s="105" customFormat="1" ht="28.5" customHeight="1" thickBot="1" x14ac:dyDescent="0.3">
      <c r="A62" s="506"/>
      <c r="B62" s="507"/>
      <c r="C62" s="36" t="s">
        <v>24</v>
      </c>
      <c r="D62" s="27" t="str">
        <f>IF(E62&lt;1.5,"Low",IF(E62&lt;2.5,"Moderate",IF(E62&lt;3.5,"Substantial",IF(E62&lt;4.5,"High","n/a"))))</f>
        <v>Substantial</v>
      </c>
      <c r="E62" s="145">
        <f>IF(COUNT(E58:E61)=0,"n/a",AVERAGE(E58:E61))</f>
        <v>3</v>
      </c>
      <c r="F62" s="49">
        <f>E62</f>
        <v>3</v>
      </c>
      <c r="G62" s="120"/>
      <c r="H62" s="50" t="s">
        <v>23</v>
      </c>
      <c r="I62" s="320" t="str">
        <f>D62</f>
        <v>Substantial</v>
      </c>
      <c r="J62" s="91">
        <f>IF(I62=$N$7,"n/a",IF(AND(I62=$N$5,D62=$N$6),1.5,IF(AND(I62=$N$4,D62=$N$5),2.5,IF(AND(I62=$N$3,D62=$N$4),3.5,IF(AND(I62=$N$6,D62=$N$5),1.49,IF(AND(I62=$N$5,D62=$N$4),2.49,IF(AND(I62=$N$4,D62=$N$3),3.49,E62)))))))</f>
        <v>3</v>
      </c>
      <c r="K62" s="321" t="s">
        <v>87</v>
      </c>
      <c r="L62" s="371"/>
    </row>
    <row r="63" spans="1:19" s="105" customFormat="1" ht="21.75" customHeight="1" x14ac:dyDescent="0.25">
      <c r="A63" s="198" t="s">
        <v>144</v>
      </c>
      <c r="B63" s="138"/>
      <c r="C63" s="146"/>
      <c r="D63" s="138"/>
      <c r="E63" s="194"/>
      <c r="F63" s="194"/>
      <c r="G63" s="194"/>
      <c r="H63" s="194"/>
      <c r="I63" s="194"/>
      <c r="J63" s="194"/>
      <c r="K63" s="197"/>
      <c r="L63" s="371"/>
    </row>
    <row r="64" spans="1:19" s="148" customFormat="1" ht="106.8" customHeight="1" x14ac:dyDescent="0.25">
      <c r="A64" s="492" t="s">
        <v>145</v>
      </c>
      <c r="B64" s="493"/>
      <c r="C64" s="38" t="s">
        <v>266</v>
      </c>
      <c r="D64" s="195" t="s">
        <v>41</v>
      </c>
      <c r="E64" s="196">
        <f>IF(D64=$N$6,1,IF(D64=$N$5,2,IF(D64=$N$4,3,IF(D64=$N$3,4,"n/a"))))</f>
        <v>2</v>
      </c>
      <c r="F64" s="483" t="s">
        <v>331</v>
      </c>
      <c r="G64" s="484"/>
      <c r="H64" s="484"/>
      <c r="I64" s="484"/>
      <c r="J64" s="484"/>
      <c r="K64" s="484"/>
      <c r="L64" s="380"/>
      <c r="S64" s="149"/>
    </row>
    <row r="65" spans="1:19" s="148" customFormat="1" ht="124.8" customHeight="1" thickBot="1" x14ac:dyDescent="0.3">
      <c r="A65" s="497" t="s">
        <v>146</v>
      </c>
      <c r="B65" s="498"/>
      <c r="C65" s="191" t="s">
        <v>259</v>
      </c>
      <c r="D65" s="165" t="s">
        <v>41</v>
      </c>
      <c r="E65" s="163">
        <f>IF(D65=$N$6,1,IF(D65=$N$5,2,IF(D65=$N$4,3,IF(D65=$N$3,4,"n/a"))))</f>
        <v>2</v>
      </c>
      <c r="F65" s="485" t="s">
        <v>332</v>
      </c>
      <c r="G65" s="486"/>
      <c r="H65" s="486"/>
      <c r="I65" s="486"/>
      <c r="J65" s="486"/>
      <c r="K65" s="487"/>
      <c r="L65" s="380"/>
      <c r="S65" s="149"/>
    </row>
    <row r="66" spans="1:19" s="148" customFormat="1" ht="30" customHeight="1" thickBot="1" x14ac:dyDescent="0.3">
      <c r="A66" s="494"/>
      <c r="B66" s="495"/>
      <c r="C66" s="36" t="s">
        <v>24</v>
      </c>
      <c r="D66" s="27" t="str">
        <f>IF(E66&lt;1.5,"Low",IF(E66&lt;2.5,"Moderate",IF(E66&lt;3.5,"Substantial",IF(E66&lt;4.5,"High","n/a"))))</f>
        <v>Moderate</v>
      </c>
      <c r="E66" s="145">
        <f>IF(COUNT(E64:E65)=0,"n/a",AVERAGE(E64:E65))</f>
        <v>2</v>
      </c>
      <c r="F66" s="49">
        <f>E66</f>
        <v>2</v>
      </c>
      <c r="G66" s="216"/>
      <c r="H66" s="50" t="s">
        <v>23</v>
      </c>
      <c r="I66" s="320" t="str">
        <f>D66</f>
        <v>Moderate</v>
      </c>
      <c r="J66" s="91">
        <f>IF(I66=$N$7,"n/a",IF(AND(I66=$N$5,D66=$N$6),1.5,IF(AND(I66=$N$4,D66=$N$5),2.5,IF(AND(I66=$N$3,D66=$N$4),3.5,IF(AND(I66=$N$6,D66=$N$5),1.49,IF(AND(I66=$N$5,D66=$N$4),2.49,IF(AND(I66=$N$4,D66=$N$3),3.49,E66)))))))</f>
        <v>2</v>
      </c>
      <c r="K66" s="322" t="s">
        <v>87</v>
      </c>
      <c r="L66" s="381"/>
      <c r="S66" s="149"/>
    </row>
    <row r="67" spans="1:19" s="152" customFormat="1" ht="24.75" customHeight="1" thickBot="1" x14ac:dyDescent="0.3">
      <c r="A67" s="150" t="s">
        <v>197</v>
      </c>
      <c r="B67" s="151"/>
      <c r="C67" s="208"/>
      <c r="D67" s="208"/>
      <c r="E67" s="208"/>
      <c r="F67" s="208"/>
      <c r="G67" s="208"/>
      <c r="H67" s="208"/>
      <c r="I67" s="208"/>
      <c r="J67" s="208"/>
      <c r="K67" s="209"/>
      <c r="L67" s="373" t="s">
        <v>92</v>
      </c>
      <c r="Q67" s="153"/>
    </row>
    <row r="68" spans="1:19" s="152" customFormat="1" ht="23.25" customHeight="1" x14ac:dyDescent="0.25">
      <c r="A68" s="202" t="s">
        <v>191</v>
      </c>
      <c r="B68" s="203"/>
      <c r="C68" s="205"/>
      <c r="D68" s="206"/>
      <c r="E68" s="206"/>
      <c r="F68" s="206"/>
      <c r="G68" s="206"/>
      <c r="H68" s="206"/>
      <c r="I68" s="206"/>
      <c r="J68" s="206"/>
      <c r="K68" s="207"/>
      <c r="L68" s="380"/>
    </row>
    <row r="69" spans="1:19" s="152" customFormat="1" ht="219.6" customHeight="1" x14ac:dyDescent="0.25">
      <c r="A69" s="513" t="s">
        <v>208</v>
      </c>
      <c r="B69" s="594"/>
      <c r="C69" s="224" t="s">
        <v>271</v>
      </c>
      <c r="D69" s="225" t="s">
        <v>5</v>
      </c>
      <c r="E69" s="118">
        <f>IF(D69=$N$6,1,IF(D69=$N$5,2,IF(D69=$N$4,3,IF(D69=$N$3,4,"n/a"))))</f>
        <v>3</v>
      </c>
      <c r="F69" s="517" t="s">
        <v>348</v>
      </c>
      <c r="G69" s="517"/>
      <c r="H69" s="517"/>
      <c r="I69" s="517"/>
      <c r="J69" s="517"/>
      <c r="K69" s="517"/>
      <c r="L69" s="373" t="s">
        <v>92</v>
      </c>
    </row>
    <row r="70" spans="1:19" s="152" customFormat="1" ht="134.4" customHeight="1" thickBot="1" x14ac:dyDescent="0.3">
      <c r="A70" s="499" t="s">
        <v>51</v>
      </c>
      <c r="B70" s="500"/>
      <c r="C70" s="226" t="s">
        <v>272</v>
      </c>
      <c r="D70" s="165" t="s">
        <v>5</v>
      </c>
      <c r="E70" s="175">
        <f>IF(D70=$N$6,1,IF(D70=$N$5,2,IF(D70=$N$4,3,IF(D70=$N$3,4,"n/a"))))</f>
        <v>3</v>
      </c>
      <c r="F70" s="508" t="s">
        <v>349</v>
      </c>
      <c r="G70" s="509"/>
      <c r="H70" s="510"/>
      <c r="I70" s="510"/>
      <c r="J70" s="509"/>
      <c r="K70" s="510"/>
      <c r="L70" s="373" t="s">
        <v>92</v>
      </c>
    </row>
    <row r="71" spans="1:19" s="152" customFormat="1" ht="27" customHeight="1" thickBot="1" x14ac:dyDescent="0.3">
      <c r="A71" s="503"/>
      <c r="B71" s="504"/>
      <c r="C71" s="212" t="s">
        <v>24</v>
      </c>
      <c r="D71" s="46" t="str">
        <f>IF(E71&lt;1.5,"Low",IF(E71&lt;2.5,"Moderate",IF(E71&lt;3.5,"Substantial",IF(E71&lt;4.5,"High","n/a"))))</f>
        <v>Substantial</v>
      </c>
      <c r="E71" s="145">
        <f>IF(COUNT(E69:E70)=0,"n/a",AVERAGE(E69:E70))</f>
        <v>3</v>
      </c>
      <c r="F71" s="28">
        <f>E71</f>
        <v>3</v>
      </c>
      <c r="G71" s="216"/>
      <c r="H71" s="29" t="s">
        <v>23</v>
      </c>
      <c r="I71" s="26" t="str">
        <f>D71</f>
        <v>Substantial</v>
      </c>
      <c r="J71" s="30">
        <f>IF(I71=$N$7,"n/a",IF(AND(I71=$N$5,D71=$N$6),1.5,IF(AND(I71=$N$4,D71=$N$5),2.5,IF(AND(I71=$N$3,D71=$N$4),3.5,IF(AND(I71=$N$6,D71=$N$5),1.49,IF(AND(I71=$N$5,D71=$N$4),2.49,IF(AND(I71=$N$4,D71=$N$3),3.49,E71)))))))</f>
        <v>3</v>
      </c>
      <c r="K71" s="181" t="s">
        <v>87</v>
      </c>
      <c r="L71" s="380"/>
    </row>
    <row r="72" spans="1:19" s="152" customFormat="1" ht="20.25" customHeight="1" x14ac:dyDescent="0.25">
      <c r="A72" s="308" t="s">
        <v>42</v>
      </c>
      <c r="B72" s="205"/>
      <c r="C72" s="206"/>
      <c r="D72" s="199"/>
      <c r="E72" s="200"/>
      <c r="F72" s="206"/>
      <c r="G72" s="206"/>
      <c r="H72" s="206"/>
      <c r="I72" s="206"/>
      <c r="J72" s="206"/>
      <c r="K72" s="207"/>
      <c r="L72" s="380"/>
    </row>
    <row r="73" spans="1:19" s="152" customFormat="1" ht="159.6" customHeight="1" x14ac:dyDescent="0.25">
      <c r="A73" s="488" t="s">
        <v>209</v>
      </c>
      <c r="B73" s="489"/>
      <c r="C73" s="408" t="s">
        <v>273</v>
      </c>
      <c r="D73" s="168" t="s">
        <v>41</v>
      </c>
      <c r="E73" s="118">
        <f>IF(D73=$N$6,1,IF(D73=$N$5,2,IF(D73=$N$4,3,IF(D73=$N$3,4,"n/a"))))</f>
        <v>2</v>
      </c>
      <c r="F73" s="526" t="s">
        <v>350</v>
      </c>
      <c r="G73" s="510"/>
      <c r="H73" s="510"/>
      <c r="I73" s="510"/>
      <c r="J73" s="510"/>
      <c r="K73" s="527"/>
      <c r="L73" s="373"/>
    </row>
    <row r="74" spans="1:19" s="152" customFormat="1" ht="132" customHeight="1" thickBot="1" x14ac:dyDescent="0.3">
      <c r="A74" s="499" t="s">
        <v>55</v>
      </c>
      <c r="B74" s="500"/>
      <c r="C74" s="409" t="s">
        <v>274</v>
      </c>
      <c r="D74" s="167" t="s">
        <v>41</v>
      </c>
      <c r="E74" s="175">
        <f>IF(D74=$N$6,1,IF(D74=$N$5,2,IF(D74=$N$4,3,IF(D74=$N$3,4,"n/a"))))</f>
        <v>2</v>
      </c>
      <c r="F74" s="591" t="s">
        <v>351</v>
      </c>
      <c r="G74" s="592"/>
      <c r="H74" s="592"/>
      <c r="I74" s="592"/>
      <c r="J74" s="592"/>
      <c r="K74" s="599"/>
      <c r="L74" s="373" t="s">
        <v>92</v>
      </c>
    </row>
    <row r="75" spans="1:19" s="152" customFormat="1" ht="25.5" customHeight="1" thickBot="1" x14ac:dyDescent="0.3">
      <c r="A75" s="600"/>
      <c r="B75" s="601"/>
      <c r="C75" s="45" t="s">
        <v>24</v>
      </c>
      <c r="D75" s="27" t="str">
        <f>IF(E75&lt;1.5,"Low",IF(E75&lt;2.5,"Moderate",IF(E75&lt;3.5,"Substantial",IF(E75&lt;4.5,"High","n/a"))))</f>
        <v>Moderate</v>
      </c>
      <c r="E75" s="145">
        <f>IF(COUNT(E73:E74)=0,"n/a",AVERAGE(E73:E74))</f>
        <v>2</v>
      </c>
      <c r="F75" s="49">
        <f>E75</f>
        <v>2</v>
      </c>
      <c r="G75" s="216"/>
      <c r="H75" s="50" t="s">
        <v>23</v>
      </c>
      <c r="I75" s="320" t="str">
        <f>D75</f>
        <v>Moderate</v>
      </c>
      <c r="J75" s="91">
        <f>IF(I75=$N$7,"n/a",IF(AND(I75=$N$5,D75=$N$6),1.5,IF(AND(I75=$N$4,D75=$N$5),2.5,IF(AND(I75=$N$3,D75=$N$4),3.5,IF(AND(I75=$N$6,D75=$N$5),1.49,IF(AND(I75=$N$5,D75=$N$4),2.49,IF(AND(I75=$N$4,D75=$N$3),3.49,E75)))))))</f>
        <v>2</v>
      </c>
      <c r="K75" s="92" t="s">
        <v>87</v>
      </c>
      <c r="L75" s="380"/>
    </row>
    <row r="76" spans="1:19" s="152" customFormat="1" ht="21" customHeight="1" x14ac:dyDescent="0.25">
      <c r="A76" s="202" t="s">
        <v>52</v>
      </c>
      <c r="B76" s="203"/>
      <c r="C76" s="199"/>
      <c r="D76" s="199"/>
      <c r="E76" s="199"/>
      <c r="F76" s="199"/>
      <c r="G76" s="199"/>
      <c r="H76" s="199"/>
      <c r="I76" s="199"/>
      <c r="J76" s="199"/>
      <c r="K76" s="201"/>
      <c r="L76" s="380"/>
    </row>
    <row r="77" spans="1:19" s="152" customFormat="1" ht="184.2" customHeight="1" x14ac:dyDescent="0.25">
      <c r="A77" s="513" t="s">
        <v>53</v>
      </c>
      <c r="B77" s="594"/>
      <c r="C77" s="410" t="s">
        <v>275</v>
      </c>
      <c r="D77" s="168" t="s">
        <v>41</v>
      </c>
      <c r="E77" s="118">
        <f>IF(D77=$N$6,1,IF(D77=$N$5,2,IF(D77=$N$4,3,IF(D77=$N$3,4,"n/a"))))</f>
        <v>2</v>
      </c>
      <c r="F77" s="517" t="s">
        <v>352</v>
      </c>
      <c r="G77" s="518"/>
      <c r="H77" s="518"/>
      <c r="I77" s="518"/>
      <c r="J77" s="518"/>
      <c r="K77" s="518"/>
      <c r="L77" s="380"/>
    </row>
    <row r="78" spans="1:19" s="152" customFormat="1" ht="169.8" customHeight="1" x14ac:dyDescent="0.25">
      <c r="A78" s="513" t="s">
        <v>54</v>
      </c>
      <c r="B78" s="514"/>
      <c r="C78" s="408" t="s">
        <v>276</v>
      </c>
      <c r="D78" s="400" t="s">
        <v>41</v>
      </c>
      <c r="E78" s="118">
        <f>IF(D78=$N$6,1,IF(D78=$N$5,2,IF(D78=$N$4,3,IF(D78=$N$3,4,"n/a"))))</f>
        <v>2</v>
      </c>
      <c r="F78" s="508" t="s">
        <v>353</v>
      </c>
      <c r="G78" s="510"/>
      <c r="H78" s="510"/>
      <c r="I78" s="510"/>
      <c r="J78" s="510"/>
      <c r="K78" s="510"/>
      <c r="L78" s="373" t="s">
        <v>92</v>
      </c>
    </row>
    <row r="79" spans="1:19" s="152" customFormat="1" ht="24" customHeight="1" thickBot="1" x14ac:dyDescent="0.3">
      <c r="A79" s="513" t="s">
        <v>72</v>
      </c>
      <c r="B79" s="514"/>
      <c r="C79" s="226" t="s">
        <v>277</v>
      </c>
      <c r="D79" s="167" t="s">
        <v>19</v>
      </c>
      <c r="E79" s="175" t="str">
        <f>IF(D79=$N$6,1,IF(D79=$N$5,2,IF(D79=$N$4,3,IF(D79=$N$3,4,"n/a"))))</f>
        <v>n/a</v>
      </c>
      <c r="F79" s="510" t="s">
        <v>16</v>
      </c>
      <c r="G79" s="509"/>
      <c r="H79" s="510"/>
      <c r="I79" s="510"/>
      <c r="J79" s="509"/>
      <c r="K79" s="510"/>
      <c r="L79" s="373" t="s">
        <v>92</v>
      </c>
    </row>
    <row r="80" spans="1:19" s="152" customFormat="1" ht="27.75" customHeight="1" thickBot="1" x14ac:dyDescent="0.3">
      <c r="A80" s="600"/>
      <c r="B80" s="601"/>
      <c r="C80" s="45" t="s">
        <v>24</v>
      </c>
      <c r="D80" s="27" t="str">
        <f>IF(E80&lt;1.5,"Low",IF(E80&lt;2.5,"Moderate",IF(E80&lt;3.5,"Substantial",IF(E80&lt;4.5,"High","n/a"))))</f>
        <v>Moderate</v>
      </c>
      <c r="E80" s="145">
        <f>IF(COUNT(E77:E79)=0,"n/a",AVERAGE(E77:E79))</f>
        <v>2</v>
      </c>
      <c r="F80" s="28">
        <f>E80</f>
        <v>2</v>
      </c>
      <c r="G80" s="216"/>
      <c r="H80" s="29" t="s">
        <v>23</v>
      </c>
      <c r="I80" s="26" t="str">
        <f>D80</f>
        <v>Moderate</v>
      </c>
      <c r="J80" s="30">
        <f>IF(I80=$N$7,"n/a",IF(AND(I80=$N$5,D80=$N$6),1.5,IF(AND(I80=$N$4,D80=$N$5),2.5,IF(AND(I80=$N$3,D80=$N$4),3.5,IF(AND(I80=$N$6,D80=$N$5),1.49,IF(AND(I80=$N$5,D80=$N$4),2.49,IF(AND(I80=$N$4,D80=$N$3),3.49,E80)))))))</f>
        <v>2</v>
      </c>
      <c r="K80" s="89" t="s">
        <v>87</v>
      </c>
      <c r="L80" s="380"/>
    </row>
    <row r="81" spans="1:17" s="152" customFormat="1" ht="21" customHeight="1" x14ac:dyDescent="0.25">
      <c r="A81" s="204" t="s">
        <v>56</v>
      </c>
      <c r="B81" s="199"/>
      <c r="C81" s="199"/>
      <c r="D81" s="199"/>
      <c r="E81" s="199"/>
      <c r="F81" s="199"/>
      <c r="G81" s="199"/>
      <c r="H81" s="199"/>
      <c r="I81" s="199"/>
      <c r="J81" s="199"/>
      <c r="K81" s="201"/>
      <c r="L81" s="380"/>
    </row>
    <row r="82" spans="1:17" s="152" customFormat="1" ht="161.4" customHeight="1" x14ac:dyDescent="0.25">
      <c r="A82" s="513" t="s">
        <v>210</v>
      </c>
      <c r="B82" s="594"/>
      <c r="C82" s="410" t="s">
        <v>278</v>
      </c>
      <c r="D82" s="168" t="s">
        <v>41</v>
      </c>
      <c r="E82" s="118">
        <f>IF(D82=$N$6,1,IF(D82=$N$5,2,IF(D82=$N$4,3,IF(D82=$N$3,4,"n/a"))))</f>
        <v>2</v>
      </c>
      <c r="F82" s="517" t="s">
        <v>354</v>
      </c>
      <c r="G82" s="518"/>
      <c r="H82" s="518"/>
      <c r="I82" s="518"/>
      <c r="J82" s="518"/>
      <c r="K82" s="518"/>
      <c r="L82" s="380"/>
    </row>
    <row r="83" spans="1:17" s="152" customFormat="1" ht="137.4" customHeight="1" thickBot="1" x14ac:dyDescent="0.3">
      <c r="A83" s="499" t="s">
        <v>74</v>
      </c>
      <c r="B83" s="500"/>
      <c r="C83" s="226" t="s">
        <v>274</v>
      </c>
      <c r="D83" s="167" t="s">
        <v>41</v>
      </c>
      <c r="E83" s="175">
        <f>IF(D83=$N$6,1,IF(D83=$N$5,2,IF(D83=$N$4,3,IF(D83=$N$3,4,"n/a"))))</f>
        <v>2</v>
      </c>
      <c r="F83" s="591" t="s">
        <v>355</v>
      </c>
      <c r="G83" s="592"/>
      <c r="H83" s="592"/>
      <c r="I83" s="592"/>
      <c r="J83" s="592"/>
      <c r="K83" s="593"/>
      <c r="L83" s="373" t="s">
        <v>92</v>
      </c>
      <c r="Q83" s="154"/>
    </row>
    <row r="84" spans="1:17" s="152" customFormat="1" ht="26.25" customHeight="1" thickBot="1" x14ac:dyDescent="0.3">
      <c r="A84" s="210"/>
      <c r="B84" s="211"/>
      <c r="C84" s="212" t="s">
        <v>24</v>
      </c>
      <c r="D84" s="27" t="str">
        <f>IF(E84&lt;1.5,"Low",IF(E84&lt;2.5,"Moderate",IF(E84&lt;3.5,"Substantial",IF(E84&lt;4.5,"High","n/a"))))</f>
        <v>Moderate</v>
      </c>
      <c r="E84" s="145">
        <f>IF(COUNT(E82:E83)=0,"n/a",AVERAGE(E82:E83))</f>
        <v>2</v>
      </c>
      <c r="F84" s="49">
        <f>E84</f>
        <v>2</v>
      </c>
      <c r="G84" s="217"/>
      <c r="H84" s="319" t="s">
        <v>23</v>
      </c>
      <c r="I84" s="320" t="str">
        <f>D84</f>
        <v>Moderate</v>
      </c>
      <c r="J84" s="91">
        <f>IF(I84=$N$7,"n/a",IF(AND(I84=$N$5,D84=$N$6),1.5,IF(AND(I84=$N$4,D84=$N$5),2.5,IF(AND(I84=$N$3,D84=$N$4),3.5,IF(AND(I84=$N$6,D84=$N$5),1.49,IF(AND(I84=$N$5,D84=$N$4),2.49,IF(AND(I84=$N$4,D84=$N$3),3.49,E84)))))))</f>
        <v>2</v>
      </c>
      <c r="K84" s="321" t="s">
        <v>87</v>
      </c>
      <c r="L84" s="380"/>
      <c r="Q84" s="155"/>
    </row>
    <row r="85" spans="1:17" s="152" customFormat="1" ht="26.25" customHeight="1" thickBot="1" x14ac:dyDescent="0.3">
      <c r="A85" s="285" t="s">
        <v>198</v>
      </c>
      <c r="B85" s="284"/>
      <c r="C85" s="284"/>
      <c r="D85" s="284"/>
      <c r="E85" s="284"/>
      <c r="F85" s="284"/>
      <c r="G85" s="284"/>
      <c r="H85" s="284"/>
      <c r="I85" s="284"/>
      <c r="J85" s="284"/>
      <c r="K85" s="284"/>
      <c r="L85" s="380"/>
      <c r="Q85" s="155"/>
    </row>
    <row r="86" spans="1:17" s="152" customFormat="1" ht="21.75" customHeight="1" x14ac:dyDescent="0.25">
      <c r="A86" s="389" t="s">
        <v>165</v>
      </c>
      <c r="B86" s="286"/>
      <c r="C86" s="286"/>
      <c r="D86" s="286"/>
      <c r="E86" s="286"/>
      <c r="F86" s="286"/>
      <c r="G86" s="286"/>
      <c r="H86" s="286"/>
      <c r="I86" s="286"/>
      <c r="J86" s="286"/>
      <c r="K86" s="287"/>
      <c r="L86" s="380"/>
      <c r="Q86" s="155"/>
    </row>
    <row r="87" spans="1:17" s="152" customFormat="1" ht="153.6" customHeight="1" x14ac:dyDescent="0.25">
      <c r="A87" s="519" t="s">
        <v>147</v>
      </c>
      <c r="B87" s="520"/>
      <c r="C87" s="288" t="s">
        <v>279</v>
      </c>
      <c r="D87" s="225" t="s">
        <v>4</v>
      </c>
      <c r="E87" s="213">
        <f>IF(D87=$N$6,1,IF(D87=$N$5,2,IF(D87=$N$4,3,IF(D87=$N$3,4,"n/a"))))</f>
        <v>4</v>
      </c>
      <c r="F87" s="517" t="s">
        <v>368</v>
      </c>
      <c r="G87" s="518"/>
      <c r="H87" s="518"/>
      <c r="I87" s="518"/>
      <c r="J87" s="518"/>
      <c r="K87" s="518"/>
      <c r="L87" s="380"/>
      <c r="Q87" s="155"/>
    </row>
    <row r="88" spans="1:17" s="152" customFormat="1" ht="94.8" customHeight="1" x14ac:dyDescent="0.25">
      <c r="A88" s="519" t="s">
        <v>148</v>
      </c>
      <c r="B88" s="520"/>
      <c r="C88" s="288" t="s">
        <v>280</v>
      </c>
      <c r="D88" s="225" t="s">
        <v>5</v>
      </c>
      <c r="E88" s="213">
        <f>IF(D88=$N$6,1,IF(D88=$N$5,2,IF(D88=$N$4,3,IF(D88=$N$3,4,"n/a"))))</f>
        <v>3</v>
      </c>
      <c r="F88" s="517" t="s">
        <v>369</v>
      </c>
      <c r="G88" s="518"/>
      <c r="H88" s="518"/>
      <c r="I88" s="518"/>
      <c r="J88" s="518"/>
      <c r="K88" s="518"/>
      <c r="L88" s="373" t="s">
        <v>92</v>
      </c>
      <c r="Q88" s="155"/>
    </row>
    <row r="89" spans="1:17" s="152" customFormat="1" ht="129" customHeight="1" x14ac:dyDescent="0.25">
      <c r="A89" s="519" t="s">
        <v>149</v>
      </c>
      <c r="B89" s="520"/>
      <c r="C89" s="288" t="s">
        <v>281</v>
      </c>
      <c r="D89" s="225" t="s">
        <v>41</v>
      </c>
      <c r="E89" s="213">
        <f>IF(D89=$N$6,1,IF(D89=$N$5,2,IF(D89=$N$4,3,IF(D89=$N$3,4,"n/a"))))</f>
        <v>2</v>
      </c>
      <c r="F89" s="517" t="s">
        <v>370</v>
      </c>
      <c r="G89" s="518"/>
      <c r="H89" s="518"/>
      <c r="I89" s="518"/>
      <c r="J89" s="518"/>
      <c r="K89" s="518"/>
      <c r="L89" s="380"/>
      <c r="Q89" s="155"/>
    </row>
    <row r="90" spans="1:17" s="152" customFormat="1" ht="132" customHeight="1" thickBot="1" x14ac:dyDescent="0.3">
      <c r="A90" s="519" t="s">
        <v>166</v>
      </c>
      <c r="B90" s="520"/>
      <c r="C90" s="288" t="s">
        <v>282</v>
      </c>
      <c r="D90" s="225" t="s">
        <v>41</v>
      </c>
      <c r="E90" s="213">
        <f>IF(D90=$N$6,1,IF(D90=$N$5,2,IF(D90=$N$4,3,IF(D90=$N$3,4,"n/a"))))</f>
        <v>2</v>
      </c>
      <c r="F90" s="517" t="s">
        <v>371</v>
      </c>
      <c r="G90" s="518"/>
      <c r="H90" s="518"/>
      <c r="I90" s="518"/>
      <c r="J90" s="521"/>
      <c r="K90" s="518"/>
      <c r="L90" s="380"/>
      <c r="Q90" s="155"/>
    </row>
    <row r="91" spans="1:17" s="152" customFormat="1" ht="26.25" customHeight="1" thickBot="1" x14ac:dyDescent="0.3">
      <c r="A91" s="524"/>
      <c r="B91" s="525"/>
      <c r="C91" s="289" t="s">
        <v>24</v>
      </c>
      <c r="D91" s="27" t="str">
        <f>IF(E91&lt;1.5,"Low",IF(E91&lt;2.5,"Moderate",IF(E91&lt;3.5,"Substantial",IF(E91&lt;4.5,"High","n/a"))))</f>
        <v>Substantial</v>
      </c>
      <c r="E91" s="145">
        <f>IF(COUNT(E87:E90)=0,"n/a",AVERAGE(E87:E90))</f>
        <v>2.75</v>
      </c>
      <c r="F91" s="28">
        <f>E91</f>
        <v>2.75</v>
      </c>
      <c r="G91" s="217"/>
      <c r="H91" s="51" t="s">
        <v>23</v>
      </c>
      <c r="I91" s="26" t="str">
        <f>D91</f>
        <v>Substantial</v>
      </c>
      <c r="J91" s="30">
        <f>IF(I91=$N$7,"n/a",IF(AND(I91=$N$5,D91=$N$6),1.5,IF(AND(I91=$N$4,D91=$N$5),2.5,IF(AND(I91=$N$3,D91=$N$4),3.5,IF(AND(I91=$N$6,D91=$N$5),1.49,IF(AND(I91=$N$5,D91=$N$4),2.49,IF(AND(I91=$N$4,D91=$N$3),3.49,E91)))))))</f>
        <v>2.75</v>
      </c>
      <c r="K91" s="89" t="s">
        <v>87</v>
      </c>
      <c r="L91" s="380"/>
      <c r="Q91" s="155"/>
    </row>
    <row r="92" spans="1:17" s="152" customFormat="1" ht="21" customHeight="1" x14ac:dyDescent="0.25">
      <c r="A92" s="389" t="s">
        <v>159</v>
      </c>
      <c r="B92" s="286"/>
      <c r="C92" s="286"/>
      <c r="D92" s="286"/>
      <c r="E92" s="286"/>
      <c r="F92" s="286"/>
      <c r="G92" s="286"/>
      <c r="H92" s="286"/>
      <c r="I92" s="286"/>
      <c r="J92" s="286"/>
      <c r="K92" s="287"/>
      <c r="L92" s="380"/>
      <c r="Q92" s="155"/>
    </row>
    <row r="93" spans="1:17" s="152" customFormat="1" ht="143.4" customHeight="1" x14ac:dyDescent="0.25">
      <c r="A93" s="519" t="s">
        <v>160</v>
      </c>
      <c r="B93" s="520"/>
      <c r="C93" s="288" t="s">
        <v>283</v>
      </c>
      <c r="D93" s="168" t="s">
        <v>41</v>
      </c>
      <c r="E93" s="213">
        <f>IF(D93=$N$6,1,IF(D93=$N$5,2,IF(D93=$N$4,3,IF(D93=$N$3,4,"n/a"))))</f>
        <v>2</v>
      </c>
      <c r="F93" s="517" t="s">
        <v>372</v>
      </c>
      <c r="G93" s="518"/>
      <c r="H93" s="518"/>
      <c r="I93" s="518"/>
      <c r="J93" s="518"/>
      <c r="K93" s="518"/>
      <c r="L93" s="380"/>
      <c r="Q93" s="155"/>
    </row>
    <row r="94" spans="1:17" s="152" customFormat="1" ht="139.80000000000001" customHeight="1" thickBot="1" x14ac:dyDescent="0.3">
      <c r="A94" s="602" t="s">
        <v>168</v>
      </c>
      <c r="B94" s="603"/>
      <c r="C94" s="290" t="s">
        <v>284</v>
      </c>
      <c r="D94" s="167" t="s">
        <v>41</v>
      </c>
      <c r="E94" s="175">
        <f>IF(D94=$N$6,1,IF(D94=$N$5,2,IF(D94=$N$4,3,IF(D94=$N$3,4,"n/a"))))</f>
        <v>2</v>
      </c>
      <c r="F94" s="530" t="s">
        <v>373</v>
      </c>
      <c r="G94" s="531"/>
      <c r="H94" s="531"/>
      <c r="I94" s="531"/>
      <c r="J94" s="531"/>
      <c r="K94" s="529"/>
      <c r="L94" s="373" t="s">
        <v>92</v>
      </c>
      <c r="Q94" s="155"/>
    </row>
    <row r="95" spans="1:17" s="152" customFormat="1" ht="26.25" customHeight="1" thickBot="1" x14ac:dyDescent="0.3">
      <c r="A95" s="604"/>
      <c r="B95" s="605"/>
      <c r="C95" s="289" t="s">
        <v>24</v>
      </c>
      <c r="D95" s="27" t="str">
        <f>IF(E95&lt;1.5,"Low",IF(E95&lt;2.5,"Moderate",IF(E95&lt;3.5,"Substantial",IF(E95&lt;4.5,"High","n/a"))))</f>
        <v>Moderate</v>
      </c>
      <c r="E95" s="145">
        <f>IF(COUNT(E93:E94)=0,"n/a",AVERAGE(E93:E94))</f>
        <v>2</v>
      </c>
      <c r="F95" s="28">
        <f>E95</f>
        <v>2</v>
      </c>
      <c r="G95" s="216"/>
      <c r="H95" s="29" t="s">
        <v>23</v>
      </c>
      <c r="I95" s="26" t="str">
        <f>D95</f>
        <v>Moderate</v>
      </c>
      <c r="J95" s="30">
        <f>IF(I95=$N$7,"n/a",IF(AND(I95=$N$5,D95=$N$6),1.5,IF(AND(I95=$N$4,D95=$N$5),2.5,IF(AND(I95=$N$3,D95=$N$4),3.5,IF(AND(I95=$N$6,D95=$N$5),1.49,IF(AND(I95=$N$5,D95=$N$4),2.49,IF(AND(I95=$N$4,D95=$N$3),3.49,E95)))))))</f>
        <v>2</v>
      </c>
      <c r="K95" s="89" t="s">
        <v>87</v>
      </c>
      <c r="L95" s="380"/>
      <c r="Q95" s="155"/>
    </row>
    <row r="96" spans="1:17" s="152" customFormat="1" ht="21" customHeight="1" x14ac:dyDescent="0.25">
      <c r="A96" s="389" t="s">
        <v>151</v>
      </c>
      <c r="B96" s="286"/>
      <c r="C96" s="286"/>
      <c r="D96" s="286"/>
      <c r="E96" s="286"/>
      <c r="F96" s="286"/>
      <c r="G96" s="286"/>
      <c r="H96" s="286"/>
      <c r="I96" s="286"/>
      <c r="J96" s="286"/>
      <c r="K96" s="287"/>
      <c r="L96" s="380"/>
      <c r="Q96" s="155"/>
    </row>
    <row r="97" spans="1:17" s="152" customFormat="1" ht="162.6" customHeight="1" x14ac:dyDescent="0.25">
      <c r="A97" s="519" t="s">
        <v>152</v>
      </c>
      <c r="B97" s="520"/>
      <c r="C97" s="291" t="s">
        <v>285</v>
      </c>
      <c r="D97" s="168" t="s">
        <v>41</v>
      </c>
      <c r="E97" s="118">
        <f>IF(D97=$N$6,1,IF(D97=$N$5,2,IF(D97=$N$4,3,IF(D97=$N$3,4,"n/a"))))</f>
        <v>2</v>
      </c>
      <c r="F97" s="517" t="s">
        <v>374</v>
      </c>
      <c r="G97" s="518"/>
      <c r="H97" s="518"/>
      <c r="I97" s="518"/>
      <c r="J97" s="518"/>
      <c r="K97" s="518"/>
      <c r="L97" s="373" t="s">
        <v>92</v>
      </c>
      <c r="Q97" s="155"/>
    </row>
    <row r="98" spans="1:17" s="152" customFormat="1" ht="116.4" customHeight="1" x14ac:dyDescent="0.25">
      <c r="A98" s="602" t="s">
        <v>153</v>
      </c>
      <c r="B98" s="606"/>
      <c r="C98" s="291"/>
      <c r="D98" s="48" t="s">
        <v>41</v>
      </c>
      <c r="E98" s="118">
        <f>IF(D98=$N$6,1,IF(D98=$N$5,2,IF(D98=$N$4,3,IF(D98=$N$3,4,"n/a"))))</f>
        <v>2</v>
      </c>
      <c r="F98" s="526" t="s">
        <v>375</v>
      </c>
      <c r="G98" s="510"/>
      <c r="H98" s="510"/>
      <c r="I98" s="510"/>
      <c r="J98" s="510"/>
      <c r="K98" s="527"/>
      <c r="L98" s="373" t="s">
        <v>92</v>
      </c>
      <c r="P98" s="306"/>
      <c r="Q98" s="155"/>
    </row>
    <row r="99" spans="1:17" s="152" customFormat="1" ht="105" customHeight="1" thickBot="1" x14ac:dyDescent="0.3">
      <c r="A99" s="607" t="s">
        <v>211</v>
      </c>
      <c r="B99" s="608"/>
      <c r="C99" s="292" t="s">
        <v>286</v>
      </c>
      <c r="D99" s="282" t="s">
        <v>5</v>
      </c>
      <c r="E99" s="283">
        <f>IF(D99=$N$6,1,IF(D99=$N$5,2,IF(D99=$N$4,3,IF(D99=$N$3,4,"n/a"))))</f>
        <v>3</v>
      </c>
      <c r="F99" s="528" t="s">
        <v>376</v>
      </c>
      <c r="G99" s="509"/>
      <c r="H99" s="509"/>
      <c r="I99" s="509"/>
      <c r="J99" s="509"/>
      <c r="K99" s="529"/>
      <c r="L99" s="380"/>
      <c r="P99" s="306"/>
      <c r="Q99" s="155"/>
    </row>
    <row r="100" spans="1:17" s="152" customFormat="1" ht="26.25" customHeight="1" thickBot="1" x14ac:dyDescent="0.3">
      <c r="A100" s="597"/>
      <c r="B100" s="598"/>
      <c r="C100" s="289" t="s">
        <v>24</v>
      </c>
      <c r="D100" s="27" t="str">
        <f>IF(E100&lt;1.5,"Low",IF(E100&lt;2.5,"Moderate",IF(E100&lt;3.5,"Substantial",IF(E100&lt;4.5,"High","n/a"))))</f>
        <v>Moderate</v>
      </c>
      <c r="E100" s="145">
        <f>IF(COUNT(E97:E99)=0,"n/a",AVERAGE(E97:E99))</f>
        <v>2.3333333333333335</v>
      </c>
      <c r="F100" s="28">
        <f>E100</f>
        <v>2.3333333333333335</v>
      </c>
      <c r="G100" s="216"/>
      <c r="H100" s="29" t="s">
        <v>23</v>
      </c>
      <c r="I100" s="26" t="str">
        <f>D100</f>
        <v>Moderate</v>
      </c>
      <c r="J100" s="30">
        <f>IF(I100=$N$7,"n/a",IF(AND(I100=$N$5,D100=$N$6),1.5,IF(AND(I100=$N$4,D100=$N$5),2.5,IF(AND(I100=$N$3,D100=$N$4),3.5,IF(AND(I100=$N$6,D100=$N$5),1.49,IF(AND(I100=$N$5,D100=$N$4),2.49,IF(AND(I100=$N$4,D100=$N$3),3.49,E100)))))))</f>
        <v>2.3333333333333335</v>
      </c>
      <c r="K100" s="89" t="s">
        <v>87</v>
      </c>
      <c r="L100" s="380"/>
      <c r="P100" s="306"/>
      <c r="Q100" s="155"/>
    </row>
    <row r="101" spans="1:17" s="152" customFormat="1" ht="23.25" customHeight="1" thickBot="1" x14ac:dyDescent="0.3">
      <c r="A101" s="156" t="s">
        <v>199</v>
      </c>
      <c r="B101" s="157"/>
      <c r="C101" s="157"/>
      <c r="D101" s="157"/>
      <c r="E101" s="157"/>
      <c r="F101" s="157"/>
      <c r="G101" s="157"/>
      <c r="H101" s="157"/>
      <c r="I101" s="157"/>
      <c r="J101" s="157"/>
      <c r="K101" s="157"/>
      <c r="L101" s="380"/>
      <c r="M101" s="155"/>
    </row>
    <row r="102" spans="1:17" s="152" customFormat="1" ht="20.25" customHeight="1" x14ac:dyDescent="0.25">
      <c r="A102" s="390" t="s">
        <v>155</v>
      </c>
      <c r="B102" s="214"/>
      <c r="C102" s="214"/>
      <c r="D102" s="214"/>
      <c r="E102" s="214"/>
      <c r="F102" s="214"/>
      <c r="G102" s="214"/>
      <c r="H102" s="214"/>
      <c r="I102" s="214"/>
      <c r="J102" s="214"/>
      <c r="K102" s="215"/>
      <c r="L102" s="380"/>
    </row>
    <row r="103" spans="1:17" s="152" customFormat="1" ht="153" customHeight="1" x14ac:dyDescent="0.25">
      <c r="A103" s="585" t="s">
        <v>212</v>
      </c>
      <c r="B103" s="586"/>
      <c r="C103" s="227" t="s">
        <v>287</v>
      </c>
      <c r="D103" s="225" t="s">
        <v>41</v>
      </c>
      <c r="E103" s="213">
        <f>IF(D103=$N$6,1,IF(D103=$N$5,2,IF(D103=$N$4,3,IF(D103=$N$3,4,"n/a"))))</f>
        <v>2</v>
      </c>
      <c r="F103" s="517" t="s">
        <v>385</v>
      </c>
      <c r="G103" s="518"/>
      <c r="H103" s="518"/>
      <c r="I103" s="518"/>
      <c r="J103" s="518"/>
      <c r="K103" s="518"/>
      <c r="L103" s="373" t="s">
        <v>92</v>
      </c>
      <c r="Q103" s="155"/>
    </row>
    <row r="104" spans="1:17" s="152" customFormat="1" ht="126" customHeight="1" x14ac:dyDescent="0.25">
      <c r="A104" s="587" t="s">
        <v>213</v>
      </c>
      <c r="B104" s="588"/>
      <c r="C104" s="228" t="s">
        <v>288</v>
      </c>
      <c r="D104" s="195" t="s">
        <v>41</v>
      </c>
      <c r="E104" s="118">
        <f>IF(D104=$N$6,1,IF(D104=$N$5,2,IF(D104=$N$4,3,IF(D104=$N$3,4,"n/a"))))</f>
        <v>2</v>
      </c>
      <c r="F104" s="508" t="s">
        <v>386</v>
      </c>
      <c r="G104" s="510"/>
      <c r="H104" s="510"/>
      <c r="I104" s="510"/>
      <c r="J104" s="510"/>
      <c r="K104" s="510"/>
      <c r="L104" s="373" t="s">
        <v>92</v>
      </c>
      <c r="Q104" s="158"/>
    </row>
    <row r="105" spans="1:17" ht="185.4" customHeight="1" thickBot="1" x14ac:dyDescent="0.3">
      <c r="A105" s="515" t="s">
        <v>214</v>
      </c>
      <c r="B105" s="516"/>
      <c r="C105" s="229" t="s">
        <v>289</v>
      </c>
      <c r="D105" s="165" t="s">
        <v>41</v>
      </c>
      <c r="E105" s="175">
        <f>IF(D105=$N$6,1,IF(D105=$N$5,2,IF(D105=$N$4,3,IF(D105=$N$3,4,"n/a"))))</f>
        <v>2</v>
      </c>
      <c r="F105" s="508" t="s">
        <v>387</v>
      </c>
      <c r="G105" s="509"/>
      <c r="H105" s="510"/>
      <c r="I105" s="510"/>
      <c r="J105" s="509"/>
      <c r="K105" s="510"/>
      <c r="L105" s="373" t="s">
        <v>92</v>
      </c>
    </row>
    <row r="106" spans="1:17" ht="32.25" customHeight="1" thickBot="1" x14ac:dyDescent="0.3">
      <c r="A106" s="522"/>
      <c r="B106" s="523"/>
      <c r="C106" s="39" t="s">
        <v>24</v>
      </c>
      <c r="D106" s="27" t="str">
        <f>IF(E106&lt;1.5,"Low",IF(E106&lt;2.5,"Moderate",IF(E106&lt;3.5,"Substantial",IF(E106&lt;4.5,"High","n/a"))))</f>
        <v>Moderate</v>
      </c>
      <c r="E106" s="145">
        <f>IF(COUNT(E103:E105)=0,"n/a",AVERAGE(E103:E105))</f>
        <v>2</v>
      </c>
      <c r="F106" s="28">
        <f>E106</f>
        <v>2</v>
      </c>
      <c r="G106" s="217"/>
      <c r="H106" s="51" t="s">
        <v>23</v>
      </c>
      <c r="I106" s="26" t="str">
        <f>D106</f>
        <v>Moderate</v>
      </c>
      <c r="J106" s="30">
        <f>IF(I106=$N$7,"n/a",IF(AND(I106=$N$5,D106=$N$6),1.5,IF(AND(I106=$N$4,D106=$N$5),2.5,IF(AND(I106=$N$3,D106=$N$4),3.5,IF(AND(I106=$N$6,D106=$N$5),1.49,IF(AND(I106=$N$5,D106=$N$4),2.49,IF(AND(I106=$N$4,D106=$N$3),3.49,E106)))))))</f>
        <v>2</v>
      </c>
      <c r="K106" s="89" t="s">
        <v>87</v>
      </c>
      <c r="L106" s="375"/>
    </row>
    <row r="107" spans="1:17" ht="19.5" customHeight="1" x14ac:dyDescent="0.25">
      <c r="A107" s="391" t="s">
        <v>156</v>
      </c>
      <c r="B107" s="214"/>
      <c r="C107" s="214"/>
      <c r="D107" s="214"/>
      <c r="E107" s="214"/>
      <c r="F107" s="214"/>
      <c r="G107" s="214"/>
      <c r="H107" s="214"/>
      <c r="I107" s="214"/>
      <c r="J107" s="214"/>
      <c r="K107" s="215"/>
      <c r="L107" s="375"/>
    </row>
    <row r="108" spans="1:17" ht="184.8" customHeight="1" x14ac:dyDescent="0.25">
      <c r="A108" s="585" t="s">
        <v>215</v>
      </c>
      <c r="B108" s="586"/>
      <c r="C108" s="227" t="s">
        <v>290</v>
      </c>
      <c r="D108" s="168" t="s">
        <v>41</v>
      </c>
      <c r="E108" s="213">
        <f>IF(D108=$N$6,1,IF(D108=$N$5,2,IF(D108=$N$4,3,IF(D108=$N$3,4,"n/a"))))</f>
        <v>2</v>
      </c>
      <c r="F108" s="517" t="s">
        <v>388</v>
      </c>
      <c r="G108" s="518"/>
      <c r="H108" s="518"/>
      <c r="I108" s="518"/>
      <c r="J108" s="518"/>
      <c r="K108" s="518"/>
      <c r="L108" s="375"/>
    </row>
    <row r="109" spans="1:17" ht="180" customHeight="1" thickBot="1" x14ac:dyDescent="0.3">
      <c r="A109" s="589" t="s">
        <v>216</v>
      </c>
      <c r="B109" s="590"/>
      <c r="C109" s="230" t="s">
        <v>291</v>
      </c>
      <c r="D109" s="167" t="s">
        <v>41</v>
      </c>
      <c r="E109" s="175">
        <f>IF(D109=$N$6,1,IF(D109=$N$5,2,IF(D109=$N$4,3,IF(D109=$N$3,4,"n/a"))))</f>
        <v>2</v>
      </c>
      <c r="F109" s="530" t="s">
        <v>389</v>
      </c>
      <c r="G109" s="531"/>
      <c r="H109" s="531"/>
      <c r="I109" s="531"/>
      <c r="J109" s="531"/>
      <c r="K109" s="529"/>
      <c r="L109" s="375"/>
    </row>
    <row r="110" spans="1:17" ht="27" customHeight="1" thickBot="1" x14ac:dyDescent="0.3">
      <c r="A110" s="583"/>
      <c r="B110" s="584"/>
      <c r="C110" s="39" t="s">
        <v>24</v>
      </c>
      <c r="D110" s="27" t="str">
        <f>IF(E110&lt;1.5,"Low",IF(E110&lt;2.5,"Moderate",IF(E110&lt;3.5,"Substantial",IF(E110&lt;4.5,"High","n/a"))))</f>
        <v>Moderate</v>
      </c>
      <c r="E110" s="145">
        <f>IF(COUNT(E108:E109)=0,"n/a",AVERAGE(E108:E109))</f>
        <v>2</v>
      </c>
      <c r="F110" s="28">
        <f>E110</f>
        <v>2</v>
      </c>
      <c r="G110" s="216"/>
      <c r="H110" s="29" t="s">
        <v>23</v>
      </c>
      <c r="I110" s="26" t="str">
        <f>D110</f>
        <v>Moderate</v>
      </c>
      <c r="J110" s="30">
        <f>IF(I110=$N$7,"n/a",IF(AND(I110=$N$5,D110=$N$6),1.5,IF(AND(I110=$N$4,D110=$N$5),2.5,IF(AND(I110=$N$3,D110=$N$4),3.5,IF(AND(I110=$N$6,D110=$N$5),1.49,IF(AND(I110=$N$5,D110=$N$4),2.49,IF(AND(I110=$N$4,D110=$N$3),3.49,E110)))))))</f>
        <v>2</v>
      </c>
      <c r="K110" s="89" t="s">
        <v>87</v>
      </c>
      <c r="L110" s="375"/>
    </row>
    <row r="111" spans="1:17" ht="21" customHeight="1" x14ac:dyDescent="0.25">
      <c r="A111" s="391" t="s">
        <v>157</v>
      </c>
      <c r="B111" s="214"/>
      <c r="C111" s="214"/>
      <c r="D111" s="214"/>
      <c r="E111" s="214"/>
      <c r="F111" s="214"/>
      <c r="G111" s="214"/>
      <c r="H111" s="214"/>
      <c r="I111" s="214"/>
      <c r="J111" s="214"/>
      <c r="K111" s="215"/>
      <c r="L111" s="375"/>
      <c r="Q111" s="159"/>
    </row>
    <row r="112" spans="1:17" ht="145.80000000000001" customHeight="1" x14ac:dyDescent="0.25">
      <c r="A112" s="585" t="s">
        <v>217</v>
      </c>
      <c r="B112" s="586"/>
      <c r="C112" s="227" t="s">
        <v>292</v>
      </c>
      <c r="D112" s="225" t="s">
        <v>5</v>
      </c>
      <c r="E112" s="213">
        <f>IF(D112=$N$6,1,IF(D112=$N$5,2,IF(D112=$N$4,3,IF(D112=$N$3,4,"n/a"))))</f>
        <v>3</v>
      </c>
      <c r="F112" s="517" t="s">
        <v>391</v>
      </c>
      <c r="G112" s="518"/>
      <c r="H112" s="518"/>
      <c r="I112" s="518"/>
      <c r="J112" s="518"/>
      <c r="K112" s="518"/>
      <c r="L112" s="375"/>
    </row>
    <row r="113" spans="1:12" ht="138" customHeight="1" x14ac:dyDescent="0.25">
      <c r="A113" s="587" t="s">
        <v>218</v>
      </c>
      <c r="B113" s="588"/>
      <c r="C113" s="228" t="s">
        <v>289</v>
      </c>
      <c r="D113" s="195" t="s">
        <v>41</v>
      </c>
      <c r="E113" s="118">
        <f>IF(D113=$N$6,1,IF(D113=$N$5,2,IF(D113=$N$4,3,IF(D113=$N$3,4,"n/a"))))</f>
        <v>2</v>
      </c>
      <c r="F113" s="526" t="s">
        <v>392</v>
      </c>
      <c r="G113" s="510"/>
      <c r="H113" s="510"/>
      <c r="I113" s="510"/>
      <c r="J113" s="510"/>
      <c r="K113" s="527"/>
      <c r="L113" s="375"/>
    </row>
    <row r="114" spans="1:12" ht="150.6" customHeight="1" thickBot="1" x14ac:dyDescent="0.3">
      <c r="A114" s="515" t="s">
        <v>158</v>
      </c>
      <c r="B114" s="516"/>
      <c r="C114" s="229" t="s">
        <v>293</v>
      </c>
      <c r="D114" s="165" t="s">
        <v>41</v>
      </c>
      <c r="E114" s="175">
        <f>IF(D114=$N$6,1,IF(D114=$N$5,2,IF(D114=$N$4,3,IF(D114=$N$3,4,"n/a"))))</f>
        <v>2</v>
      </c>
      <c r="F114" s="528" t="s">
        <v>390</v>
      </c>
      <c r="G114" s="509"/>
      <c r="H114" s="509"/>
      <c r="I114" s="509"/>
      <c r="J114" s="509"/>
      <c r="K114" s="529"/>
      <c r="L114" s="373" t="s">
        <v>92</v>
      </c>
    </row>
    <row r="115" spans="1:12" ht="26.25" customHeight="1" thickBot="1" x14ac:dyDescent="0.3">
      <c r="A115" s="511"/>
      <c r="B115" s="512"/>
      <c r="C115" s="39" t="s">
        <v>24</v>
      </c>
      <c r="D115" s="27" t="str">
        <f>IF(E115&lt;1.5,"Low",IF(E115&lt;2.5,"Moderate",IF(E115&lt;3.5,"Substantial",IF(E115&lt;4.5,"High","n/a"))))</f>
        <v>Moderate</v>
      </c>
      <c r="E115" s="145">
        <f>IF(COUNT(E112:E114)=0,"n/a",AVERAGE(E112:E114))</f>
        <v>2.3333333333333335</v>
      </c>
      <c r="F115" s="28">
        <f>E115</f>
        <v>2.3333333333333335</v>
      </c>
      <c r="G115" s="216"/>
      <c r="H115" s="29" t="s">
        <v>23</v>
      </c>
      <c r="I115" s="26" t="str">
        <f>D115</f>
        <v>Moderate</v>
      </c>
      <c r="J115" s="30">
        <f>IF(I115=$N$7,"n/a",IF(AND(I115=$N$5,D115=$N$6),1.5,IF(AND(I115=$N$4,D115=$N$5),2.5,IF(AND(I115=$N$3,D115=$N$4),3.5,IF(AND(I115=$N$6,D115=$N$5),1.49,IF(AND(I115=$N$5,D115=$N$4),2.49,IF(AND(I115=$N$4,D115=$N$3),3.49,E115)))))))</f>
        <v>2.3333333333333335</v>
      </c>
      <c r="K115" s="89" t="s">
        <v>87</v>
      </c>
      <c r="L115" s="375"/>
    </row>
    <row r="116" spans="1:12" ht="23.25" customHeight="1" x14ac:dyDescent="0.25">
      <c r="B116" s="160"/>
      <c r="C116" s="411"/>
      <c r="D116" s="160"/>
      <c r="E116"/>
      <c r="F116" s="160"/>
      <c r="G116"/>
      <c r="H116" s="160"/>
      <c r="I116"/>
      <c r="J116" s="160"/>
    </row>
    <row r="117" spans="1:12" ht="33" customHeight="1" x14ac:dyDescent="0.25">
      <c r="B117" s="160"/>
      <c r="C117" s="411"/>
      <c r="D117" s="160"/>
      <c r="E117"/>
      <c r="F117" s="160"/>
      <c r="G117"/>
      <c r="H117" s="160"/>
      <c r="I117"/>
      <c r="J117" s="160"/>
    </row>
    <row r="118" spans="1:12" ht="33" customHeight="1" x14ac:dyDescent="0.25">
      <c r="B118" s="160"/>
      <c r="C118" s="411"/>
      <c r="D118" s="160"/>
      <c r="E118"/>
      <c r="F118" s="160"/>
      <c r="G118"/>
      <c r="H118" s="160"/>
      <c r="I118"/>
      <c r="J118" s="160"/>
    </row>
    <row r="119" spans="1:12" ht="34.5" customHeight="1" x14ac:dyDescent="0.25">
      <c r="B119" s="160"/>
      <c r="C119" s="411"/>
      <c r="D119" s="160"/>
      <c r="E119"/>
      <c r="F119" s="160"/>
      <c r="G119"/>
      <c r="H119" s="160"/>
      <c r="I119"/>
      <c r="J119" s="160"/>
    </row>
    <row r="120" spans="1:12" ht="27" customHeight="1" x14ac:dyDescent="0.25">
      <c r="B120" s="160"/>
      <c r="C120" s="411"/>
      <c r="D120" s="160"/>
      <c r="E120"/>
      <c r="F120" s="160"/>
      <c r="G120"/>
      <c r="H120" s="160"/>
      <c r="I120"/>
      <c r="J120" s="160"/>
    </row>
    <row r="121" spans="1:12" x14ac:dyDescent="0.25">
      <c r="B121" s="160"/>
      <c r="C121" s="411"/>
      <c r="D121" s="160"/>
      <c r="E121"/>
      <c r="F121" s="160"/>
      <c r="G121"/>
      <c r="H121" s="160"/>
      <c r="I121"/>
      <c r="J121" s="160"/>
    </row>
  </sheetData>
  <sheetProtection formatRows="0"/>
  <mergeCells count="148">
    <mergeCell ref="A74:B74"/>
    <mergeCell ref="F74:K74"/>
    <mergeCell ref="A78:B78"/>
    <mergeCell ref="F78:K78"/>
    <mergeCell ref="A77:B77"/>
    <mergeCell ref="A75:B75"/>
    <mergeCell ref="F98:K98"/>
    <mergeCell ref="F94:K94"/>
    <mergeCell ref="A113:B113"/>
    <mergeCell ref="A112:B112"/>
    <mergeCell ref="F93:K93"/>
    <mergeCell ref="A94:B94"/>
    <mergeCell ref="A95:B95"/>
    <mergeCell ref="A97:B97"/>
    <mergeCell ref="F97:K97"/>
    <mergeCell ref="A98:B98"/>
    <mergeCell ref="A99:B99"/>
    <mergeCell ref="A108:B108"/>
    <mergeCell ref="F108:K108"/>
    <mergeCell ref="A80:B80"/>
    <mergeCell ref="F79:K79"/>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15:B115"/>
    <mergeCell ref="A79:B79"/>
    <mergeCell ref="F104:K104"/>
    <mergeCell ref="F105:K105"/>
    <mergeCell ref="A114:B114"/>
    <mergeCell ref="F87:K87"/>
    <mergeCell ref="A88:B88"/>
    <mergeCell ref="F88:K88"/>
    <mergeCell ref="A89:B89"/>
    <mergeCell ref="F89:K89"/>
    <mergeCell ref="A90:B90"/>
    <mergeCell ref="F90:K90"/>
    <mergeCell ref="A106:B106"/>
    <mergeCell ref="A91:B91"/>
    <mergeCell ref="A93:B93"/>
    <mergeCell ref="A83:B83"/>
    <mergeCell ref="F113:K113"/>
    <mergeCell ref="F114:K114"/>
    <mergeCell ref="F109:K109"/>
    <mergeCell ref="F99:K99"/>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107" priority="65" operator="equal">
      <formula>$N$6</formula>
    </cfRule>
    <cfRule type="cellIs" dxfId="106" priority="66" operator="equal">
      <formula>$N$5</formula>
    </cfRule>
    <cfRule type="cellIs" dxfId="105" priority="67" operator="equal">
      <formula>$N$4</formula>
    </cfRule>
    <cfRule type="cellIs" dxfId="104" priority="68" operator="equal">
      <formula>$N$3</formula>
    </cfRule>
  </conditionalFormatting>
  <conditionalFormatting sqref="A2:H2">
    <cfRule type="cellIs" dxfId="103" priority="956" operator="equal">
      <formula>"High"</formula>
    </cfRule>
    <cfRule type="cellIs" dxfId="102" priority="957" operator="equal">
      <formula>"Substantial"</formula>
    </cfRule>
    <cfRule type="cellIs" dxfId="101" priority="958" operator="equal">
      <formula>"Moderate"</formula>
    </cfRule>
    <cfRule type="cellIs" dxfId="100" priority="959" operator="equal">
      <formula>"Low"</formula>
    </cfRule>
  </conditionalFormatting>
  <conditionalFormatting sqref="A3:K4 A26 C26:K26 A73:J74 A75:K90 A92:K93 A94:J94 A100:K105 A106 C106:K106 A107:K108 A109:J109 A110:K112 A113:J114 A115:K115 A10:K11 A5:B9 D5:E9 A14:K15 A12:B13 D12:E13 A17:K18 A16:B16 D16:E16 A21:K23 A19:B20 D19:E20 A24:B25 D24:E25">
    <cfRule type="cellIs" dxfId="99" priority="81" operator="equal">
      <formula>$N$6</formula>
    </cfRule>
    <cfRule type="cellIs" dxfId="98" priority="82" operator="equal">
      <formula>$N$5</formula>
    </cfRule>
    <cfRule type="cellIs" dxfId="97" priority="83" operator="equal">
      <formula>$N$4</formula>
    </cfRule>
    <cfRule type="cellIs" dxfId="96" priority="84" operator="equal">
      <formula>$N$3</formula>
    </cfRule>
  </conditionalFormatting>
  <conditionalFormatting sqref="A27:K27 A32:K33 A28:E31 A38:K72 A34:E37">
    <cfRule type="cellIs" dxfId="95" priority="69" operator="equal">
      <formula>$N$6</formula>
    </cfRule>
    <cfRule type="cellIs" dxfId="94" priority="70" operator="equal">
      <formula>$N$5</formula>
    </cfRule>
    <cfRule type="cellIs" dxfId="93" priority="71" operator="equal">
      <formula>$N$4</formula>
    </cfRule>
    <cfRule type="cellIs" dxfId="92" priority="72" operator="equal">
      <formula>$N$3</formula>
    </cfRule>
  </conditionalFormatting>
  <conditionalFormatting sqref="A95:K97 A98:J99">
    <cfRule type="cellIs" dxfId="91" priority="61" operator="equal">
      <formula>$N$6</formula>
    </cfRule>
    <cfRule type="cellIs" dxfId="90" priority="62" operator="equal">
      <formula>$N$5</formula>
    </cfRule>
    <cfRule type="cellIs" dxfId="89" priority="63" operator="equal">
      <formula>$N$4</formula>
    </cfRule>
    <cfRule type="cellIs" dxfId="88" priority="64" operator="equal">
      <formula>$N$3</formula>
    </cfRule>
  </conditionalFormatting>
  <conditionalFormatting sqref="C1">
    <cfRule type="cellIs" dxfId="87" priority="663" operator="equal">
      <formula>"High"</formula>
    </cfRule>
    <cfRule type="cellIs" dxfId="86" priority="664" operator="equal">
      <formula>"Substantial"</formula>
    </cfRule>
    <cfRule type="cellIs" dxfId="85" priority="665" operator="equal">
      <formula>"Moderate"</formula>
    </cfRule>
    <cfRule type="cellIs" dxfId="84" priority="666" operator="equal">
      <formula>"Low"</formula>
    </cfRule>
  </conditionalFormatting>
  <conditionalFormatting sqref="C91:K91">
    <cfRule type="cellIs" dxfId="83" priority="49" operator="equal">
      <formula>$N$6</formula>
    </cfRule>
    <cfRule type="cellIs" dxfId="82" priority="50" operator="equal">
      <formula>$N$5</formula>
    </cfRule>
    <cfRule type="cellIs" dxfId="81" priority="51" operator="equal">
      <formula>$N$4</formula>
    </cfRule>
    <cfRule type="cellIs" dxfId="80" priority="52" operator="equal">
      <formula>$N$3</formula>
    </cfRule>
  </conditionalFormatting>
  <conditionalFormatting sqref="F1">
    <cfRule type="cellIs" dxfId="79" priority="659" operator="equal">
      <formula>"High"</formula>
    </cfRule>
    <cfRule type="cellIs" dxfId="78" priority="660" operator="equal">
      <formula>"Substantial"</formula>
    </cfRule>
    <cfRule type="cellIs" dxfId="77" priority="661" operator="equal">
      <formula>"Moderate"</formula>
    </cfRule>
    <cfRule type="cellIs" dxfId="76" priority="662" operator="equal">
      <formula>"Low"</formula>
    </cfRule>
  </conditionalFormatting>
  <conditionalFormatting sqref="C5:C9">
    <cfRule type="cellIs" dxfId="75" priority="45" operator="equal">
      <formula>$N$6</formula>
    </cfRule>
    <cfRule type="cellIs" dxfId="74" priority="46" operator="equal">
      <formula>$N$5</formula>
    </cfRule>
    <cfRule type="cellIs" dxfId="73" priority="47" operator="equal">
      <formula>$N$4</formula>
    </cfRule>
    <cfRule type="cellIs" dxfId="72" priority="48" operator="equal">
      <formula>$N$3</formula>
    </cfRule>
  </conditionalFormatting>
  <conditionalFormatting sqref="C12:C13">
    <cfRule type="cellIs" dxfId="71" priority="41" operator="equal">
      <formula>$N$6</formula>
    </cfRule>
    <cfRule type="cellIs" dxfId="70" priority="42" operator="equal">
      <formula>$N$5</formula>
    </cfRule>
    <cfRule type="cellIs" dxfId="69" priority="43" operator="equal">
      <formula>$N$4</formula>
    </cfRule>
    <cfRule type="cellIs" dxfId="68" priority="44" operator="equal">
      <formula>$N$3</formula>
    </cfRule>
  </conditionalFormatting>
  <conditionalFormatting sqref="C16">
    <cfRule type="cellIs" dxfId="67" priority="37" operator="equal">
      <formula>$N$6</formula>
    </cfRule>
    <cfRule type="cellIs" dxfId="66" priority="38" operator="equal">
      <formula>$N$5</formula>
    </cfRule>
    <cfRule type="cellIs" dxfId="65" priority="39" operator="equal">
      <formula>$N$4</formula>
    </cfRule>
    <cfRule type="cellIs" dxfId="64" priority="40" operator="equal">
      <formula>$N$3</formula>
    </cfRule>
  </conditionalFormatting>
  <conditionalFormatting sqref="C19:C20">
    <cfRule type="cellIs" dxfId="63" priority="33" operator="equal">
      <formula>$N$6</formula>
    </cfRule>
    <cfRule type="cellIs" dxfId="62" priority="34" operator="equal">
      <formula>$N$5</formula>
    </cfRule>
    <cfRule type="cellIs" dxfId="61" priority="35" operator="equal">
      <formula>$N$4</formula>
    </cfRule>
    <cfRule type="cellIs" dxfId="60" priority="36" operator="equal">
      <formula>$N$3</formula>
    </cfRule>
  </conditionalFormatting>
  <conditionalFormatting sqref="F5:K9">
    <cfRule type="cellIs" dxfId="59" priority="29" operator="equal">
      <formula>$N$6</formula>
    </cfRule>
    <cfRule type="cellIs" dxfId="58" priority="30" operator="equal">
      <formula>$N$5</formula>
    </cfRule>
    <cfRule type="cellIs" dxfId="57" priority="31" operator="equal">
      <formula>$N$4</formula>
    </cfRule>
    <cfRule type="cellIs" dxfId="56" priority="32" operator="equal">
      <formula>$N$3</formula>
    </cfRule>
  </conditionalFormatting>
  <conditionalFormatting sqref="F12:K13">
    <cfRule type="cellIs" dxfId="55" priority="25" operator="equal">
      <formula>$N$6</formula>
    </cfRule>
    <cfRule type="cellIs" dxfId="54" priority="26" operator="equal">
      <formula>$N$5</formula>
    </cfRule>
    <cfRule type="cellIs" dxfId="53" priority="27" operator="equal">
      <formula>$N$4</formula>
    </cfRule>
    <cfRule type="cellIs" dxfId="52" priority="28" operator="equal">
      <formula>$N$3</formula>
    </cfRule>
  </conditionalFormatting>
  <conditionalFormatting sqref="F16:K16">
    <cfRule type="cellIs" dxfId="51" priority="21" operator="equal">
      <formula>$N$6</formula>
    </cfRule>
    <cfRule type="cellIs" dxfId="50" priority="22" operator="equal">
      <formula>$N$5</formula>
    </cfRule>
    <cfRule type="cellIs" dxfId="49" priority="23" operator="equal">
      <formula>$N$4</formula>
    </cfRule>
    <cfRule type="cellIs" dxfId="48" priority="24" operator="equal">
      <formula>$N$3</formula>
    </cfRule>
  </conditionalFormatting>
  <conditionalFormatting sqref="F19:K20">
    <cfRule type="cellIs" dxfId="47" priority="17" operator="equal">
      <formula>$N$6</formula>
    </cfRule>
    <cfRule type="cellIs" dxfId="46" priority="18" operator="equal">
      <formula>$N$5</formula>
    </cfRule>
    <cfRule type="cellIs" dxfId="45" priority="19" operator="equal">
      <formula>$N$4</formula>
    </cfRule>
    <cfRule type="cellIs" dxfId="44" priority="20" operator="equal">
      <formula>$N$3</formula>
    </cfRule>
  </conditionalFormatting>
  <conditionalFormatting sqref="C24:C25">
    <cfRule type="cellIs" dxfId="43" priority="13" operator="equal">
      <formula>$N$6</formula>
    </cfRule>
    <cfRule type="cellIs" dxfId="42" priority="14" operator="equal">
      <formula>$N$5</formula>
    </cfRule>
    <cfRule type="cellIs" dxfId="41" priority="15" operator="equal">
      <formula>$N$4</formula>
    </cfRule>
    <cfRule type="cellIs" dxfId="40" priority="16" operator="equal">
      <formula>$N$3</formula>
    </cfRule>
  </conditionalFormatting>
  <conditionalFormatting sqref="F24:K25">
    <cfRule type="cellIs" dxfId="39" priority="9" operator="equal">
      <formula>$N$6</formula>
    </cfRule>
    <cfRule type="cellIs" dxfId="38" priority="10" operator="equal">
      <formula>$N$5</formula>
    </cfRule>
    <cfRule type="cellIs" dxfId="37" priority="11" operator="equal">
      <formula>$N$4</formula>
    </cfRule>
    <cfRule type="cellIs" dxfId="36" priority="12" operator="equal">
      <formula>$N$3</formula>
    </cfRule>
  </conditionalFormatting>
  <conditionalFormatting sqref="F28:K31">
    <cfRule type="cellIs" dxfId="35" priority="5" operator="equal">
      <formula>$N$6</formula>
    </cfRule>
    <cfRule type="cellIs" dxfId="34" priority="6" operator="equal">
      <formula>$N$5</formula>
    </cfRule>
    <cfRule type="cellIs" dxfId="33" priority="7" operator="equal">
      <formula>$N$4</formula>
    </cfRule>
    <cfRule type="cellIs" dxfId="32" priority="8" operator="equal">
      <formula>$N$3</formula>
    </cfRule>
  </conditionalFormatting>
  <conditionalFormatting sqref="F34:K37">
    <cfRule type="cellIs" dxfId="31" priority="1" operator="equal">
      <formula>$N$6</formula>
    </cfRule>
    <cfRule type="cellIs" dxfId="30" priority="2" operator="equal">
      <formula>$N$5</formula>
    </cfRule>
    <cfRule type="cellIs" dxfId="29" priority="3" operator="equal">
      <formula>$N$4</formula>
    </cfRule>
    <cfRule type="cellIs" dxfId="28" priority="4" operator="equal">
      <formula>$N$3</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7"/>
  <sheetViews>
    <sheetView zoomScaleNormal="100" zoomScaleSheetLayoutView="115" workbookViewId="0">
      <selection activeCell="B46" sqref="B46"/>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9" t="s">
        <v>118</v>
      </c>
      <c r="B1" s="610"/>
    </row>
    <row r="2" spans="1:2" s="152" customFormat="1" ht="23.25" customHeight="1" x14ac:dyDescent="0.25">
      <c r="A2" s="611" t="s">
        <v>189</v>
      </c>
      <c r="B2" s="612"/>
    </row>
    <row r="3" spans="1:2" ht="40.5" customHeight="1" x14ac:dyDescent="0.25">
      <c r="A3" s="383" t="s">
        <v>178</v>
      </c>
      <c r="B3" s="388" t="s">
        <v>174</v>
      </c>
    </row>
    <row r="4" spans="1:2" ht="36" customHeight="1" x14ac:dyDescent="0.25">
      <c r="A4" s="398" t="s">
        <v>179</v>
      </c>
      <c r="B4" s="94" t="s">
        <v>176</v>
      </c>
    </row>
    <row r="5" spans="1:2" ht="36" customHeight="1" thickBot="1" x14ac:dyDescent="0.3">
      <c r="A5" s="383" t="s">
        <v>192</v>
      </c>
      <c r="B5" s="386" t="s">
        <v>193</v>
      </c>
    </row>
    <row r="6" spans="1:2" ht="23.25" customHeight="1" x14ac:dyDescent="0.25">
      <c r="A6" s="613" t="s">
        <v>175</v>
      </c>
      <c r="B6" s="614"/>
    </row>
    <row r="7" spans="1:2" ht="21.75" customHeight="1" x14ac:dyDescent="0.25">
      <c r="A7" s="382" t="s">
        <v>130</v>
      </c>
      <c r="B7" s="249"/>
    </row>
    <row r="8" spans="1:2" ht="37.5" customHeight="1" x14ac:dyDescent="0.25">
      <c r="A8" s="93">
        <v>1</v>
      </c>
      <c r="B8" s="388" t="s">
        <v>177</v>
      </c>
    </row>
    <row r="9" spans="1:2" ht="22.5" customHeight="1" x14ac:dyDescent="0.3">
      <c r="A9" s="382" t="s">
        <v>128</v>
      </c>
      <c r="B9" s="248"/>
    </row>
    <row r="10" spans="1:2" ht="130.5" customHeight="1" x14ac:dyDescent="0.25">
      <c r="A10" s="387">
        <f>+A8+1</f>
        <v>2</v>
      </c>
      <c r="B10" s="94" t="s">
        <v>190</v>
      </c>
    </row>
    <row r="11" spans="1:2" ht="27" customHeight="1" x14ac:dyDescent="0.25">
      <c r="A11" s="387">
        <f>+A10+1</f>
        <v>3</v>
      </c>
      <c r="B11" s="94" t="s">
        <v>180</v>
      </c>
    </row>
    <row r="12" spans="1:2" ht="23.25" customHeight="1" x14ac:dyDescent="0.25">
      <c r="A12" s="387">
        <f t="shared" ref="A12:A13" si="0">+A11+1</f>
        <v>4</v>
      </c>
      <c r="B12" s="94" t="s">
        <v>187</v>
      </c>
    </row>
    <row r="13" spans="1:2" ht="114" customHeight="1" x14ac:dyDescent="0.25">
      <c r="A13" s="387">
        <f t="shared" si="0"/>
        <v>5</v>
      </c>
      <c r="B13" s="94" t="s">
        <v>188</v>
      </c>
    </row>
    <row r="14" spans="1:2" ht="22.5" customHeight="1" x14ac:dyDescent="0.25">
      <c r="A14" s="382" t="s">
        <v>129</v>
      </c>
      <c r="B14" s="249"/>
    </row>
    <row r="15" spans="1:2" ht="54.75" customHeight="1" x14ac:dyDescent="0.25">
      <c r="A15" s="387">
        <f>+A13+1</f>
        <v>6</v>
      </c>
      <c r="B15" s="94" t="s">
        <v>181</v>
      </c>
    </row>
    <row r="16" spans="1:2" ht="23.25" customHeight="1" x14ac:dyDescent="0.25">
      <c r="A16" s="387">
        <f t="shared" ref="A16:A18" si="1">+A15+1</f>
        <v>7</v>
      </c>
      <c r="B16" s="94" t="s">
        <v>182</v>
      </c>
    </row>
    <row r="17" spans="1:2" ht="24.75" customHeight="1" x14ac:dyDescent="0.25">
      <c r="A17" s="387">
        <f t="shared" si="1"/>
        <v>8</v>
      </c>
      <c r="B17" s="94" t="s">
        <v>183</v>
      </c>
    </row>
    <row r="18" spans="1:2" ht="24.75" customHeight="1" x14ac:dyDescent="0.25">
      <c r="A18" s="387">
        <f t="shared" si="1"/>
        <v>9</v>
      </c>
      <c r="B18" s="94" t="s">
        <v>184</v>
      </c>
    </row>
    <row r="19" spans="1:2" ht="21.75" customHeight="1" x14ac:dyDescent="0.25">
      <c r="A19" s="382" t="s">
        <v>130</v>
      </c>
      <c r="B19" s="249"/>
    </row>
    <row r="20" spans="1:2" ht="40.5" customHeight="1" thickBot="1" x14ac:dyDescent="0.3">
      <c r="A20" s="93">
        <f>+A18+1</f>
        <v>10</v>
      </c>
      <c r="B20" s="386" t="s">
        <v>185</v>
      </c>
    </row>
    <row r="21" spans="1:2" ht="52.5" customHeight="1" thickBot="1" x14ac:dyDescent="0.3">
      <c r="A21" s="385" t="s">
        <v>119</v>
      </c>
      <c r="B21" s="250" t="s">
        <v>186</v>
      </c>
    </row>
    <row r="24" spans="1:2" ht="17.25" customHeight="1" x14ac:dyDescent="0.25">
      <c r="A24" s="384" t="s">
        <v>89</v>
      </c>
      <c r="B24" s="384" t="s">
        <v>88</v>
      </c>
    </row>
    <row r="25" spans="1:2" x14ac:dyDescent="0.25">
      <c r="A25" s="95">
        <v>1.1000000000000001</v>
      </c>
      <c r="B25" s="95" t="s">
        <v>201</v>
      </c>
    </row>
    <row r="26" spans="1:2" ht="22.8" x14ac:dyDescent="0.25">
      <c r="A26" s="95" t="s">
        <v>202</v>
      </c>
      <c r="B26" s="95" t="s">
        <v>203</v>
      </c>
    </row>
    <row r="27" spans="1:2" x14ac:dyDescent="0.25">
      <c r="A27" s="95" t="s">
        <v>90</v>
      </c>
      <c r="B27" s="95" t="s">
        <v>70</v>
      </c>
    </row>
    <row r="28" spans="1:2" x14ac:dyDescent="0.25">
      <c r="A28" s="95" t="s">
        <v>91</v>
      </c>
      <c r="B28" s="95" t="s">
        <v>70</v>
      </c>
    </row>
    <row r="29" spans="1:2" x14ac:dyDescent="0.25">
      <c r="A29" s="95" t="s">
        <v>93</v>
      </c>
      <c r="B29" s="96" t="s">
        <v>94</v>
      </c>
    </row>
    <row r="30" spans="1:2" ht="34.799999999999997" x14ac:dyDescent="0.25">
      <c r="A30" s="97">
        <v>2.1</v>
      </c>
      <c r="B30" s="98" t="s">
        <v>61</v>
      </c>
    </row>
    <row r="31" spans="1:2" x14ac:dyDescent="0.25">
      <c r="A31" s="99" t="s">
        <v>95</v>
      </c>
      <c r="B31" s="99" t="s">
        <v>62</v>
      </c>
    </row>
    <row r="32" spans="1:2" x14ac:dyDescent="0.25">
      <c r="A32" s="99" t="s">
        <v>96</v>
      </c>
      <c r="B32" s="99" t="s">
        <v>46</v>
      </c>
    </row>
    <row r="33" spans="1:2" ht="23.4" x14ac:dyDescent="0.25">
      <c r="A33" s="100" t="s">
        <v>97</v>
      </c>
      <c r="B33" s="99" t="s">
        <v>64</v>
      </c>
    </row>
    <row r="34" spans="1:2" x14ac:dyDescent="0.25">
      <c r="A34" s="101" t="s">
        <v>98</v>
      </c>
      <c r="B34" s="101" t="s">
        <v>31</v>
      </c>
    </row>
    <row r="35" spans="1:2" ht="22.8" x14ac:dyDescent="0.25">
      <c r="A35" s="102">
        <v>4</v>
      </c>
      <c r="B35" s="102" t="s">
        <v>99</v>
      </c>
    </row>
    <row r="36" spans="1:2" x14ac:dyDescent="0.25">
      <c r="A36" s="88" t="s">
        <v>100</v>
      </c>
      <c r="B36" s="88" t="s">
        <v>173</v>
      </c>
    </row>
    <row r="37" spans="1:2" x14ac:dyDescent="0.25">
      <c r="A37" s="88" t="s">
        <v>101</v>
      </c>
      <c r="B37" s="88" t="s">
        <v>112</v>
      </c>
    </row>
    <row r="38" spans="1:2" x14ac:dyDescent="0.25">
      <c r="A38" s="88" t="s">
        <v>102</v>
      </c>
      <c r="B38" s="88" t="s">
        <v>111</v>
      </c>
    </row>
    <row r="39" spans="1:2" ht="34.200000000000003" x14ac:dyDescent="0.25">
      <c r="A39" s="88" t="s">
        <v>103</v>
      </c>
      <c r="B39" s="88" t="s">
        <v>104</v>
      </c>
    </row>
    <row r="40" spans="1:2" ht="22.8" x14ac:dyDescent="0.25">
      <c r="A40" s="88" t="s">
        <v>105</v>
      </c>
      <c r="B40" s="88" t="s">
        <v>73</v>
      </c>
    </row>
    <row r="41" spans="1:2" x14ac:dyDescent="0.25">
      <c r="A41" s="88" t="s">
        <v>106</v>
      </c>
      <c r="B41" s="88" t="s">
        <v>113</v>
      </c>
    </row>
    <row r="42" spans="1:2" x14ac:dyDescent="0.25">
      <c r="A42" s="304" t="s">
        <v>107</v>
      </c>
      <c r="B42" s="304" t="s">
        <v>150</v>
      </c>
    </row>
    <row r="43" spans="1:2" x14ac:dyDescent="0.25">
      <c r="A43" s="305" t="s">
        <v>167</v>
      </c>
      <c r="B43" s="305" t="s">
        <v>170</v>
      </c>
    </row>
    <row r="44" spans="1:2" x14ac:dyDescent="0.25">
      <c r="A44" s="305" t="s">
        <v>154</v>
      </c>
      <c r="B44" s="305" t="s">
        <v>116</v>
      </c>
    </row>
    <row r="45" spans="1:2" x14ac:dyDescent="0.25">
      <c r="A45" s="305" t="s">
        <v>110</v>
      </c>
      <c r="B45" s="305" t="s">
        <v>117</v>
      </c>
    </row>
    <row r="46" spans="1:2" x14ac:dyDescent="0.25">
      <c r="A46" s="103" t="s">
        <v>161</v>
      </c>
      <c r="B46" s="103" t="s">
        <v>108</v>
      </c>
    </row>
    <row r="47" spans="1:2" x14ac:dyDescent="0.25">
      <c r="A47" s="103" t="s">
        <v>162</v>
      </c>
      <c r="B47" s="104" t="s">
        <v>109</v>
      </c>
    </row>
    <row r="48" spans="1:2" x14ac:dyDescent="0.25">
      <c r="A48" s="104" t="s">
        <v>163</v>
      </c>
      <c r="B48" s="104" t="s">
        <v>114</v>
      </c>
    </row>
    <row r="49" spans="1:6" x14ac:dyDescent="0.25">
      <c r="A49" s="104" t="s">
        <v>164</v>
      </c>
      <c r="B49" s="104" t="s">
        <v>115</v>
      </c>
    </row>
    <row r="50" spans="1:6" ht="13.8" thickBot="1" x14ac:dyDescent="0.3">
      <c r="A50" s="307"/>
      <c r="B50" s="307"/>
    </row>
    <row r="51" spans="1:6" ht="27.75" customHeight="1" thickBot="1" x14ac:dyDescent="0.3">
      <c r="A51" s="246"/>
      <c r="B51" s="247"/>
      <c r="D51" s="251"/>
      <c r="E51" s="257" t="s">
        <v>121</v>
      </c>
      <c r="F51" s="252" t="s">
        <v>123</v>
      </c>
    </row>
    <row r="52" spans="1:6" ht="45" customHeight="1" thickBot="1" x14ac:dyDescent="0.3">
      <c r="A52" s="246"/>
      <c r="B52" s="247" t="s">
        <v>131</v>
      </c>
      <c r="C52" s="14"/>
      <c r="D52" s="262" t="s">
        <v>122</v>
      </c>
      <c r="E52" s="258" t="s">
        <v>124</v>
      </c>
      <c r="F52" s="256" t="s">
        <v>125</v>
      </c>
    </row>
    <row r="53" spans="1:6" ht="21.75" customHeight="1" x14ac:dyDescent="0.25">
      <c r="A53" s="246"/>
      <c r="B53" s="247"/>
      <c r="C53" s="14"/>
      <c r="D53" s="263" t="s">
        <v>4</v>
      </c>
      <c r="E53" s="259">
        <v>4</v>
      </c>
      <c r="F53" s="255" t="s">
        <v>132</v>
      </c>
    </row>
    <row r="54" spans="1:6" ht="21.75" customHeight="1" x14ac:dyDescent="0.25">
      <c r="A54" s="246"/>
      <c r="B54" s="247"/>
      <c r="C54" s="14"/>
      <c r="D54" s="264" t="s">
        <v>5</v>
      </c>
      <c r="E54" s="260">
        <v>3</v>
      </c>
      <c r="F54" s="253" t="s">
        <v>133</v>
      </c>
    </row>
    <row r="55" spans="1:6" ht="21.75" customHeight="1" x14ac:dyDescent="0.25">
      <c r="A55" s="246"/>
      <c r="B55" s="247"/>
      <c r="C55" s="14"/>
      <c r="D55" s="265" t="s">
        <v>41</v>
      </c>
      <c r="E55" s="260">
        <v>2</v>
      </c>
      <c r="F55" s="253" t="s">
        <v>134</v>
      </c>
    </row>
    <row r="56" spans="1:6" ht="21.75" customHeight="1" x14ac:dyDescent="0.25">
      <c r="A56" s="246"/>
      <c r="B56" s="247"/>
      <c r="C56" s="14"/>
      <c r="D56" s="266" t="s">
        <v>75</v>
      </c>
      <c r="E56" s="260">
        <v>1</v>
      </c>
      <c r="F56" s="253" t="s">
        <v>127</v>
      </c>
    </row>
    <row r="57" spans="1:6" ht="21.75" customHeight="1" thickBot="1" x14ac:dyDescent="0.3">
      <c r="A57" s="246"/>
      <c r="B57" s="247"/>
      <c r="C57" s="14"/>
      <c r="D57" s="267" t="s">
        <v>19</v>
      </c>
      <c r="E57" s="261" t="s">
        <v>126</v>
      </c>
      <c r="F57" s="254" t="s">
        <v>126</v>
      </c>
    </row>
  </sheetData>
  <sheetProtection formatRows="0"/>
  <mergeCells count="3">
    <mergeCell ref="A1:B1"/>
    <mergeCell ref="A2:B2"/>
    <mergeCell ref="A6:B6"/>
  </mergeCells>
  <phoneticPr fontId="1" type="noConversion"/>
  <conditionalFormatting sqref="A29:A30">
    <cfRule type="cellIs" dxfId="27" priority="69" operator="equal">
      <formula>$N$6</formula>
    </cfRule>
    <cfRule type="cellIs" dxfId="26" priority="70" operator="equal">
      <formula>#REF!</formula>
    </cfRule>
    <cfRule type="cellIs" dxfId="25" priority="71" operator="equal">
      <formula>$N$4</formula>
    </cfRule>
    <cfRule type="cellIs" dxfId="24" priority="72" operator="equal">
      <formula>$N$3</formula>
    </cfRule>
  </conditionalFormatting>
  <conditionalFormatting sqref="A47">
    <cfRule type="cellIs" dxfId="23" priority="21" operator="equal">
      <formula>$N$6</formula>
    </cfRule>
    <cfRule type="cellIs" dxfId="22" priority="22" operator="equal">
      <formula>#REF!</formula>
    </cfRule>
    <cfRule type="cellIs" dxfId="21" priority="23" operator="equal">
      <formula>$N$4</formula>
    </cfRule>
    <cfRule type="cellIs" dxfId="20" priority="24" operator="equal">
      <formula>$N$3</formula>
    </cfRule>
  </conditionalFormatting>
  <conditionalFormatting sqref="A27:B28">
    <cfRule type="cellIs" dxfId="19" priority="77" operator="equal">
      <formula>$N$6</formula>
    </cfRule>
    <cfRule type="cellIs" dxfId="18" priority="78" operator="equal">
      <formula>#REF!</formula>
    </cfRule>
    <cfRule type="cellIs" dxfId="17" priority="79" operator="equal">
      <formula>$N$4</formula>
    </cfRule>
    <cfRule type="cellIs" dxfId="16" priority="80" operator="equal">
      <formula>$N$3</formula>
    </cfRule>
  </conditionalFormatting>
  <conditionalFormatting sqref="A34:B42">
    <cfRule type="cellIs" dxfId="15" priority="9" operator="equal">
      <formula>$N$6</formula>
    </cfRule>
    <cfRule type="cellIs" dxfId="14" priority="10" operator="equal">
      <formula>#REF!</formula>
    </cfRule>
    <cfRule type="cellIs" dxfId="13" priority="11" operator="equal">
      <formula>$N$4</formula>
    </cfRule>
    <cfRule type="cellIs" dxfId="12" priority="12" operator="equal">
      <formula>$N$3</formula>
    </cfRule>
  </conditionalFormatting>
  <conditionalFormatting sqref="A46:B46">
    <cfRule type="cellIs" dxfId="11" priority="25" operator="equal">
      <formula>$N$6</formula>
    </cfRule>
    <cfRule type="cellIs" dxfId="10" priority="26" operator="equal">
      <formula>#REF!</formula>
    </cfRule>
    <cfRule type="cellIs" dxfId="9" priority="27" operator="equal">
      <formula>$N$4</formula>
    </cfRule>
    <cfRule type="cellIs" dxfId="8" priority="28" operator="equal">
      <formula>$N$3</formula>
    </cfRule>
  </conditionalFormatting>
  <conditionalFormatting sqref="A25:A26">
    <cfRule type="cellIs" dxfId="7" priority="5" operator="equal">
      <formula>$N$6</formula>
    </cfRule>
    <cfRule type="cellIs" dxfId="6" priority="6" operator="equal">
      <formula>#REF!</formula>
    </cfRule>
    <cfRule type="cellIs" dxfId="5" priority="7" operator="equal">
      <formula>$N$4</formula>
    </cfRule>
    <cfRule type="cellIs" dxfId="4" priority="8" operator="equal">
      <formula>$N$3</formula>
    </cfRule>
  </conditionalFormatting>
  <conditionalFormatting sqref="B25:B26">
    <cfRule type="cellIs" dxfId="3" priority="1" operator="equal">
      <formula>$N$6</formula>
    </cfRule>
    <cfRule type="cellIs" dxfId="2" priority="2" operator="equal">
      <formula>#REF!</formula>
    </cfRule>
    <cfRule type="cellIs" dxfId="1" priority="3" operator="equal">
      <formula>$N$4</formula>
    </cfRule>
    <cfRule type="cellIs" dxfId="0" priority="4"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AD789124-D42E-41EA-9C34-CFE157928930}">
  <ds:schemaRefs>
    <ds:schemaRef ds:uri="http://purl.org/dc/elements/1.1/"/>
    <ds:schemaRef ds:uri="http://schemas.openxmlformats.org/package/2006/metadata/core-properties"/>
    <ds:schemaRef ds:uri="http://purl.org/dc/terms/"/>
    <ds:schemaRef ds:uri="http://schemas.microsoft.com/sharepoint/v3"/>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LEUNDA MARTIARENA  Merlin</cp:lastModifiedBy>
  <cp:lastPrinted>2015-09-16T12:49:58Z</cp:lastPrinted>
  <dcterms:created xsi:type="dcterms:W3CDTF">2012-01-04T16:00:22Z</dcterms:created>
  <dcterms:modified xsi:type="dcterms:W3CDTF">2026-05-28T10:31:51Z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