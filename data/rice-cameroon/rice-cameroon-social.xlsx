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29. Cameroun - Riz\5. Final Report\"/>
    </mc:Choice>
  </mc:AlternateContent>
  <xr:revisionPtr revIDLastSave="0" documentId="13_ncr:1_{A1B6725D-8EE3-4850-B61A-0FB8109778CA}" xr6:coauthVersionLast="47" xr6:coauthVersionMax="47" xr10:uidLastSave="{00000000-0000-0000-0000-000000000000}"/>
  <bookViews>
    <workbookView xWindow="-108" yWindow="-108" windowWidth="23256" windowHeight="12456"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4" i="3" l="1"/>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37" i="3"/>
  <c r="E36" i="3"/>
  <c r="E35" i="3"/>
  <c r="E34" i="3"/>
  <c r="E31" i="3"/>
  <c r="E30" i="3"/>
  <c r="E29" i="3"/>
  <c r="E28" i="3"/>
  <c r="E25" i="3"/>
  <c r="E24" i="3"/>
  <c r="E20" i="3"/>
  <c r="E19" i="3"/>
  <c r="E16" i="3"/>
  <c r="E17" i="3" s="1"/>
  <c r="E13" i="3"/>
  <c r="E12" i="3"/>
  <c r="E9" i="3"/>
  <c r="E8" i="3"/>
  <c r="E7" i="3"/>
  <c r="E6" i="3"/>
  <c r="E5" i="3"/>
  <c r="E71" i="3" l="1"/>
  <c r="E115" i="3"/>
  <c r="E110" i="3"/>
  <c r="E106" i="3"/>
  <c r="E100" i="3"/>
  <c r="E95" i="3"/>
  <c r="E91" i="3"/>
  <c r="E84" i="3"/>
  <c r="E80" i="3"/>
  <c r="E75" i="3"/>
  <c r="E66" i="3"/>
  <c r="E62" i="3"/>
  <c r="E56" i="3"/>
  <c r="E49" i="3"/>
  <c r="E43" i="3"/>
  <c r="D43" i="3" s="1"/>
  <c r="E38" i="3"/>
  <c r="E32" i="3"/>
  <c r="E21" i="3"/>
  <c r="E14" i="3"/>
  <c r="E10" i="3"/>
  <c r="E26" i="3"/>
  <c r="D26" i="3" s="1"/>
  <c r="H33" i="2"/>
  <c r="A32" i="2"/>
  <c r="A31" i="2"/>
  <c r="A30" i="2"/>
  <c r="A29" i="2"/>
  <c r="A18" i="1" s="1"/>
  <c r="G18" i="1" l="1"/>
  <c r="F100" i="3"/>
  <c r="D100" i="3"/>
  <c r="I100" i="3" s="1"/>
  <c r="D95" i="3"/>
  <c r="I95" i="3" s="1"/>
  <c r="F91" i="3"/>
  <c r="D91" i="3"/>
  <c r="I91" i="3" s="1"/>
  <c r="F95" i="3"/>
  <c r="D1" i="2"/>
  <c r="G1" i="2"/>
  <c r="J1" i="3"/>
  <c r="D1" i="3"/>
  <c r="B1" i="3"/>
  <c r="A1" i="2"/>
  <c r="J100" i="3" l="1"/>
  <c r="B32" i="2" s="1"/>
  <c r="J91" i="3"/>
  <c r="B30" i="2" s="1"/>
  <c r="J95" i="3"/>
  <c r="B31" i="2" s="1"/>
  <c r="D31"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C30" i="2" l="1"/>
  <c r="D30" i="2"/>
  <c r="B33" i="2"/>
  <c r="D18" i="1" s="1"/>
  <c r="D32" i="2"/>
  <c r="C32" i="2"/>
  <c r="I30" i="2"/>
  <c r="I20" i="2"/>
  <c r="I38" i="2"/>
  <c r="I19" i="2"/>
  <c r="I9" i="2"/>
  <c r="I8" i="2"/>
  <c r="I13" i="2"/>
  <c r="I36" i="2"/>
  <c r="I26" i="2"/>
  <c r="I17" i="2"/>
  <c r="I7" i="2"/>
  <c r="I35" i="2"/>
  <c r="I24" i="2"/>
  <c r="I14" i="2"/>
  <c r="I32" i="2"/>
  <c r="I31" i="2"/>
  <c r="I21" i="2"/>
  <c r="I12" i="2"/>
  <c r="I37" i="2"/>
  <c r="I27" i="2"/>
  <c r="I18" i="2"/>
  <c r="I25" i="2"/>
  <c r="I6" i="2"/>
  <c r="I33" i="2"/>
  <c r="C31" i="2"/>
  <c r="D62" i="3"/>
  <c r="D66" i="3"/>
  <c r="D106" i="3"/>
  <c r="D115" i="3"/>
  <c r="D110" i="3"/>
  <c r="D71" i="3"/>
  <c r="F18" i="1"/>
  <c r="I26" i="3"/>
  <c r="J26" i="3" s="1"/>
  <c r="D32" i="3"/>
  <c r="D38" i="3"/>
  <c r="D84" i="3"/>
  <c r="D17" i="3"/>
  <c r="D33" i="2" l="1"/>
  <c r="E18" i="1" s="1"/>
  <c r="C33" i="2"/>
  <c r="C18" i="1" s="1"/>
  <c r="F49" i="3"/>
  <c r="D49" i="3"/>
  <c r="D14" i="3"/>
  <c r="I14" i="3" s="1"/>
  <c r="J14" i="3" s="1"/>
  <c r="D21" i="3"/>
  <c r="D10" i="3" l="1"/>
  <c r="I10" i="3" s="1"/>
  <c r="J10" i="3" l="1"/>
  <c r="B6" i="2" s="1"/>
  <c r="C6" i="2" s="1"/>
  <c r="F80" i="3"/>
  <c r="I80" i="3"/>
  <c r="F75" i="3"/>
  <c r="I75" i="3"/>
  <c r="F71" i="3"/>
  <c r="J80" i="3" l="1"/>
  <c r="B26" i="2" s="1"/>
  <c r="C26" i="2" s="1"/>
  <c r="J75" i="3"/>
  <c r="B25" i="2" s="1"/>
  <c r="C25" i="2" s="1"/>
  <c r="H39" i="2"/>
  <c r="G12" i="1"/>
  <c r="H28" i="2"/>
  <c r="H22" i="2"/>
  <c r="I22" i="2" s="1"/>
  <c r="H10" i="2"/>
  <c r="H15" i="2"/>
  <c r="I15" i="1"/>
  <c r="I19" i="1"/>
  <c r="I14" i="1"/>
  <c r="I20" i="1" s="1"/>
  <c r="I17" i="1"/>
  <c r="I16" i="1"/>
  <c r="I28" i="2" l="1"/>
  <c r="F17" i="1" s="1"/>
  <c r="I39" i="2"/>
  <c r="F19" i="1" s="1"/>
  <c r="I15" i="2"/>
  <c r="F15" i="1" s="1"/>
  <c r="I10" i="2"/>
  <c r="F14" i="1" s="1"/>
  <c r="G19" i="1"/>
  <c r="G17" i="1"/>
  <c r="G14" i="1"/>
  <c r="G15" i="1"/>
  <c r="G16" i="1"/>
  <c r="F16" i="1"/>
  <c r="I17" i="3"/>
  <c r="I71" i="3"/>
  <c r="F84" i="3"/>
  <c r="I43" i="3"/>
  <c r="J43" i="3" s="1"/>
  <c r="F62" i="3"/>
  <c r="I66" i="3"/>
  <c r="J66" i="3" s="1"/>
  <c r="F106" i="3"/>
  <c r="I32" i="3"/>
  <c r="J32" i="3" s="1"/>
  <c r="I49" i="3"/>
  <c r="J49" i="3" s="1"/>
  <c r="F115" i="3"/>
  <c r="F66" i="3"/>
  <c r="F38" i="3"/>
  <c r="I38" i="3"/>
  <c r="I56" i="3"/>
  <c r="J56" i="3" s="1"/>
  <c r="F56" i="3"/>
  <c r="B12" i="2"/>
  <c r="C12" i="2" s="1"/>
  <c r="F26" i="3"/>
  <c r="F21" i="3"/>
  <c r="F17" i="3"/>
  <c r="J71" i="3" l="1"/>
  <c r="B24" i="2" s="1"/>
  <c r="B38" i="2"/>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<sst xmlns="http://schemas.openxmlformats.org/spreadsheetml/2006/main" count="586" uniqueCount="400">
  <si>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</si>
  <si>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</si>
  <si>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</si>
  <si>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</si>
  <si>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</si>
  <si>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</si>
  <si>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</si>
  <si>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</si>
  <si>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</si>
  <si>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</si>
  <si>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</si>
  <si>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</si>
  <si>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</si>
  <si>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</si>
  <si>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</si>
  <si>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</si>
  <si>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</si>
  <si>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</si>
  <si>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</si>
  <si>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</si>
  <si>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</si>
  <si>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</si>
  <si>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</si>
  <si>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</si>
  <si>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</si>
  <si>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</si>
  <si>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</si>
  <si>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</si>
  <si>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</si>
  <si>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</si>
  <si>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</si>
  <si>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</si>
  <si>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</si>
  <si>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</si>
  <si>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</si>
  <si>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</si>
  <si>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</si>
  <si>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</si>
  <si>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</si>
  <si>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</si>
  <si>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</si>
  <si>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</si>
  <si>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</si>
  <si>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</si>
  <si>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</si>
  <si>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</si>
  <si>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</si>
  <si>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</si>
  <si>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</si>
  <si>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</si>
  <si>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</si>
  <si>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</si>
  <si>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</si>
  <si>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</si>
  <si>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</si>
  <si>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</si>
  <si>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</si>
  <si>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</si>
  <si>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</si>
  <si>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</si>
  <si>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</si>
  <si>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</si>
  <si>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</si>
  <si>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</si>
  <si>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</si>
  <si>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</si>
  <si>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</si>
  <si>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</si>
  <si>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</si>
  <si>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</si>
  <si>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</si>
  <si>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4.3.3 Is dietary diversity increased?</t>
  </si>
  <si>
    <t>Minimum number of food groups consumed by an individual over a reference period. Ref.: FAO Manual Minimum Dietary Diversity in Women (in preparation). This is relevant only if the baseline score is low.</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</si>
  <si>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</si>
  <si>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</si>
  <si>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</si>
  <si>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</si>
  <si>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</si>
  <si>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</si>
  <si>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</si>
  <si>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</si>
  <si>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</si>
  <si>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</si>
  <si>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</si>
  <si>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</si>
  <si>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</si>
  <si>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</si>
  <si>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</si>
  <si>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</si>
  <si>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</si>
  <si>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</si>
  <si>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</si>
  <si>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</si>
  <si>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</si>
  <si>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</si>
  <si>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</si>
  <si>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</si>
  <si>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</si>
  <si>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</si>
  <si>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</si>
  <si>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</si>
  <si>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</si>
  <si>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</si>
  <si>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</si>
  <si>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</si>
  <si>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</si>
  <si>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</si>
  <si>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</si>
  <si>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</si>
  <si>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</si>
  <si>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</si>
  <si>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</si>
  <si>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</si>
  <si>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</si>
  <si>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</si>
  <si>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</si>
  <si>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</si>
  <si>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</si>
  <si>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</si>
  <si>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</si>
  <si>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</si>
  <si>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</si>
  <si>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</si>
  <si>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</si>
  <si>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</si>
  <si>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</si>
  <si>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</si>
  <si>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</si>
  <si>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</si>
  <si>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</si>
  <si>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</si>
  <si>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</si>
  <si>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</si>
  <si>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</si>
  <si>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</si>
  <si>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</si>
  <si>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</si>
  <si>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</si>
  <si>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</si>
  <si>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</si>
  <si>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</si>
  <si>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</si>
  <si>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</si>
  <si>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</si>
  <si>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</si>
  <si>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</si>
  <si>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</si>
  <si>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</si>
  <si>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</si>
  <si>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</si>
  <si>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</si>
  <si>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</si>
  <si>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</si>
  <si>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</si>
  <si>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</si>
  <si>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</si>
  <si>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</si>
  <si>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</si>
  <si>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</si>
  <si>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</si>
  <si>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</si>
  <si>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</si>
  <si>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</si>
  <si>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</si>
  <si>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</si>
  <si>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</si>
  <si>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</si>
  <si>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</si>
  <si>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</si>
  <si>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</si>
  <si>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</si>
  <si>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 xml:space="preserve">1.1.3 To what extent do workers benefit from enforceable and fair contracts </t>
  </si>
  <si>
    <t>1.3.1 Degree of protection from accidents and health damages (in any segment of the value chain)?</t>
  </si>
  <si>
    <t>Does food availability increase? Production,export Yc transports (trucks…).</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</si>
  <si>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</si>
  <si>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</si>
  <si>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</si>
  <si>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</si>
  <si>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</si>
  <si>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</si>
  <si>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</si>
  <si>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</si>
  <si>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</si>
  <si>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</si>
  <si>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</si>
  <si>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</si>
  <si>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</si>
  <si>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</si>
  <si>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</si>
  <si>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</si>
  <si>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</si>
  <si>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</si>
  <si>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</si>
  <si>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</si>
  <si>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</si>
  <si>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</si>
  <si>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</si>
  <si>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</si>
  <si>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</si>
  <si>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</si>
  <si>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r>
      <t xml:space="preserve">SOCIAL PROFILE  </t>
    </r>
    <r>
      <rPr>
        <b/>
        <sz val="9"/>
        <color rgb="FFFF0000"/>
        <rFont val="Arial"/>
        <family val="2"/>
      </rPr>
      <t>(V.2025-0)</t>
    </r>
  </si>
  <si>
    <t>Understanding the labour contract content in all the steps of the VC (including formal contracts and informal agreements)</t>
  </si>
  <si>
    <t>1.1.1</t>
  </si>
  <si>
    <t>The question can be broken down in different sub-questions: Understanding if and what conventions related to labour are signed by the country; Appraising to what extent the labour conventions are applied by companies (formally or informally)</t>
  </si>
  <si>
    <t xml:space="preserve">1.1.2 Is freedom of association effective (allowed and exercises)? </t>
  </si>
  <si>
    <t xml:space="preserve">1.2.1 Degree of school attendance in case children are working (in any segment of the value chain)? </t>
  </si>
  <si>
    <t>1.2.2 Are children protected from exposure to heavy workloads and/or harmful jobs?</t>
  </si>
  <si>
    <t>3.3.2 To what extent are women autonomous in the organisation of their work (within vs outside the VC)?</t>
  </si>
  <si>
    <t xml:space="preserve">4.1.1 To what extent does the VC contribute to incease the local production of food?
</t>
  </si>
  <si>
    <t xml:space="preserve">4.2.1 Do people have more income to allocate to food thanks to activities linked to the VC?  </t>
  </si>
  <si>
    <t>4.4.1 To what extent does the VC contribute to reduce risks of periodic food shortage for household?</t>
  </si>
  <si>
    <t xml:space="preserve">5.3.3 Is there participation in voluntary communal activities for benefit of the community? </t>
  </si>
  <si>
    <t>6.1.1 To what extent does the VC influence the access of households to health facilities?</t>
  </si>
  <si>
    <t>6.1.2 To what extent does the VC influence the access of households to health services?</t>
  </si>
  <si>
    <t>6.1.3  To what extent does the VC influence the affordable of health services for households?</t>
  </si>
  <si>
    <t>6.2.1 To what extent does the VC influence the access of households to good quality accomodations?</t>
  </si>
  <si>
    <t xml:space="preserve">6.2.2 To what extent does the VC influence the access of households to good quality water and sanitation facilities? </t>
  </si>
  <si>
    <t>6.3.1 To what extent does the VC influence the accessibility to primary education for households?</t>
  </si>
  <si>
    <t>6.3.2 To what extent does the VC influence the accessibility to secondary and/or vocational education for households?</t>
  </si>
  <si>
    <t xml:space="preserve">Malgré la ratification des conventions et des efforts réalisé par le Gouvernement, on note des défanillances structurelles sont notées dans les segments informels, notamment en matière de travail des enfants, d’égalité de genre et de représentation des travailleurs, au regard du caractère informel du secteur. </t>
  </si>
  <si>
    <t xml:space="preserve">La liberté d'association est effective et on note dans tous les bassins de production du riz au Cameroun une dynamique très forte de struictiuration des bassins de production autour des coopératives. </t>
  </si>
  <si>
    <t xml:space="preserve">Malgré le caractère flexibles d’engagement dans la chaine de valeur du riz ne permet pas de parler du SMIG, les remunérations cumulées par période sont audessus du SMIG. Cependant, selon le PNUD (2017), le Cameroun est classé 141e sur 189 pays selon l’indice d’inégalité de genre. Les raisons de cette mauvaise performance sont liées entre autre à la charge de travail non rémunérée des femmes. </t>
  </si>
  <si>
    <t xml:space="preserve">Les enquêtes de terrain n’ont travail forcé même si des cas vulnérabilités liées au travail des enfants et à des conditions de travail précaires existent dans certaines bassins de production du riz comme Yagoua et Maga dans l’Extrême Nord du Cameroun. </t>
  </si>
  <si>
    <t>Malgré les efforts, tant du points de vue du cadre légal que de la partique, 64,3% des programmes et projets agricoles mis en place dans les dix régions ne prennent pas en compte les préoccupations des femmes. Sur plus de 100 projets et programmes agricoles développés au Cameroun entre 2010 et 2020, plus de la moitié ont été conçus en ignorant les contraintes sociales que rencontrent les femmes</t>
  </si>
  <si>
    <t xml:space="preserve">Même si cette mésure est respectée, on note des cas isolés de travail dans les rizières de l'Extrême Nord. Cepen,dant le taux de scolarisation resté élévé </t>
  </si>
  <si>
    <t>Dans les rizières, les enfants sont souvent exposés à des risques graves, notamment le port de charges lourdes, la manipulation de pesticides toxiques et manipulation d'outils tranchants</t>
  </si>
  <si>
    <t xml:space="preserve">L'essentiel du travail en déhors du labours dans les périmètres irrigués sous contrôle de la SEMRY et de l'UNDVA se fait à la main et sans Equipement de Protection Individuelle (EPI), ce qui expose le production à divers riques sanitaires. Il en est de même dans le maillon transformation où le port des EPI n’est pas préalable à la manipulation des machines. </t>
  </si>
  <si>
    <t xml:space="preserve">La main d’œuvre relative aux activités comme le labour ou le défrichage est la même que l’on soit dans la production du riz, du maïs, du mil ou tout autre denrée agricole.   </t>
  </si>
  <si>
    <t>Lds prix de vente du riz paddy relativement bas sur le marché décourage de nombreux producteurs. Cependant, de plus en plus de jeunes, sortis pour certains des grandes écoles agroalimentaires dans le septentrion notamment, s’engagent dans la Chaine de Valeur Riz, notamment dans le maillon transformation</t>
  </si>
  <si>
    <t xml:space="preserve">La mise en œuvre des principes de diligence raisonnable demeure limitée, les droits des communautés locales restent insuffisamment garantis, celles-ci ayant une capacité réduite à les faire valoir . Par ailleurs, les populations sont souvent exclues des processus décisionnels relatifs à l’affectation des terres, dans un contexte marqué par un déficit de transparence et des impacts socio-environnementaux significatif. </t>
  </si>
  <si>
    <t>l’adhésion aux VGGT (Directives volontaires pour une gouvernance responsable des régimes fonciers) est encore partielle, indirecte et inégale selon les acteurs.</t>
  </si>
  <si>
    <t>La diffusion d’informations en amont sur les projets ou décisions foncières au Cameroun est réelle dans les textes, mais souvent limitée dans la pratique. Il existe des mécanismes officiels d’information, mais leur portée, leur qualité et leur accessibilité restent inégales selon les contextes.</t>
  </si>
  <si>
    <t>Au Cameroun, les lois, politiques publiques et décisions liées à la filière riz sont globalement partiellement accessibles mais peu compréhensibles pour une grande partie des acteurs, surtout les producteurs rurau</t>
  </si>
  <si>
    <t>La participation des différents groupes sociaux aux processus de décision dans la chaîne de valeur riz au Cameroun est globalement inégale, asymétrique et structurée par des facteurs sociaux, économiques et institutionnels. On observe une participation différenciée selon le genre, l’âge, le statut foncier et l’ancrage territorial.</t>
  </si>
  <si>
    <t>Dans les bassins de production rizicole au Cameroun, le consentement libre, préalable et éclairé (FPIC) est reconnu dans les normes internationales, mais faiblement appliqué dans la pratique.</t>
  </si>
  <si>
    <t>Dans la chaîne de valeur du riz au Cameroun, les règles foncières et hydriques combinent un cadre juridique national relativement structuré et des pratiques locales (coutumières) déterminantes. Le résultat est mitigé : elles assurent une certaine sécurité là où l’État intervient fortement (périmètres aménagés), mais restent peu équitables et parfois peu sécurisantes pour une large part des acteurs, surtout en milieu rural..</t>
  </si>
  <si>
    <t>Dans les bassins de production du riz au Cameroun (vallée du Logone–SEMRY, plaine de Ndop–UNVDA, Nanga Eboko, etc.), des stratégies alternatives sont parfois prévues lorsque des pertes d’accès à la terre ou à l’eau sont anticipées, mais leur mise en œuvre reste inégale, souvent tardive et peu adaptée aux besoins réels des populations.</t>
  </si>
  <si>
    <t>Au Cameroun, un dispositif légal de compensation en cas d’expropriation existe et est relativement bien défini, mais sa mise en œuvre est souvent lente, incomplète et contestée, notamment dans les zones rurales et les bassins rizicoles.</t>
  </si>
  <si>
    <t>Dans les bassins de production rizicole au Cameroun, des mécanismes de plainte, de médiation et d’arbitrage existent bien, mais leur accessibilité, leur efficacité et leur équité restent inégales. On observe une pluralité de dispositifs (administratifs, judiciaires, coutumiers et projet), avec des résultats contrastés.</t>
  </si>
  <si>
    <t>Au Cameroun, les femmes productrices de riz disposent de certains actifs productifs autres que la terre, notamment des équipements agricoles de base, du petit bétail et des ressources issues d’activités commerciales. Toutefois, ces actifs restent généralement de faible valeur et peu capitalisés, ce qui limite leur capacité d’investissement et leur autonomisation économique. Par ailleurs, leur accès aux actifs stratégiques, tels que les équipements modernes et le crédit, demeure fortement contraint par des facteurs institutionnels et socioculturels</t>
  </si>
  <si>
    <t xml:space="preserve">Au Cameroun, la Loi foncière garantie l'égalité d'accès à la terre. Cependant, les barrières à l’accès des femmes au foncier retent majeures, dont les plus importantes sont  socioculturelles et économiques. Dans la plupart de localité, la terre est traditionnellement contrôlée par les hommes (chefs de famille, lignages). Les femmes accèdent à la terre par relation (épouse, fille et veuve). Elles ont souvent un droit d’usage, et seulement dans les cas particulier le droit de propriété. </t>
  </si>
  <si>
    <t>Bien que leur participation soit significative dans les segments de production, de transformation artisanale et de commercialisation locale, leur accès aux segments à forte valeur ajoutée demeure limité.</t>
  </si>
  <si>
    <t>Données de terrain</t>
  </si>
  <si>
    <t>les femmes participent activement aux différentes activités de la chaîne de valeur du riz, notamment dans la production, la transformation artisanale et la commercialisation locale. Toutefois, leur accès aux ressources productives, aux technologies modernes et aux segments à forte valeur ajoutée demeure limité.</t>
  </si>
  <si>
    <t>Mewounka, 2022 et données de terrain</t>
  </si>
  <si>
    <t>Au Cameroun, les femmes ont accès au crédit, mais de manière limitée et inégalitaire. Elles recourent principalement aux mécanismes informels, tels que les tontines et les groupes d’épargne, tandis que leur accès au crédit formel reste restreint en raison de l’absence de garanties, notamment foncières, et de contraintes socioéconomiques.</t>
  </si>
  <si>
    <t>les femmes ont un accès limité aux services de soutien à la production agricole, notamment en matière de vulgarisation, d’intrants et de technologies. Bien qu’elles participent aux activités de formation et bénéficient de certains appuis, leur accès reste inférieur à celui des hommes, en raison de contraintes économiques, institutionnelles et socioculturelles</t>
  </si>
  <si>
    <t>Ndam Iliassou et al., 2023; IFAD, 2016; MICS (2014) et données de terrain</t>
  </si>
  <si>
    <t xml:space="preserve">IFAD, 2016 et données de terrain </t>
  </si>
  <si>
    <t xml:space="preserve">INS, 2024, Eloundou Etoundi, 2013; Tchékoté et al., 2016; MINFI, 2023, données de terrain
</t>
  </si>
  <si>
    <t>FAO, 2026, IFAD, 2016
 et données de terrain</t>
  </si>
  <si>
    <t>L'autonomie des femmes dans l’organisation de leur travail au sein de la chaîne de valeur du riz demeure limitée, en raison de contraintes liées à l’accès aux ressources productives et à leur faible pouvoir décisionnel. En revanche, elles disposent d’une plus grande autonomie dans les activités exercées en dehors de la chaîne formelle, notamment dans la transformation artisanale et le petit commerce.</t>
  </si>
  <si>
    <t>Les femmes engagées dans la chaîne de valeur du riz participent activement aux activités de production, mais leur implication dans les processus décisionnels reste limitée. Elles interviennent principalement dans l’exécution des tâches agricoles, tandis que les décisions stratégiques, notamment en matière de gestion des ressources, d’investissement et d’allocation des revenus, sont majoritairement contrôlées par les hommes.</t>
  </si>
  <si>
    <t>les femmes engagées dans la chaîne de valeur du riz exercent un contrôle différencié sur les revenus selon leur origine. Si elles disposent d’un contrôle relativement plus élevé sur les revenus issus des activités commerciales et informelles, leur pouvoir décisionnel reste limité en ce qui concerne les revenus agricoles, souvent contrôlés par les hommes.</t>
  </si>
  <si>
    <t>We-Fi, 2022, Donnée de terrain</t>
  </si>
  <si>
    <t>l’INS, 2024, données de terrain</t>
  </si>
  <si>
    <t>Les femmes génèrent des revenus de manière relativement autonome, principalement à travers des activités de transformation artisanale, de commercialisation locale et d’autres activités génératrices de revenus. Toutefois, leurs activités se concentrent dans des secteurs nécessitant peu de qualifications. Les entreprises restent majoritairement informelles, peinant à passer d'une logique de subsistance à une croissance structurée</t>
  </si>
  <si>
    <t>La participation des femmes aux décisions relatives à l’acquisition, à la cession et au transfert d’actifs demeure globalement limitée. Elles restent cantonnées à un rôle consultatif ou marginal, en particulier pour les actifs stratégiques tels que la terre</t>
  </si>
  <si>
    <t>Les femmes participent aux organisations de producteurs, mais leur inclusion reste inégale, notamment dans les postes décisionnels..</t>
  </si>
  <si>
    <t>Guillermou et Kamga, 2004 ; Atangana, 2021, données de terrain</t>
  </si>
  <si>
    <t>Les femmes accèdent aux positions de leadership dans les organisations agricoles, mais de manière encore marginale. Leur sous-représentation dans les instances décisionnelles s’explique par des contraintes structurelles et socioculturelles, malgré des progrès liés aux politiques et programmes de promotion de l’égalité de genre</t>
  </si>
  <si>
    <t xml:space="preserve">Jennifer A. Thompson, 2017; Mokam and Zamo Akono, 2022; Tessa Oraro et al., 2018 et données de terrain
</t>
  </si>
  <si>
    <t>Les femmes exercent un pouvoir d’influence sur les services et la gouvernance territoriale principalement de manière indirecte et consultative. Leur participation aux processus décisionnels politiques reste limitée</t>
  </si>
  <si>
    <t>Il y a des évolutions dans la prise de parole des femmes en public</t>
  </si>
  <si>
    <t>Amabiamina Flora, 2017 et données de terrain</t>
  </si>
  <si>
    <t xml:space="preserve">INS, 2024; INS (2017
</t>
  </si>
  <si>
    <t xml:space="preserve">Les charges de travail globales, prenant en compte le travail rémunéré, tâches domestiques et les soins aux enfants ne sont pas égales entre hommes et femmes. Elles sont structurellement déséquilibrées au détriment des femmes. </t>
  </si>
  <si>
    <t>les risques que les femmes soient exposées à un travail pénible ne sont généralement pas minimisés, en particulier dans les contextes ruraux et agricoles comme au Cameroun.</t>
  </si>
  <si>
    <t xml:space="preserve">FAO, NRI and AWARD. 2026 et données de terrain </t>
  </si>
  <si>
    <t>La chaîne de valeur du riz contribue de manière significative mais encore insuffisante à l’augmentation de la production locale de nourriture au Cameroun. Elle joue un rôle clé dans l’accroissement de l’offre alimentaire et la réduction partielle des importations, tout en générant des effets économiques positifs pour les producteurs.</t>
  </si>
  <si>
    <t>Folefack, 2014, Ayaka, 2021</t>
  </si>
  <si>
    <t>SND30</t>
  </si>
  <si>
    <t>L’offre alimentaire sur les marchés locaux au Cameroun est en augmentation, sous l’effet de pôlitiques de développement de la chaîne de valeur agricoles. Toutefois, cette progression reste partielle et insuffisamment structurée, en raison de contraintes techniques, économiques et logistiques.</t>
  </si>
  <si>
    <t xml:space="preserve">Les activités de la chaîne de valeur du riz au Cameroun contribuent à l’augmentation des revenus des ménages ruraux, notamment à travers la hausse de la productivité, la création d’emplois et l’amélioration de l’accès aux marchés. Toutefois, ces effets demeurent inégaux et souvent prospectifs, en raison de contraintes structurelles </t>
  </si>
  <si>
    <t>INS, 2025</t>
  </si>
  <si>
    <t xml:space="preserve">Les prix des denrées alimentaires ne connaissent pas une baisse, ni en termes absolus ni relatifs. </t>
  </si>
  <si>
    <t xml:space="preserve">MINSANTE et al., 2021; Batibonak et Defo, 2015. 
</t>
  </si>
  <si>
    <t>La qualité nutritionnelle de l’alimentation au Cameroun montre certains progrès, mais elle reste globalement limitée par des contraintes structurelles.</t>
  </si>
  <si>
    <t>Au Cameroun, les pratiques de soins nutritionnels se concentrent sur la réduction de la malnutrition infantile à travers la Prise en charge intégrée des maladies de l'enfant (PCIME) et la promotion de l'allaitement maternel exclusif</t>
  </si>
  <si>
    <t>MINSANTE/OMS, 2019</t>
  </si>
  <si>
    <t xml:space="preserve">Le Cameroun dispose d’une grande diversité agroécologique, ce qui offre une grande variété de produits, avec notamment des tubercules, des céréales, des légumes et des produits animaux. Cependant, seule une quinzaine d’aliments dominent réellement la consommation. </t>
  </si>
  <si>
    <t xml:space="preserve">Banque Mondiale, 2009, Kouam Netcha, 2006, Batibonak et Defo, 2015
</t>
  </si>
  <si>
    <t>Malgré le fait que le Cameroun reste fortement dépendant des importations de riz, la chaîne de valeur du riz contribue réellement à atténuer les pénuries saisonnières.</t>
  </si>
  <si>
    <t xml:space="preserve">Au Cameroun, on note une relative instabilité des prix des aliments.  En 2023, les prix alimentaires ont fortement augmenté, avec une hausse d’environ +11,1 % sur l’année. </t>
  </si>
  <si>
    <t xml:space="preserve">Dans la chaîne de valeur du riz au Cameroun, le capital social repose sur un réseau dense d’organisations formelles et informelles (coopératives, GIC, associations, tontines et réseaux d’entraide) assurant des fonctions essentielles de coordination dans une économie majoritairement domestique et informelle. </t>
  </si>
  <si>
    <t>République du Cameroun, 1992; FAO–CIRAD–UE (2022)</t>
  </si>
  <si>
    <t>L’adhésion aux organisations de producteurs (OP) du riz au Cameroun est globalement significative mais encore imparfaitement inclusive. Elle présente des avancées en termes de participation, mais reste marquée par des inégalités sociales, économiques et de genre.</t>
  </si>
  <si>
    <t xml:space="preserve">Njankouo et al. 2025; Fani, et al. (2021
</t>
  </si>
  <si>
    <t>Les groupes ne disposent pas encore d’une gouvernance pleinement représentative et redevable. Ils restent marqués par 
des asymétries de pouvoir et d’accès aux ressources, une faible capacité à répondre équitablement aux besoins des membres et et une efficacité limitée dans la promotion d’une participation inclusive. Par contre, au niveau des organisations informelles (tontines et associations locales), la gouvernance est souvent flexible. La redevabilité est généralement forte au niveau local, car la pression sociale et la confiance mutuelle assurent la transparence.</t>
  </si>
  <si>
    <t xml:space="preserve">Fouepe et al., 2026 et MINEPAT, 2020.
</t>
  </si>
  <si>
    <t>les groupes ont des capacités de négociation, mais qui reste encore insuffisante, ce qui limite les gains économiques des producteurs et l’efficacité de la chaîne de valeur.</t>
  </si>
  <si>
    <t xml:space="preserve">Les canaux d’information se sont démultipliés au cours de ces derniers années au profit des milieux ruraux camerounais à travers la création des radios et centre communautaires de diffusion de l’information. Cependant, l’information agricole est insuffisamment diffusée et les agriculteurs restent mal connectés aux sources formelles de savoir. La question n’est pas le manque d’information, mais son accessibilité pour les agriculteurs
</t>
  </si>
  <si>
    <t xml:space="preserve">Jiometio, 2025; Tchékoté, 2012 et Kwemi et Tabi fritz Oben (2021
</t>
  </si>
  <si>
    <t xml:space="preserve">Entre acteurs locaux et institutions locales et informelles, notamment les tontines et associations locales, le niveau de confiance est élevé, même si cette confiance est limitée à des cercles restreints. Par contre, vis-à-vis des structures formelles, des projets et appui étatiques, il se dégage une certaine méfiance 
</t>
  </si>
  <si>
    <t xml:space="preserve">Tchékoté, 2012 </t>
  </si>
  <si>
    <t>La participation des communautés aux décisions affectant leurs moyens d’existence au Cameroun est aujourd’hui reconnue dans les politiques publiques et les projets de développement, notamment à travers les dispositifs de concertation locale et de décentralisation. Toutefois, cette participation demeure largement consultative plutôt que décisionnelle,</t>
  </si>
  <si>
    <t xml:space="preserve">MINADER, 2020
Mansuri et Rao, 2013
PADFA II, 2021
</t>
  </si>
  <si>
    <t>Il existe des actions et des protocoles structurés pour respecter, protéger et valoriser les savoirs traditionnels (ST) et les ressources génétiques associées au Cameroun.</t>
  </si>
  <si>
    <t xml:space="preserve">Loi n° 2021/014 du 9 juillet 2021, qui régit l'accès aux ressources génétiques et Décret N°2023/07526/PM du 6 octobre 2023 portant application de la Loi précités
</t>
  </si>
  <si>
    <t xml:space="preserve">Les activités collectives volontaires font partie des traditions de certains de la plupart des populations camerounaises.La participation est effective. </t>
  </si>
  <si>
    <t xml:space="preserve">L’accès physique aux soins en milieu rural au Cameroun demeure contraint par une répartition inégale et une faible fonctionnalité des infrastructures sanitaires, générant de fortes disparités territoriales </t>
  </si>
  <si>
    <t>L'accès aux soins en milieu rural au Cameroun reste difficile malgré des avancées, marqué par des infrastructures insuffisantes, un manque de personnel qualifié et des contraintes financières</t>
  </si>
  <si>
    <t>Le riz ne finance pas directement la santé, mais libère des ressources financières pour y accéder</t>
  </si>
  <si>
    <t xml:space="preserve">World Health Organization, 2018, 2022 ; World Bank, 2018, 2020
INS, 2019 ; FOA, 2019, United Nations Office for the Coordination of Humanitarian Affairs, 2022 et IFAD, 2022
</t>
  </si>
  <si>
    <t xml:space="preserve">INS, 2019 
MINSANTE, 2016
MINADER, 2022
</t>
  </si>
  <si>
    <t>la participation des petits producteurs aux marchés agricoles peut améliorer leur bien-être à travers une augmentation des revenus et une meilleure intégration économique. Toutefois, ces effets restent inégaux et dépendent fortement des conditions d’accès aux marchés, des infrastructures et des institutions.</t>
  </si>
  <si>
    <t xml:space="preserve">Food Policy, 2018
World Development, 2013
</t>
  </si>
  <si>
    <t xml:space="preserve">Les activités de la chaîne de valeur du riz contribuent à l'amélioration des conditions de vie des ménages. </t>
  </si>
  <si>
    <t xml:space="preserve">Les activités de la chaîne de valeur riz au Cameroun contribuent de manière significative à la scolarisation, notamment au niveau primaire des enfants dans les bassins de production. </t>
  </si>
  <si>
    <t>Daïfouli, 2016 et données de terrain</t>
  </si>
  <si>
    <t xml:space="preserve">Tout comme au niveau primaire, les activités de la chaîne de valeur riz améliorent l'accès à l'éducation des enfants au niveau secondaire en augmentant les revenus des ménages ruraux, permettant de payer les frais scolaires et d'améliorer la nutrition, ce qui favorise la scolarisation. </t>
  </si>
  <si>
    <t xml:space="preserve">MINESEC, 2023
Tiwang et Manu, 2015
</t>
  </si>
  <si>
    <t xml:space="preserve">Il existe des existe des formations continues dans la filière riz. La formation professionnelle continue dans la filière riz au Cameroun se caractérise par une offre réelle mais dispersée, portée principalement par des projets et des partenariats. Si la qualité technique des formations est globalement satisfaisante, leur durabilité, leur couverture et leur articulation institutionnelle restent limitées, ce qui en réduit l’impact structurel sur le développement des compétence
</t>
  </si>
  <si>
    <t>Forte informalité de l'emploi, absence de contrats, faible protection sociale et application limitée des normes du travail, avec notamment la précarité des emplois, conflits sociaux, faible motivation des travailleurs, non-conformité réglementaire et perte d'attractivité de la filière</t>
  </si>
  <si>
    <t>Recours au travail des enfants dans les exploitations rizicoles, notamment pendant les campagnes agricoles, avec notamment la déscolarisation, exposition aux travaux dangereux (pesticides, charges lourdes, outils), atteinte aux droits de l'enfant et risque de non-conformité aux marchés exigeants</t>
  </si>
  <si>
    <t>Faible utilisation des équipements de protection, mécanisation limitée et conditions de travail précaires</t>
  </si>
  <si>
    <t>Faible rémunération des producteurs, emplois saisonniers et faible sécurisation des revenus</t>
  </si>
  <si>
    <t>Renforcer l'application du Code du travail et des conventions de l'OIT, formaliser les emplois, renforcer les inspections du travail, diffuser les droits des travailleurs et intégrer les principes du travail décent dans les projets de la filière.</t>
  </si>
  <si>
    <t>Sensibiliser les producteurs et les ménages, promouvoir le maintien des enfants à l'école, renforcer les contrôles et inspections, mettre en place des mécanismes communautaires de surveillance et conditionner certains appuis publics au respect de l'interdiction du travail des enfants.</t>
  </si>
  <si>
    <t>Généraliser l'utilisation des EPI, former les travailleurs aux bonnes pratiques de santé-sécurité, renforcer la mécanisation adaptée, développer la prévention des risques professionnels et améliorer les conditions de travail dans les unités de production et de transformation.</t>
  </si>
  <si>
    <t>Améliorer la rémunération et les conditions de travail, soutenir l'entrepreneuriat des jeunes, renforcer la transformation et la commercialisation, faciliter l'accès au financement, moderniser les infrastructures et promouvoir les opportunités offertes par la filière rizicole.</t>
  </si>
  <si>
    <t>Le risque est relativement élevé en raison de la forte informalité qui caractérise les exploitations agricoles et certaines unités de transformation.</t>
  </si>
  <si>
    <t>Le phénomène demeure localisé mais nécessite une vigilance permanente, notamment pendant les périodes de forte demande de main-d'œuvre.</t>
  </si>
  <si>
    <t>Les risques restent modérés mais concernent l'ensemble des maillons de la chaîne de valeur, en particulier la production et la transformation.</t>
  </si>
  <si>
    <t>L'attractivité constitue un enjeu majeur pour assurer le renouvellement des générations et la durabilité de la filière rizicole.</t>
  </si>
  <si>
    <t>Compensation insuffisante ou inéquitable lors des acquisitions foncières</t>
  </si>
  <si>
    <t>Renforcer la sécurisation foncière, promouvoir les bonnes pratiques de gouvernance foncière, faciliter la formalisation des droits d'usage et sensibiliser les acteurs aux principes des VGGT.</t>
  </si>
  <si>
    <t>La gouvernance foncière demeure globalement satisfaisante, mais l'accès sécurisé à la terre reste un défi pour certains producteurs, notamment les petits exploitants et les jeunes.</t>
  </si>
  <si>
    <t>Mettre en place des mécanismes permanents de consultation, renforcer la participation des communautés, assurer la transparence dans les procédures d'attribution des terres et diffuser régulièrement l'information foncière.</t>
  </si>
  <si>
    <t>Les mécanismes de concertation existent mais restent inégalement appliqués selon les territoires et les projets, ce qui limite parfois l'adhésion des populations.</t>
  </si>
  <si>
    <t>Appliquer des procédures transparentes d'indemnisation, garantir une compensation juste et rapide, renforcer les mécanismes de recours et assurer un accompagnement des personnes affectées.</t>
  </si>
  <si>
    <t>Les risques demeurent relativement limités, mais l'amélioration des mécanismes d'équité et de règlement des différends renforcerait la confiance des communautés envers les projets agricoles.</t>
  </si>
  <si>
    <t>Application insuffisante des principes des VGGT, entrainanr une insécurité foncière, un conflits liés à l'accès à la terre</t>
  </si>
  <si>
    <t>Faciliter l'accès des femmes aux financements, aux intrants, aux marchés et aux formations entrepreneuriales ; promouvoir des chaînes de valeur inclusives.</t>
  </si>
  <si>
    <t>Le score substantiel traduit des inégalités persistantes dans l'accès aux opportunités économiques, nécessitant des actions ciblées.</t>
  </si>
  <si>
    <t>Accès limité des femmes à la terre, au crédit, aux intrants, à la vulgarisation et aux technologies → faible productivité, investissements réduits et vulnérabilité économique accrue.</t>
  </si>
  <si>
    <t>Renforcer les droits d'accès au foncier, développer des produits financiers adaptés aux femmes et améliorer leur accès aux services de conseil agricole.</t>
  </si>
  <si>
    <t>Bien que le risque soit modéré, l'amélioration de l'accès aux ressources demeure un levier majeur de réduction des inégalités.</t>
  </si>
  <si>
    <t>Faible participation des femmes aux décisions au sein des ménages, coopératives et organisations professionnelles</t>
  </si>
  <si>
    <t>Promouvoir la gouvernance inclusive, instaurer des quotas ou mécanismes favorisant la représentation des femmes et renforcer leurs capacités de leadership.</t>
  </si>
  <si>
    <t>La participation des femmes progresse mais reste insuffisante dans les instances décisionnelles.</t>
  </si>
  <si>
    <t>Mettre en place des programmes de mentorat, de leadership féminin et d'accompagnement entrepreneurial ; valoriser les modèles de réussite féminins.</t>
  </si>
  <si>
    <t>On note un potentiel important d'amélioration de l'autonomisation des femmes dans la filière.</t>
  </si>
  <si>
    <t>Répartition inégale des tâches domestiques et agricoles au détriment des femmes</t>
  </si>
  <si>
    <t>Développer la mécanisation adaptée, promouvoir un meilleur partage des tâches au sein des ménages et améliorer l'accès aux équipements réduisant la pénibilité.</t>
  </si>
  <si>
    <t>Les femmes continuent d'assumer une double charge productive et reproductive qui limite leur performance économique.</t>
  </si>
  <si>
    <t>Déficit de l'offre alimentaire, dépendance aux importations, hausse des prix et risque accru d'insécurité alimentaire</t>
  </si>
  <si>
    <t>Accroître la productivité (semences améliorées, irrigation, mécanisation), réduire les pertes post-récolte, renforcer les capacités de stockage et soutenir la production locale.</t>
  </si>
  <si>
    <t>accès limité des ménages vulnérables à une alimentation suffisante et augmentation des inégalités alimentaires.</t>
  </si>
  <si>
    <t>Améliorer les revenus des producteurs, renforcer les infrastructures de commercialisation, promouvoir les circuits courts et mettre en place des mécanismes de stabilisation des prix.</t>
  </si>
  <si>
    <t>Alimentation peu diversifiée et insuffisance de connaissances nutritionnelles</t>
  </si>
  <si>
    <t>Promouvoir la diversification alimentaire, développer l'éducation nutritionnelle, améliorer la qualité sanitaire des aliments et encourager la transformation locale de produits nutritifs.</t>
  </si>
  <si>
    <t>Variabilité climatique, chocs économiques et perturbations des marchés</t>
  </si>
  <si>
    <t>Développer une agriculture résiliente au climat, diversifier les systèmes de production, constituer des stocks de sécurité et renforcer les systèmes d'alerte précoce.</t>
  </si>
  <si>
    <t>La disponibilité alimentaire demeure le principal point de vulnérabilité. Malgré les progrès de la filière riz, la production nationale reste insuffisante pour satisfaire la demande croissante.</t>
  </si>
  <si>
    <t>L'accessibilité est relativement satisfaisante mais reste sensible aux fluctuations des revenus des ménages et des prix des denrées alimentaires.</t>
  </si>
  <si>
    <t>Les enjeux concernent davantage la qualité nutritionnelle des régimes alimentaires que la seule disponibilité des aliments.</t>
  </si>
  <si>
    <t>La stabilité demeure modérément exposée aux aléas climatiques, aux crises économiques et aux perturbations des chaînes d'approvisionnement.</t>
  </si>
  <si>
    <t>Faible pouvoir de négociation, accès limité aux marchés, aux financements et aux services d'appui, réduction des revenus des producteurs.</t>
  </si>
  <si>
    <t>Renforcer les capacités organisationnelles et de gouvernance des OP ; promouvoir la professionnalisation des coopératives ; améliorer l'accès au financement, aux services de vulgarisation et aux marchés ; encourager les alliances interprofessionnelles.</t>
  </si>
  <si>
    <t>Faible coordination de la chaîne de valeur, conflits entre partenaires, asymétrie d'information, baisse de l'efficacité des transactions commerciales.</t>
  </si>
  <si>
    <t>Faible participation des acteurs aux initiatives communautaires et aux instances de gouvernance locale</t>
  </si>
  <si>
    <t>Développer des plateformes d'information sur les marchés ; renforcer la transparence dans les échanges ; mettre en place des cadres permanents de concertation ; promouvoir les contrats formels et les mécanismes de médiation.</t>
  </si>
  <si>
    <t>Encourager la participation inclusive des producteurs, des femmes et des jeunes ; renforcer les mécanismes de concertation locale ; soutenir les initiatives communautaires ; promouvoir une gouvernance participative et transparente.</t>
  </si>
  <si>
    <t>Les organisations de producteurs existent mais présentent encore des faiblesses en matière de gouvernance, de professionnalisation et de fourniture de services économiques à leurs membres.</t>
  </si>
  <si>
    <t>Le niveau de confiance demeure relativement satisfaisant mais reste perfectible afin de renforcer la coordination et les relations commerciales au sein de la filière.</t>
  </si>
  <si>
    <t>L'implication sociale constitue le principal point de vigilance du capital social. Le renforcement de la participation des différentes catégories d'acteurs est indispensable pour améliorer la résilience et la durabilité de la chaîne de valeur.</t>
  </si>
  <si>
    <t>Accès limité aux soins de santé et à la protection sociale</t>
  </si>
  <si>
    <t>Habitat précaire et insuffisance des infrastructures de base (eau, assainissement, électricité)</t>
  </si>
  <si>
    <t>Faible niveau d'éducation et accès insuffisant à la formation technique et entrepreneuriale</t>
  </si>
  <si>
    <t>Renforcer la couverture santé, développer les campagnes de prévention, faciliter l'accès aux centres de santé et promouvoir les mutuelles de santé.</t>
  </si>
  <si>
    <t>Encourager les investissements dans les logements décents, améliorer l'accès aux services de base, développer les infrastructures rurales et promouvoir des programmes de logement adaptés aux producteurs.</t>
  </si>
  <si>
    <t>Renforcer les programmes de formation professionnelle, développer les écoles pratiques d'agriculture, promouvoir les services de vulgarisation, la formation continue et l'entrepreneuriat des jeunes et des femmes.</t>
  </si>
  <si>
    <t>Le niveau de risque est faible, traduisant une situation globalement satisfaisante. Toutefois, l'accès aux soins demeure perfectible dans certaines zones rurales de production.</t>
  </si>
  <si>
    <t>Le logement constitue l'un des principaux points de vulnérabilité sociale de la chaîne de valeur et nécessite des investissements structurants.</t>
  </si>
  <si>
    <t>On note un niveau de risque le plus élevé des conditions de vie. L'amélioration du capital humain constitue un levier prioritaire pour accroître la productivité, l'innovation et la résilience de la filière rizicole.</t>
  </si>
  <si>
    <t>Conventions de l’Organisation Internationale du Travail (OIT), INS (2023 et données de terrain</t>
  </si>
  <si>
    <t>Loi n° 90/053 du 19 décembre 1990 relative à la liberté d’association, complétée par la loi n° 99/014 du 22 décembre 1999 régissant les Organisations Non Gouvernementales (ONG) et données de terrain</t>
  </si>
  <si>
    <t>INS (2023), République du Cameroun, 2023 ; 2024) et données de terrain</t>
  </si>
  <si>
    <t>Loi n° 92/007 du 14 août 1992 portant Code du Travail</t>
  </si>
  <si>
    <t>décret n° 2005/088 du 29 mars 2005 portant organisation du Ministère de la Promotion de la Femme et de la Famille (MINPROFF) et données de terrain</t>
  </si>
  <si>
    <t>Arrêté n°17/MTLS/DGRE du 27 mai 1969 relatif au travail des enfants, loi n°92-007 du 14 août 1992 portant Code travail, Convention 138 de l’OIT, Daïfouli, 2016)</t>
  </si>
  <si>
    <t>MINTSS, 2014 et données de terrain</t>
  </si>
  <si>
    <t>République du Cameroun, 2023 et données de terrain</t>
  </si>
  <si>
    <t xml:space="preserve">FAO, 2024, </t>
  </si>
  <si>
    <t xml:space="preserve">Nguiffo et al., 2015 ; Kenfack et al., 2016, FAO, 2014, SAILD, 2018, GRAIN, 2010 et Kenfack et al., 2016. </t>
  </si>
  <si>
    <t xml:space="preserve">Loi n°85/09 du 04 juillet 1985 relative à l'expropriation pour cause d'utilité publique et aux modalités d'indemnisation, Décret d'application n°87/1872 du 16 décembre 1987. Décret n°2013/0171/PM du 14 février 2013 fixant les modalités de réalisation des études d’impact environnemental et social, Gonsallo, 1994, Roupsard, 2000. </t>
  </si>
  <si>
    <t xml:space="preserve">Ministère de l’Éducation de Base, 2024 et données de terrain. </t>
  </si>
  <si>
    <t xml:space="preserve">FAO, 2011 ; Banque mondiale, 2012, PNUD, 2019 ; FAO, 2022. </t>
  </si>
  <si>
    <t xml:space="preserve">FAO, 2012 ; Banque mondiale, 2020 ; Centre pour l’Environnement et le Développement, 2016. </t>
  </si>
  <si>
    <t xml:space="preserve">IIED, 2021 ; FAO-UE-CIRAD, 2022; Tchékoté et al., 2018.). UNICEF-Cameroun, 2023 ; et INS, 2024. 
</t>
  </si>
  <si>
    <t>FAO, 2012 ; World Bank, 2020 ; FAO, 2022</t>
  </si>
  <si>
    <t>Loi n° 85-09 du 4 juillet 1985 relative à l'expropriation pour cause d'utilité publique et aux modalités d'indemnisation et le Décret n° 87/1872 du 16 décembre 1987 fixant les modalités d'application de la loi précitée, World Bank, 2020 ; FAO, 2012 ; CED, 2016</t>
  </si>
  <si>
    <t>Loi de 1985 et son décret d’application de 1987, complétés par la loi n°80/22 du 14 juillet 1980 portant répression des atteintes à la propriété foncière et domaniale, Loi n°2024/00176/PM du 26 février 2024 fixant les modalités de gestion de l’eau utilisée à des fins agricoles et d’entretien des infrastructures hydrauliques dans les périmètres irrigués au Cameroun</t>
  </si>
  <si>
    <t xml:space="preserve">l’INS, 2024 et Diffo Lontsi et Isseme Agoume, 2025
</t>
  </si>
  <si>
    <t>Faible implication des parties prenantes dans les décisions foncières, manque de confiance, conflits locaux, faible appropriation des projets et résistance des communautés.</t>
  </si>
  <si>
    <t xml:space="preserve">Sous-représentation des femmes dans les postes de responsabilité </t>
  </si>
  <si>
    <t xml:space="preserve"> Faible participation des femmes aux activités les plus rentables et aux marchés, dépendance économique et limitation de leur contribution à la création de valeur.</t>
  </si>
  <si>
    <t>Cameroon</t>
  </si>
  <si>
    <t>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</si>
</sst>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
      <b/>
      <sz val="10"/>
      <name val="Arial"/>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4">
    <xf numFmtId="0" fontId="0" fillId="0" borderId="0" xfId="0"/>
    <xf numFmtId="0" fontId="9" fillId="0" borderId="11"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7" fillId="0" borderId="72" xfId="0" applyFont="1" applyBorder="1" applyAlignment="1" applyProtection="1">
      <alignment horizontal="center" vertical="top"/>
      <protection locked="0"/>
    </xf>
    <xf numFmtId="0" fontId="0" fillId="0" borderId="18" xfId="0" applyBorder="1" applyAlignment="1" applyProtection="1">
      <alignment horizontal="left" vertical="center" wrapText="1"/>
      <protection locked="0"/>
    </xf>
    <xf numFmtId="0" fontId="36" fillId="0" borderId="4" xfId="0" applyFont="1" applyBorder="1" applyAlignment="1" applyProtection="1">
      <alignment horizontal="left" vertical="center" wrapText="1"/>
      <protection locked="0"/>
    </xf>
    <xf numFmtId="0" fontId="36" fillId="0" borderId="5" xfId="0" applyFont="1"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0" fontId="0" fillId="0" borderId="33" xfId="0" applyBorder="1" applyAlignment="1" applyProtection="1">
      <alignment horizontal="left" vertical="center" wrapText="1"/>
      <protection locked="0"/>
    </xf>
    <xf numFmtId="0" fontId="7" fillId="0" borderId="0" xfId="0" applyFont="1" applyAlignment="1" applyProtection="1">
      <alignment horizontal="left" vertical="center"/>
      <protection locked="0"/>
    </xf>
    <xf numFmtId="0" fontId="0" fillId="0" borderId="4" xfId="0" applyBorder="1" applyAlignment="1" applyProtection="1">
      <alignment horizontal="left" vertical="center" wrapText="1"/>
      <protection locked="0"/>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0" fillId="0" borderId="69" xfId="0" applyBorder="1" applyAlignment="1">
      <alignment vertical="top" wrapText="1"/>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10" fillId="0" borderId="66" xfId="0" applyFont="1" applyBorder="1" applyAlignment="1" applyProtection="1">
      <alignment vertical="top" wrapText="1"/>
      <protection locked="0"/>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5" xfId="0" applyFont="1" applyBorder="1" applyAlignment="1" applyProtection="1">
      <alignmen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2">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2.15</c:v>
                </c:pt>
                <c:pt idx="1">
                  <c:v>1.9166666666666667</c:v>
                </c:pt>
                <c:pt idx="2">
                  <c:v>1.95</c:v>
                </c:pt>
                <c:pt idx="3">
                  <c:v>2.0833333333333335</c:v>
                </c:pt>
                <c:pt idx="4">
                  <c:v>2.3055555555555554</c:v>
                </c:pt>
                <c:pt idx="5">
                  <c:v>1.625</c:v>
                </c:pt>
              </c:numCache>
            </c:numRef>
          </c:val>
          <c:extLst>
            <c:ext xmlns:c16="http://schemas.microsoft.com/office/drawing/2014/chart" uri="{C3380CC4-5D6E-409C-BE32-E72D297353CC}">
              <c16:uniqueId val="{00000000-5395-4D25-AE73-72A377DC4598}"/>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5395-4D25-AE73-72A377DC4598}"/>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Normal="100" zoomScaleSheetLayoutView="100" workbookViewId="0">
      <pane ySplit="3" topLeftCell="A4" activePane="bottomLeft" state="frozen"/>
      <selection pane="bottomLeft" activeCell="U8" sqref="U8"/>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471" t="s">
        <v>200</v>
      </c>
      <c r="B1" s="472"/>
      <c r="C1" s="473"/>
      <c r="D1" s="395" t="s">
        <v>26</v>
      </c>
      <c r="E1" s="325"/>
      <c r="F1" s="442" t="s">
        <v>399</v>
      </c>
      <c r="G1" s="443"/>
      <c r="I1" s="217"/>
    </row>
    <row r="2" spans="1:10" ht="16.5" customHeight="1" thickBot="1" x14ac:dyDescent="0.3">
      <c r="A2" s="397"/>
      <c r="B2" s="112"/>
      <c r="C2" s="112"/>
      <c r="D2" s="326" t="s">
        <v>119</v>
      </c>
      <c r="E2" s="444" t="s">
        <v>398</v>
      </c>
      <c r="F2" s="444"/>
      <c r="G2" s="445"/>
    </row>
    <row r="3" spans="1:10" ht="18" customHeight="1" thickBot="1" x14ac:dyDescent="0.3">
      <c r="A3" s="14" t="s">
        <v>24</v>
      </c>
      <c r="B3" s="446">
        <v>46170</v>
      </c>
      <c r="C3" s="447"/>
      <c r="D3" s="15"/>
      <c r="G3" s="13"/>
      <c r="J3" s="282"/>
    </row>
    <row r="4" spans="1:10" ht="13.5" customHeight="1" x14ac:dyDescent="0.25">
      <c r="A4" s="12"/>
      <c r="G4" s="13"/>
    </row>
    <row r="5" spans="1:10" ht="20.25" customHeight="1" x14ac:dyDescent="0.25">
      <c r="G5" s="13"/>
    </row>
    <row r="6" spans="1:10" ht="18" customHeight="1" x14ac:dyDescent="0.25">
      <c r="G6" s="13"/>
    </row>
    <row r="7" spans="1:10" ht="18" customHeight="1" x14ac:dyDescent="0.25">
      <c r="G7" s="13"/>
    </row>
    <row r="8" spans="1:10" ht="18" customHeight="1" x14ac:dyDescent="0.25">
      <c r="G8" s="13"/>
    </row>
    <row r="9" spans="1:10" ht="18" customHeight="1" x14ac:dyDescent="0.25">
      <c r="G9" s="13"/>
    </row>
    <row r="10" spans="1:10" ht="6" customHeight="1" thickBot="1" x14ac:dyDescent="0.3">
      <c r="A10" s="12"/>
      <c r="G10" s="13"/>
    </row>
    <row r="11" spans="1:10" ht="13.8" hidden="1" thickBot="1" x14ac:dyDescent="0.3">
      <c r="A11" s="12"/>
      <c r="G11" s="13"/>
    </row>
    <row r="12" spans="1:10" ht="13.8" thickBot="1" x14ac:dyDescent="0.3">
      <c r="A12" s="463" t="s">
        <v>78</v>
      </c>
      <c r="B12" s="464"/>
      <c r="C12" s="467" t="s">
        <v>79</v>
      </c>
      <c r="D12" s="468"/>
      <c r="E12" s="448" t="s">
        <v>7</v>
      </c>
      <c r="F12" s="16" t="s">
        <v>80</v>
      </c>
      <c r="G12" s="17" t="str">
        <f>Register!H3</f>
        <v>../../20..</v>
      </c>
    </row>
    <row r="13" spans="1:10" ht="13.8" thickBot="1" x14ac:dyDescent="0.3">
      <c r="A13" s="465"/>
      <c r="B13" s="466"/>
      <c r="C13" s="85" t="s">
        <v>82</v>
      </c>
      <c r="D13" s="86" t="s">
        <v>83</v>
      </c>
      <c r="E13" s="449"/>
      <c r="F13" s="18" t="s">
        <v>82</v>
      </c>
      <c r="G13" s="19" t="s">
        <v>83</v>
      </c>
      <c r="I13" s="218" t="s">
        <v>15</v>
      </c>
    </row>
    <row r="14" spans="1:10" ht="13.8" x14ac:dyDescent="0.25">
      <c r="A14" s="453" t="str">
        <f>Register!A5</f>
        <v>1. WORKING CONDITIONS</v>
      </c>
      <c r="B14" s="454"/>
      <c r="C14" s="327" t="str">
        <f>Register!C10</f>
        <v>Moderate/Low</v>
      </c>
      <c r="D14" s="311">
        <f>Register!B10</f>
        <v>2.15</v>
      </c>
      <c r="E14" s="312" t="str">
        <f>Register!D10</f>
        <v>↑</v>
      </c>
      <c r="F14" s="20" t="str">
        <f>Register!I10</f>
        <v>Not at all</v>
      </c>
      <c r="G14" s="318">
        <f>Register!H10</f>
        <v>0</v>
      </c>
      <c r="I14" s="219" t="e">
        <f>Register!#REF!</f>
        <v>#REF!</v>
      </c>
    </row>
    <row r="15" spans="1:10" ht="13.8" x14ac:dyDescent="0.25">
      <c r="A15" s="455" t="str">
        <f>Register!A11</f>
        <v>2. LAND &amp; WATER RIGHTS</v>
      </c>
      <c r="B15" s="456"/>
      <c r="C15" s="328" t="str">
        <f>Register!C15</f>
        <v>Moderate/Low</v>
      </c>
      <c r="D15" s="313">
        <f>Register!B15</f>
        <v>1.9166666666666667</v>
      </c>
      <c r="E15" s="314" t="str">
        <f>Register!D15</f>
        <v>↑</v>
      </c>
      <c r="F15" s="21" t="str">
        <f>Register!I15</f>
        <v>Not at all</v>
      </c>
      <c r="G15" s="319">
        <f>Register!H15</f>
        <v>0</v>
      </c>
      <c r="I15" s="220" t="e">
        <f>Register!#REF!</f>
        <v>#REF!</v>
      </c>
    </row>
    <row r="16" spans="1:10" ht="13.8" x14ac:dyDescent="0.25">
      <c r="A16" s="457" t="str">
        <f>Register!A16</f>
        <v>3. GENDER EQUALITY</v>
      </c>
      <c r="B16" s="458"/>
      <c r="C16" s="328" t="str">
        <f>Register!C22</f>
        <v>Moderate/Low</v>
      </c>
      <c r="D16" s="313">
        <f>Register!B22</f>
        <v>1.95</v>
      </c>
      <c r="E16" s="314" t="str">
        <f>Register!D22</f>
        <v>↑</v>
      </c>
      <c r="F16" s="21" t="str">
        <f>Register!I22</f>
        <v>Not at all</v>
      </c>
      <c r="G16" s="319">
        <f>Register!H22</f>
        <v>0</v>
      </c>
      <c r="I16" s="220" t="e">
        <f>Register!#REF!</f>
        <v>#REF!</v>
      </c>
    </row>
    <row r="17" spans="1:9" ht="13.8" x14ac:dyDescent="0.25">
      <c r="A17" s="459" t="str">
        <f>Register!A23</f>
        <v>4. FOOD AND NUTRITION SECURITY</v>
      </c>
      <c r="B17" s="460"/>
      <c r="C17" s="328" t="str">
        <f>Register!C28</f>
        <v>Moderate/Low</v>
      </c>
      <c r="D17" s="313">
        <f>Register!B28</f>
        <v>2.0833333333333335</v>
      </c>
      <c r="E17" s="314" t="str">
        <f>Register!D28</f>
        <v>↑</v>
      </c>
      <c r="F17" s="21" t="str">
        <f>Register!I28</f>
        <v>Not at all</v>
      </c>
      <c r="G17" s="319">
        <f>Register!H28</f>
        <v>0</v>
      </c>
      <c r="I17" s="220" t="e">
        <f>Register!#REF!</f>
        <v>#REF!</v>
      </c>
    </row>
    <row r="18" spans="1:9" ht="13.8" x14ac:dyDescent="0.25">
      <c r="A18" s="469" t="str">
        <f>Register!A29</f>
        <v>5. SOCIAL CAPITAL</v>
      </c>
      <c r="B18" s="470"/>
      <c r="C18" s="328" t="str">
        <f>Register!C33</f>
        <v>Moderate/Low</v>
      </c>
      <c r="D18" s="315">
        <f>Register!B33</f>
        <v>2.3055555555555554</v>
      </c>
      <c r="E18" s="314" t="str">
        <f>Register!D33</f>
        <v>↑</v>
      </c>
      <c r="F18" s="305" t="str">
        <f>Register!I33</f>
        <v>Not at all</v>
      </c>
      <c r="G18" s="319">
        <f>Register!H33</f>
        <v>0</v>
      </c>
      <c r="I18" s="304"/>
    </row>
    <row r="19" spans="1:9" ht="14.4" thickBot="1" x14ac:dyDescent="0.3">
      <c r="A19" s="461" t="str">
        <f>Register!A34</f>
        <v>6. LIVING CONDITIONS</v>
      </c>
      <c r="B19" s="462"/>
      <c r="C19" s="329" t="str">
        <f>Register!C39</f>
        <v>Moderate/Low</v>
      </c>
      <c r="D19" s="316">
        <f>Register!B39</f>
        <v>1.625</v>
      </c>
      <c r="E19" s="317" t="str">
        <f>Register!D39</f>
        <v>↑</v>
      </c>
      <c r="F19" s="22" t="str">
        <f>Register!I39</f>
        <v>Not at all</v>
      </c>
      <c r="G19" s="320">
        <f>Register!H39</f>
        <v>0</v>
      </c>
      <c r="I19" s="221" t="e">
        <f>Register!#REF!</f>
        <v>#REF!</v>
      </c>
    </row>
    <row r="20" spans="1:9" s="24" customFormat="1" ht="9" customHeight="1" thickBot="1" x14ac:dyDescent="0.3">
      <c r="A20" s="23"/>
      <c r="E20"/>
      <c r="F20"/>
      <c r="G20" s="13"/>
      <c r="I20" s="222" t="e">
        <f>AVERAGE(I14:I19)</f>
        <v>#REF!</v>
      </c>
    </row>
    <row r="21" spans="1:9" ht="13.8" thickBot="1" x14ac:dyDescent="0.3">
      <c r="A21" s="450" t="s">
        <v>8</v>
      </c>
      <c r="B21" s="451"/>
      <c r="C21" s="451"/>
      <c r="D21" s="451"/>
      <c r="E21" s="451"/>
      <c r="F21" s="451"/>
      <c r="G21" s="452"/>
    </row>
    <row r="22" spans="1:9" ht="107.25" customHeight="1" thickBot="1" x14ac:dyDescent="0.3">
      <c r="A22" s="474"/>
      <c r="B22" s="475"/>
      <c r="C22" s="475"/>
      <c r="D22" s="475"/>
      <c r="E22" s="475"/>
      <c r="F22" s="475"/>
      <c r="G22" s="476"/>
    </row>
    <row r="23" spans="1:9" ht="7.5" customHeight="1" thickBot="1" x14ac:dyDescent="0.3">
      <c r="A23" s="12"/>
      <c r="G23" s="13"/>
    </row>
    <row r="24" spans="1:9" ht="13.8" thickBot="1" x14ac:dyDescent="0.3">
      <c r="A24" s="477" t="s">
        <v>84</v>
      </c>
      <c r="B24" s="478"/>
      <c r="C24" s="478"/>
      <c r="D24" s="485"/>
      <c r="E24" s="485"/>
      <c r="F24" s="485"/>
      <c r="G24" s="486"/>
    </row>
    <row r="25" spans="1:9" ht="105.75" customHeight="1" thickBot="1" x14ac:dyDescent="0.3">
      <c r="A25" s="474"/>
      <c r="B25" s="480"/>
      <c r="C25" s="480"/>
      <c r="D25" s="480"/>
      <c r="E25" s="480"/>
      <c r="F25" s="480"/>
      <c r="G25" s="481"/>
    </row>
    <row r="26" spans="1:9" ht="13.8" thickBot="1" x14ac:dyDescent="0.3">
      <c r="A26" s="477" t="s">
        <v>85</v>
      </c>
      <c r="B26" s="478"/>
      <c r="C26" s="478"/>
      <c r="D26" s="478"/>
      <c r="E26" s="478"/>
      <c r="F26" s="478"/>
      <c r="G26" s="479"/>
    </row>
    <row r="27" spans="1:9" ht="83.25" customHeight="1" thickBot="1" x14ac:dyDescent="0.3">
      <c r="A27" s="482"/>
      <c r="B27" s="483"/>
      <c r="C27" s="483"/>
      <c r="D27" s="483"/>
      <c r="E27" s="483"/>
      <c r="F27" s="483"/>
      <c r="G27" s="484"/>
    </row>
    <row r="28" spans="1:9" ht="13.8" thickBot="1" x14ac:dyDescent="0.3">
      <c r="A28" s="477" t="s">
        <v>16</v>
      </c>
      <c r="B28" s="478"/>
      <c r="C28" s="478"/>
      <c r="D28" s="478"/>
      <c r="E28" s="478"/>
      <c r="F28" s="478"/>
      <c r="G28" s="479"/>
    </row>
    <row r="29" spans="1:9" ht="83.25" customHeight="1" thickBot="1" x14ac:dyDescent="0.3">
      <c r="A29" s="474"/>
      <c r="B29" s="475"/>
      <c r="C29" s="475"/>
      <c r="D29" s="475"/>
      <c r="E29" s="475"/>
      <c r="F29" s="475"/>
      <c r="G29" s="476"/>
    </row>
  </sheetData>
  <sheetProtection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87" priority="1" operator="equal">
      <formula>"High"</formula>
    </cfRule>
    <cfRule type="cellIs" dxfId="86" priority="2" operator="equal">
      <formula>"Substantial"</formula>
    </cfRule>
    <cfRule type="cellIs" dxfId="85" priority="3" operator="equal">
      <formula>"Moderate"</formula>
    </cfRule>
    <cfRule type="cellIs" dxfId="84"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70" zoomScaleNormal="70" zoomScaleSheetLayoutView="100" workbookViewId="0">
      <pane ySplit="4" topLeftCell="A5" activePane="bottomLeft" state="frozen"/>
      <selection pane="bottomLeft" activeCell="E56" sqref="E56"/>
    </sheetView>
  </sheetViews>
  <sheetFormatPr defaultColWidth="8.77734375" defaultRowHeight="13.2" x14ac:dyDescent="0.25"/>
  <cols>
    <col min="1" max="1" width="36.77734375" customWidth="1"/>
    <col min="2" max="2" width="10.21875" style="272" customWidth="1"/>
    <col min="3" max="3" width="15.21875" style="24" customWidth="1"/>
    <col min="4" max="4" width="6.21875" style="24" customWidth="1"/>
    <col min="5" max="5" width="66.44140625" customWidth="1"/>
    <col min="6" max="7" width="39.21875" customWidth="1"/>
    <col min="8" max="8" width="6" style="272" customWidth="1"/>
    <col min="9" max="9" width="14.21875" style="24"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4" customFormat="1" ht="27.75" customHeight="1" thickBot="1" x14ac:dyDescent="0.35">
      <c r="A1" s="420" t="str">
        <f>Profile!F1</f>
        <v>Rice</v>
      </c>
      <c r="B1" s="421"/>
      <c r="C1" s="364" t="s">
        <v>21</v>
      </c>
      <c r="D1" s="416" t="str">
        <f>Profile!E2</f>
        <v>Cameroon</v>
      </c>
      <c r="E1" s="417"/>
      <c r="F1" s="362" t="s">
        <v>25</v>
      </c>
      <c r="G1" s="363">
        <f>Profile!B3</f>
        <v>46170</v>
      </c>
      <c r="H1" s="418" t="s">
        <v>75</v>
      </c>
      <c r="I1" s="419"/>
      <c r="M1" s="105"/>
    </row>
    <row r="2" spans="1:15" s="104" customFormat="1" ht="10.5" customHeight="1" x14ac:dyDescent="0.25">
      <c r="A2" s="424" t="s">
        <v>9</v>
      </c>
      <c r="B2" s="436" t="s">
        <v>83</v>
      </c>
      <c r="C2" s="439" t="s">
        <v>82</v>
      </c>
      <c r="D2" s="427" t="s">
        <v>7</v>
      </c>
      <c r="E2" s="433" t="s">
        <v>10</v>
      </c>
      <c r="F2" s="427" t="s">
        <v>17</v>
      </c>
      <c r="G2" s="430" t="s">
        <v>81</v>
      </c>
      <c r="H2" s="418" t="s">
        <v>77</v>
      </c>
      <c r="I2" s="419"/>
      <c r="M2" s="105"/>
    </row>
    <row r="3" spans="1:15" s="105" customFormat="1" ht="13.5" customHeight="1" thickBot="1" x14ac:dyDescent="0.3">
      <c r="A3" s="425"/>
      <c r="B3" s="437"/>
      <c r="C3" s="440"/>
      <c r="D3" s="428"/>
      <c r="E3" s="434"/>
      <c r="F3" s="428"/>
      <c r="G3" s="431"/>
      <c r="H3" s="422" t="s">
        <v>76</v>
      </c>
      <c r="I3" s="423"/>
      <c r="L3" s="106" t="str">
        <f>Questionnaire!$N$3</f>
        <v>High</v>
      </c>
      <c r="M3" s="105" t="s">
        <v>19</v>
      </c>
    </row>
    <row r="4" spans="1:15" s="107" customFormat="1" ht="13.8" thickBot="1" x14ac:dyDescent="0.3">
      <c r="A4" s="426"/>
      <c r="B4" s="438"/>
      <c r="C4" s="441"/>
      <c r="D4" s="429"/>
      <c r="E4" s="435"/>
      <c r="F4" s="429"/>
      <c r="G4" s="432"/>
      <c r="H4" s="83" t="s">
        <v>1</v>
      </c>
      <c r="I4" s="84" t="s">
        <v>6</v>
      </c>
      <c r="L4" s="106" t="str">
        <f>Questionnaire!$N$4</f>
        <v>Substantial</v>
      </c>
      <c r="M4" s="105" t="s">
        <v>3</v>
      </c>
    </row>
    <row r="5" spans="1:15" s="105" customFormat="1" ht="15" customHeight="1" thickBot="1" x14ac:dyDescent="0.3">
      <c r="A5" s="52" t="str">
        <f>Questionnaire!$A$3</f>
        <v>1. WORKING CONDITIONS</v>
      </c>
      <c r="B5" s="53"/>
      <c r="C5" s="53"/>
      <c r="D5" s="53"/>
      <c r="E5" s="54"/>
      <c r="F5" s="54"/>
      <c r="G5" s="54"/>
      <c r="H5" s="54"/>
      <c r="I5" s="276"/>
      <c r="L5" s="106" t="str">
        <f>Questionnaire!$N$5</f>
        <v>Moderate/Low</v>
      </c>
      <c r="M5" s="105" t="s">
        <v>20</v>
      </c>
    </row>
    <row r="6" spans="1:15" s="108" customFormat="1" ht="82.8" x14ac:dyDescent="0.25">
      <c r="A6" s="55" t="str">
        <f>Questionnaire!$A$4</f>
        <v>1.1 Respect of labour rights</v>
      </c>
      <c r="B6" s="330">
        <f>Questionnaire!J10</f>
        <v>2.6</v>
      </c>
      <c r="C6" s="331" t="str">
        <f>IF(B6&lt;1.5,$L$6,IF(B6&lt;2.5,$L$5,IF(B6&lt;3.5,$L$4,IF(B6&lt;4.5,$L$3,"n/a"))))</f>
        <v>Substantial</v>
      </c>
      <c r="D6" s="332" t="str">
        <f>IF(H6&lt;B6,"↑",IF(H6&gt;B6,"↓","↔"))</f>
        <v>↑</v>
      </c>
      <c r="E6" s="409" t="s">
        <v>313</v>
      </c>
      <c r="F6" s="1" t="s">
        <v>317</v>
      </c>
      <c r="G6" s="1" t="s">
        <v>321</v>
      </c>
      <c r="H6" s="234">
        <v>0</v>
      </c>
      <c r="I6" s="275" t="str">
        <f>IF(H6&lt;1.5,$L$6,IF(H6&lt;2.5,$L$5,IF(H6&lt;3.5,$L$4,IF(H6&lt;4.5,$L$3,"n/a"))))</f>
        <v>Not at all</v>
      </c>
      <c r="K6" s="108" t="s">
        <v>11</v>
      </c>
      <c r="L6" s="106" t="str">
        <f>Questionnaire!$N$6</f>
        <v>Not at all</v>
      </c>
      <c r="M6" s="108" t="s">
        <v>4</v>
      </c>
    </row>
    <row r="7" spans="1:15" s="108" customFormat="1" ht="110.4" x14ac:dyDescent="0.25">
      <c r="A7" s="56" t="str">
        <f>Questionnaire!$A$11</f>
        <v>1.2 Child Labour</v>
      </c>
      <c r="B7" s="333">
        <f>Questionnaire!J14</f>
        <v>1.5</v>
      </c>
      <c r="C7" s="334" t="str">
        <f>IF(B7&lt;1.5,$L$6,IF(B7&lt;2.5,$L$5,IF(B7&lt;3.5,$L$4,IF(B7&lt;4.5,$L$3,"n/a"))))</f>
        <v>Moderate/Low</v>
      </c>
      <c r="D7" s="335" t="str">
        <f>IF(H7&lt;B7,"↑",IF(H7&gt;B7,"↓","↔"))</f>
        <v>↑</v>
      </c>
      <c r="E7" s="2" t="s">
        <v>314</v>
      </c>
      <c r="F7" s="2" t="s">
        <v>318</v>
      </c>
      <c r="G7" s="2" t="s">
        <v>322</v>
      </c>
      <c r="H7" s="235">
        <v>0</v>
      </c>
      <c r="I7" s="275" t="str">
        <f>IF(H7&lt;1.5,$L$6,IF(H7&lt;2.5,$L$5,IF(H7&lt;3.5,$L$4,IF(H7&lt;4.5,$L$3,"n/a"))))</f>
        <v>Not at all</v>
      </c>
      <c r="K7" s="108" t="s">
        <v>12</v>
      </c>
      <c r="L7" s="106" t="str">
        <f>Questionnaire!$N$7</f>
        <v>n/a</v>
      </c>
    </row>
    <row r="8" spans="1:15" s="108" customFormat="1" ht="96.6" x14ac:dyDescent="0.25">
      <c r="A8" s="56" t="str">
        <f>Questionnaire!$A$15</f>
        <v>1.3 Job safety</v>
      </c>
      <c r="B8" s="333">
        <f>Questionnaire!J17</f>
        <v>2</v>
      </c>
      <c r="C8" s="336" t="str">
        <f>IF(B8&lt;1.5,$L$6,IF(B8&lt;2.5,$L$5,IF(B8&lt;3.5,$L$4,IF(B8&lt;4.5,$L$3,"n/a"))))</f>
        <v>Moderate/Low</v>
      </c>
      <c r="D8" s="335" t="str">
        <f>IF(H8&lt;B8,"↑",IF(H8&gt;B8,"↓","↔"))</f>
        <v>↑</v>
      </c>
      <c r="E8" s="2" t="s">
        <v>315</v>
      </c>
      <c r="F8" s="2" t="s">
        <v>319</v>
      </c>
      <c r="G8" s="2" t="s">
        <v>323</v>
      </c>
      <c r="H8" s="235">
        <v>0</v>
      </c>
      <c r="I8" s="275" t="str">
        <f>IF(H8&lt;1.5,$L$6,IF(H8&lt;2.5,$L$5,IF(H8&lt;3.5,$L$4,IF(H8&lt;4.5,$L$3,"n/a"))))</f>
        <v>Not at all</v>
      </c>
      <c r="K8" s="108" t="s">
        <v>13</v>
      </c>
      <c r="L8" s="106"/>
    </row>
    <row r="9" spans="1:15" s="108" customFormat="1" ht="111" thickBot="1" x14ac:dyDescent="0.3">
      <c r="A9" s="57" t="str">
        <f>Questionnaire!$A$18</f>
        <v>1.4 Attractiveness</v>
      </c>
      <c r="B9" s="337">
        <f>Questionnaire!J21</f>
        <v>2.5</v>
      </c>
      <c r="C9" s="334" t="str">
        <f>IF(B9&lt;1.5,$L$6,IF(B9&lt;2.5,$L$5,IF(B9&lt;3.5,$L$4,IF(B9&lt;4.5,$L$3,"n/a"))))</f>
        <v>Substantial</v>
      </c>
      <c r="D9" s="338" t="str">
        <f>IF(H9&lt;B9,"↑",IF(H9&gt;B9,"↓","↔"))</f>
        <v>↑</v>
      </c>
      <c r="E9" s="3" t="s">
        <v>316</v>
      </c>
      <c r="F9" s="3" t="s">
        <v>320</v>
      </c>
      <c r="G9" s="3" t="s">
        <v>324</v>
      </c>
      <c r="H9" s="236">
        <v>0</v>
      </c>
      <c r="I9" s="246" t="str">
        <f>IF(H9&lt;1.5,$L$6,IF(H9&lt;2.5,$L$5,IF(H9&lt;3.5,$L$4,IF(H9&lt;4.5,$L$3,"n/a"))))</f>
        <v>Not at all</v>
      </c>
      <c r="L9" s="106"/>
    </row>
    <row r="10" spans="1:15" s="108" customFormat="1" ht="18" customHeight="1" thickTop="1" thickBot="1" x14ac:dyDescent="0.3">
      <c r="A10" s="58" t="s">
        <v>14</v>
      </c>
      <c r="B10" s="339">
        <f>IF(COUNT(B6:B9)=0,"n/a",(AVERAGE(B6:B9)))</f>
        <v>2.15</v>
      </c>
      <c r="C10" s="396" t="str">
        <f>IF(B10&lt;1.5,$L$6,IF(B10&lt;2.5,$L$5,IF(B10&lt;3.5,$L$4,IF(B10&lt;4.5,$L$3,"n/a"))))</f>
        <v>Moderate/Low</v>
      </c>
      <c r="D10" s="340" t="str">
        <f>IF(H10&lt;B10,"↑",IF(H10&gt;B10,"↓","↔"))</f>
        <v>↑</v>
      </c>
      <c r="E10" s="10"/>
      <c r="F10" s="109"/>
      <c r="G10" s="109"/>
      <c r="H10" s="11">
        <f>AVERAGE(H6:H9)</f>
        <v>0</v>
      </c>
      <c r="I10" s="274" t="str">
        <f>IF(H10&lt;1.5,$L$6,IF(H10&lt;2.5,$L$5,IF(H10&lt;3.5,$L$4,IF(H10&lt;4.5,$L$3,"n/a"))))</f>
        <v>Not at all</v>
      </c>
      <c r="O10" s="282"/>
    </row>
    <row r="11" spans="1:15" s="108" customFormat="1" ht="15" customHeight="1" thickBot="1" x14ac:dyDescent="0.3">
      <c r="A11" s="59" t="str">
        <f>Questionnaire!$A$22</f>
        <v>2. LAND &amp; WATER RIGHTS</v>
      </c>
      <c r="B11" s="341"/>
      <c r="C11" s="341"/>
      <c r="D11" s="342"/>
      <c r="E11" s="60"/>
      <c r="F11" s="60"/>
      <c r="G11" s="60"/>
      <c r="H11" s="60"/>
      <c r="I11" s="277"/>
    </row>
    <row r="12" spans="1:15" s="108" customFormat="1" ht="82.8" x14ac:dyDescent="0.25">
      <c r="A12" s="61" t="str">
        <f>Questionnaire!$A$23</f>
        <v xml:space="preserve">2.1 Adherence to VGGT </v>
      </c>
      <c r="B12" s="343">
        <f>Questionnaire!J26</f>
        <v>2</v>
      </c>
      <c r="C12" s="344" t="str">
        <f>IF(B12&lt;1.5,$L$6,IF(B12&lt;2.5,$L$5,IF(B12&lt;3.5,$L$4,IF(B12&lt;4.5,$L$3,"n/a"))))</f>
        <v>Moderate/Low</v>
      </c>
      <c r="D12" s="335" t="str">
        <f>IF(H12&lt;B12,"↑",IF(H12&gt;B12,"↓","↔"))</f>
        <v>↑</v>
      </c>
      <c r="E12" s="410" t="s">
        <v>332</v>
      </c>
      <c r="F12" s="1" t="s">
        <v>326</v>
      </c>
      <c r="G12" s="1" t="s">
        <v>327</v>
      </c>
      <c r="H12" s="234">
        <v>0</v>
      </c>
      <c r="I12" s="275" t="str">
        <f>IF(H12&lt;1.5,$L$6,IF(H12&lt;2.5,$L$5,IF(H12&lt;3.5,$L$4,IF(H12&lt;4.5,$L$3,"n/a"))))</f>
        <v>Not at all</v>
      </c>
    </row>
    <row r="13" spans="1:15" s="108" customFormat="1" ht="82.8" x14ac:dyDescent="0.25">
      <c r="A13" s="62" t="str">
        <f>Questionnaire!$A$27</f>
        <v>2.2 Transparency, participation and consultation</v>
      </c>
      <c r="B13" s="345">
        <f>Questionnaire!J32</f>
        <v>1.75</v>
      </c>
      <c r="C13" s="336" t="str">
        <f>IF(B13&lt;1.5,$L$6,IF(B13&lt;2.5,$L$5,IF(B13&lt;3.5,$L$4,IF(B13&lt;4.5,$L$3,"n/a"))))</f>
        <v>Moderate/Low</v>
      </c>
      <c r="D13" s="335" t="str">
        <f>IF(H13&lt;B13,"↑",IF(H13&gt;B13,"↓","↔"))</f>
        <v>↑</v>
      </c>
      <c r="E13" s="412" t="s">
        <v>395</v>
      </c>
      <c r="F13" s="2" t="s">
        <v>328</v>
      </c>
      <c r="G13" s="2" t="s">
        <v>329</v>
      </c>
      <c r="H13" s="235">
        <v>0</v>
      </c>
      <c r="I13" s="275" t="str">
        <f>IF(H13&lt;1.5,$L$6,IF(H13&lt;2.5,$L$5,IF(H13&lt;3.5,$L$4,IF(H13&lt;4.5,$L$3,"n/a"))))</f>
        <v>Not at all</v>
      </c>
    </row>
    <row r="14" spans="1:15" s="108" customFormat="1" ht="83.4" thickBot="1" x14ac:dyDescent="0.3">
      <c r="A14" s="63" t="str">
        <f>Questionnaire!$A$33</f>
        <v>2.3  Equity,compensation and justice</v>
      </c>
      <c r="B14" s="346">
        <f>Questionnaire!J38</f>
        <v>2</v>
      </c>
      <c r="C14" s="334" t="str">
        <f>IF(B14&lt;1.5,$L$6,IF(B14&lt;2.5,$L$5,IF(B14&lt;3.5,$L$4,IF(B14&lt;4.5,$L$3,"n/a"))))</f>
        <v>Moderate/Low</v>
      </c>
      <c r="D14" s="338" t="str">
        <f>IF(H14&lt;B14,"↑",IF(H14&gt;B14,"↓","↔"))</f>
        <v>↑</v>
      </c>
      <c r="E14" s="411" t="s">
        <v>325</v>
      </c>
      <c r="F14" s="3" t="s">
        <v>330</v>
      </c>
      <c r="G14" s="3" t="s">
        <v>331</v>
      </c>
      <c r="H14" s="236">
        <v>0</v>
      </c>
      <c r="I14" s="246" t="str">
        <f>IF(H14&lt;1.5,$L$6,IF(H14&lt;2.5,$L$5,IF(H14&lt;3.5,$L$4,IF(H14&lt;4.5,$L$3,"n/a"))))</f>
        <v>Not at all</v>
      </c>
    </row>
    <row r="15" spans="1:15" s="105" customFormat="1" ht="14.4" thickTop="1" thickBot="1" x14ac:dyDescent="0.3">
      <c r="A15" s="64" t="s">
        <v>14</v>
      </c>
      <c r="B15" s="347">
        <f>IF(COUNT(B12:B14)=0,"n/a",(AVERAGE(B12:B14)))</f>
        <v>1.9166666666666667</v>
      </c>
      <c r="C15" s="348" t="str">
        <f>IF(B15&lt;1.5,$L$6,IF(B15&lt;2.5,$L$5,IF(B15&lt;3.5,$L$4,IF(B15&lt;4.5,$L$3,"n/a"))))</f>
        <v>Moderate/Low</v>
      </c>
      <c r="D15" s="340" t="str">
        <f>IF(H15&lt;B15,"↑",IF(H15&gt;B15,"↓","↔"))</f>
        <v>↑</v>
      </c>
      <c r="E15" s="109"/>
      <c r="F15" s="109"/>
      <c r="G15" s="109"/>
      <c r="H15" s="9">
        <f>AVERAGE(H12:H14)</f>
        <v>0</v>
      </c>
      <c r="I15" s="274" t="str">
        <f>IF(H15&lt;1.5,$L$6,IF(H15&lt;2.5,$L$5,IF(H15&lt;3.5,$L$4,IF(H15&lt;4.5,$L$3,"n/a"))))</f>
        <v>Not at all</v>
      </c>
    </row>
    <row r="16" spans="1:15" s="108" customFormat="1" ht="15" customHeight="1" thickBot="1" x14ac:dyDescent="0.3">
      <c r="A16" s="65" t="str">
        <f>Questionnaire!$A$39</f>
        <v>3. GENDER EQUALITY</v>
      </c>
      <c r="B16" s="341"/>
      <c r="C16" s="341"/>
      <c r="D16" s="341"/>
      <c r="E16" s="66"/>
      <c r="F16" s="66"/>
      <c r="G16" s="66"/>
      <c r="H16" s="66"/>
      <c r="I16" s="278"/>
    </row>
    <row r="17" spans="1:9" s="108" customFormat="1" ht="52.8" x14ac:dyDescent="0.25">
      <c r="A17" s="67" t="str">
        <f>Questionnaire!$A$40</f>
        <v>3.1 Economic activities</v>
      </c>
      <c r="B17" s="343">
        <f>Questionnaire!J43</f>
        <v>2.5</v>
      </c>
      <c r="C17" s="344" t="str">
        <f t="shared" ref="C17:C22" si="0">IF(B17&lt;1.5,$L$6,IF(B17&lt;2.5,$L$5,IF(B17&lt;3.5,$L$4,IF(B17&lt;4.5,$L$3,"n/a"))))</f>
        <v>Substantial</v>
      </c>
      <c r="D17" s="335" t="str">
        <f>IF(H17&lt;B17,"↑",IF(H17&gt;B17,"↓","↔"))</f>
        <v>↑</v>
      </c>
      <c r="E17" s="415" t="s">
        <v>397</v>
      </c>
      <c r="F17" s="412" t="s">
        <v>333</v>
      </c>
      <c r="G17" s="413" t="s">
        <v>334</v>
      </c>
      <c r="H17" s="234">
        <v>0</v>
      </c>
      <c r="I17" s="275" t="str">
        <f t="shared" ref="I17:I22" si="1">IF(H17&lt;1.5,$L$6,IF(H17&lt;2.5,$L$5,IF(H17&lt;3.5,$L$4,IF(H17&lt;4.5,$L$3,"n/a"))))</f>
        <v>Not at all</v>
      </c>
    </row>
    <row r="18" spans="1:9" s="108" customFormat="1" ht="55.2" x14ac:dyDescent="0.25">
      <c r="A18" s="67" t="str">
        <f>Questionnaire!$A$44</f>
        <v>3.2 Access to resources and services</v>
      </c>
      <c r="B18" s="345">
        <f>Questionnaire!J49</f>
        <v>1.5</v>
      </c>
      <c r="C18" s="349" t="str">
        <f t="shared" si="0"/>
        <v>Moderate/Low</v>
      </c>
      <c r="D18" s="335" t="str">
        <f t="shared" ref="D18:D20" si="2">IF(H18&lt;B18,"↑",IF(H18&gt;B18,"↓","↔"))</f>
        <v>↑</v>
      </c>
      <c r="E18" s="414" t="s">
        <v>335</v>
      </c>
      <c r="F18" s="2" t="s">
        <v>336</v>
      </c>
      <c r="G18" s="2" t="s">
        <v>337</v>
      </c>
      <c r="H18" s="235">
        <v>0</v>
      </c>
      <c r="I18" s="275" t="str">
        <f t="shared" si="1"/>
        <v>Not at all</v>
      </c>
    </row>
    <row r="19" spans="1:9" s="108" customFormat="1" ht="55.2" x14ac:dyDescent="0.25">
      <c r="A19" s="67" t="str">
        <f>Questionnaire!$A$50</f>
        <v>3.3 Decision making</v>
      </c>
      <c r="B19" s="345">
        <f>Questionnaire!J56</f>
        <v>2</v>
      </c>
      <c r="C19" s="336" t="str">
        <f t="shared" si="0"/>
        <v>Moderate/Low</v>
      </c>
      <c r="D19" s="350" t="str">
        <f t="shared" si="2"/>
        <v>↑</v>
      </c>
      <c r="E19" s="414" t="s">
        <v>338</v>
      </c>
      <c r="F19" s="2" t="s">
        <v>339</v>
      </c>
      <c r="G19" s="239" t="s">
        <v>340</v>
      </c>
      <c r="H19" s="238">
        <v>0</v>
      </c>
      <c r="I19" s="275" t="str">
        <f t="shared" si="1"/>
        <v>Not at all</v>
      </c>
    </row>
    <row r="20" spans="1:9" s="108" customFormat="1" ht="55.2" x14ac:dyDescent="0.25">
      <c r="A20" s="67" t="str">
        <f>Questionnaire!$A$57</f>
        <v>3.4 Leadership and empowerment</v>
      </c>
      <c r="B20" s="345">
        <f>Questionnaire!J62</f>
        <v>2.25</v>
      </c>
      <c r="C20" s="334" t="str">
        <f t="shared" si="0"/>
        <v>Moderate/Low</v>
      </c>
      <c r="D20" s="335" t="str">
        <f t="shared" si="2"/>
        <v>↑</v>
      </c>
      <c r="E20" s="81" t="s">
        <v>396</v>
      </c>
      <c r="F20" s="82" t="s">
        <v>341</v>
      </c>
      <c r="G20" s="82" t="s">
        <v>342</v>
      </c>
      <c r="H20" s="235">
        <v>0</v>
      </c>
      <c r="I20" s="275" t="str">
        <f t="shared" si="1"/>
        <v>Not at all</v>
      </c>
    </row>
    <row r="21" spans="1:9" s="108" customFormat="1" ht="69.599999999999994" thickBot="1" x14ac:dyDescent="0.3">
      <c r="A21" s="68" t="str">
        <f>Questionnaire!$A$63</f>
        <v>3.5 Hardship and division of labour</v>
      </c>
      <c r="B21" s="346">
        <f>Questionnaire!J66</f>
        <v>1.5</v>
      </c>
      <c r="C21" s="351" t="str">
        <f t="shared" si="0"/>
        <v>Moderate/Low</v>
      </c>
      <c r="D21" s="338" t="str">
        <f>IF(H21&lt;B21,"↑",IF(H21&gt;B21,"↓","↔"))</f>
        <v>↑</v>
      </c>
      <c r="E21" s="6" t="s">
        <v>343</v>
      </c>
      <c r="F21" s="3" t="s">
        <v>344</v>
      </c>
      <c r="G21" s="3" t="s">
        <v>345</v>
      </c>
      <c r="H21" s="236">
        <v>0</v>
      </c>
      <c r="I21" s="246" t="str">
        <f t="shared" si="1"/>
        <v>Not at all</v>
      </c>
    </row>
    <row r="22" spans="1:9" s="105" customFormat="1" ht="14.4" thickTop="1" thickBot="1" x14ac:dyDescent="0.3">
      <c r="A22" s="80" t="s">
        <v>14</v>
      </c>
      <c r="B22" s="347">
        <f>IF(COUNT(B17:B21)=0,"n/a",(AVERAGE(B17:B21)))</f>
        <v>1.95</v>
      </c>
      <c r="C22" s="352" t="str">
        <f t="shared" si="0"/>
        <v>Moderate/Low</v>
      </c>
      <c r="D22" s="340" t="str">
        <f>IF(H22&lt;B22,"↑",IF(H22&gt;B22,"↓","↔"))</f>
        <v>↑</v>
      </c>
      <c r="E22" s="109"/>
      <c r="F22" s="109"/>
      <c r="G22" s="109"/>
      <c r="H22" s="9">
        <f>AVERAGE(H17:H21)</f>
        <v>0</v>
      </c>
      <c r="I22" s="274" t="str">
        <f t="shared" si="1"/>
        <v>Not at all</v>
      </c>
    </row>
    <row r="23" spans="1:9" s="108" customFormat="1" ht="15" customHeight="1" thickBot="1" x14ac:dyDescent="0.3">
      <c r="A23" s="51" t="str">
        <f>Questionnaire!$A$67</f>
        <v>4. FOOD AND NUTRITION SECURITY</v>
      </c>
      <c r="B23" s="341"/>
      <c r="C23" s="341"/>
      <c r="D23" s="341"/>
      <c r="E23" s="69"/>
      <c r="F23" s="69"/>
      <c r="G23" s="69"/>
      <c r="H23" s="69"/>
      <c r="I23" s="279"/>
    </row>
    <row r="24" spans="1:9" s="108" customFormat="1" ht="69" x14ac:dyDescent="0.25">
      <c r="A24" s="70" t="str">
        <f>Questionnaire!$A$68</f>
        <v xml:space="preserve">4.1 Availability of food </v>
      </c>
      <c r="B24" s="343">
        <f>Questionnaire!J71</f>
        <v>2.5</v>
      </c>
      <c r="C24" s="344" t="str">
        <f>IF(B24&lt;1.5,$L$6,IF(B24&lt;2.5,$L$5,IF(B24&lt;3.5,$L$4,IF(B24&lt;4.5,$L$3,"n/a"))))</f>
        <v>Substantial</v>
      </c>
      <c r="D24" s="332" t="str">
        <f>IF(H24&lt;B24,"↑",IF(H24&gt;B24,"↓","↔"))</f>
        <v>↑</v>
      </c>
      <c r="E24" s="4" t="s">
        <v>346</v>
      </c>
      <c r="F24" s="1" t="s">
        <v>347</v>
      </c>
      <c r="G24" s="1" t="s">
        <v>354</v>
      </c>
      <c r="H24" s="234">
        <v>0</v>
      </c>
      <c r="I24" s="275" t="str">
        <f>IF(H24&lt;1.5,$L$6,IF(H24&lt;2.5,$L$5,IF(H24&lt;3.5,$L$4,IF(H24&lt;4.5,$L$3,"n/a"))))</f>
        <v>Not at all</v>
      </c>
    </row>
    <row r="25" spans="1:9" s="108" customFormat="1" ht="69" x14ac:dyDescent="0.25">
      <c r="A25" s="71" t="str">
        <f>Questionnaire!$A$72</f>
        <v xml:space="preserve">4.2 Accessibility of food </v>
      </c>
      <c r="B25" s="345">
        <f>Questionnaire!J75</f>
        <v>1.5</v>
      </c>
      <c r="C25" s="336" t="str">
        <f>IF(B25&lt;1.5,$L$6,IF(B25&lt;2.5,$L$5,IF(B25&lt;3.5,$L$4,IF(B25&lt;4.5,$L$3,"n/a"))))</f>
        <v>Moderate/Low</v>
      </c>
      <c r="D25" s="335" t="str">
        <f>IF(H25&lt;B25,"↑",IF(H25&gt;B25,"↓","↔"))</f>
        <v>↑</v>
      </c>
      <c r="E25" s="5" t="s">
        <v>348</v>
      </c>
      <c r="F25" s="2" t="s">
        <v>349</v>
      </c>
      <c r="G25" s="2" t="s">
        <v>355</v>
      </c>
      <c r="H25" s="235">
        <v>0</v>
      </c>
      <c r="I25" s="275" t="str">
        <f>IF(H25&lt;1.5,$L$6,IF(H25&lt;2.5,$L$5,IF(H25&lt;3.5,$L$4,IF(H25&lt;4.5,$L$3,"n/a"))))</f>
        <v>Not at all</v>
      </c>
    </row>
    <row r="26" spans="1:9" s="108" customFormat="1" ht="69" x14ac:dyDescent="0.25">
      <c r="A26" s="72" t="str">
        <f>Questionnaire!$A$76</f>
        <v xml:space="preserve">4.3 Utilisation and nutritional adequacy </v>
      </c>
      <c r="B26" s="345">
        <f>Questionnaire!J80</f>
        <v>2.3333333333333335</v>
      </c>
      <c r="C26" s="336" t="str">
        <f>IF(B26&lt;1.5,$L$6,IF(B26&lt;2.5,$L$5,IF(B26&lt;3.5,$L$4,IF(B26&lt;4.5,$L$3,"n/a"))))</f>
        <v>Moderate/Low</v>
      </c>
      <c r="D26" s="335" t="str">
        <f>IF(H26&lt;B26,"↑",IF(H26&gt;B26,"↓","↔"))</f>
        <v>↑</v>
      </c>
      <c r="E26" s="5" t="s">
        <v>350</v>
      </c>
      <c r="F26" s="2" t="s">
        <v>351</v>
      </c>
      <c r="G26" s="2" t="s">
        <v>356</v>
      </c>
      <c r="H26" s="235">
        <v>0</v>
      </c>
      <c r="I26" s="275" t="str">
        <f>IF(H26&lt;1.5,$L$6,IF(H26&lt;2.5,$L$5,IF(H26&lt;3.5,$L$4,IF(H26&lt;4.5,$L$3,"n/a"))))</f>
        <v>Not at all</v>
      </c>
    </row>
    <row r="27" spans="1:9" s="108" customFormat="1" ht="69.599999999999994" thickBot="1" x14ac:dyDescent="0.3">
      <c r="A27" s="73" t="str">
        <f>Questionnaire!$A$81</f>
        <v xml:space="preserve">4.4 Stability </v>
      </c>
      <c r="B27" s="346">
        <f>Questionnaire!J84</f>
        <v>2</v>
      </c>
      <c r="C27" s="334" t="str">
        <f>IF(B27&lt;1.5,$L$6,IF(B27&lt;2.5,$L$5,IF(B27&lt;3.5,$L$4,IF(B27&lt;4.5,$L$3,"n/a"))))</f>
        <v>Moderate/Low</v>
      </c>
      <c r="D27" s="338" t="str">
        <f>IF(H27&lt;B27,"↑",IF(H27&gt;B27,"↓","↔"))</f>
        <v>↑</v>
      </c>
      <c r="E27" s="6" t="s">
        <v>352</v>
      </c>
      <c r="F27" s="3" t="s">
        <v>353</v>
      </c>
      <c r="G27" s="3" t="s">
        <v>357</v>
      </c>
      <c r="H27" s="236">
        <v>0</v>
      </c>
      <c r="I27" s="246" t="str">
        <f>IF(H27&lt;1.5,$L$6,IF(H27&lt;2.5,$L$5,IF(H27&lt;3.5,$L$4,IF(H27&lt;4.5,$L$3,"n/a"))))</f>
        <v>Not at all</v>
      </c>
    </row>
    <row r="28" spans="1:9" s="105" customFormat="1" ht="14.4" thickTop="1" thickBot="1" x14ac:dyDescent="0.3">
      <c r="A28" s="74" t="s">
        <v>14</v>
      </c>
      <c r="B28" s="347">
        <f>IF(COUNT(B24:B27)=0,"n/a",(AVERAGE(B24:B27)))</f>
        <v>2.0833333333333335</v>
      </c>
      <c r="C28" s="348" t="str">
        <f>IF(B28&lt;1.5,$L$6,IF(B28&lt;2.5,$L$5,IF(B28&lt;3.5,$L$4,IF(B28&lt;4.5,$L$3,"n/a"))))</f>
        <v>Moderate/Low</v>
      </c>
      <c r="D28" s="340" t="str">
        <f>IF(H28&lt;B28,"↑",IF(H28&gt;B28,"↓","↔"))</f>
        <v>↑</v>
      </c>
      <c r="E28" s="109"/>
      <c r="F28" s="109"/>
      <c r="G28" s="109"/>
      <c r="H28" s="9">
        <f>AVERAGE(H24:H27)</f>
        <v>0</v>
      </c>
      <c r="I28" s="274" t="str">
        <f>IF(H28&lt;1.5,$L$6,IF(H28&lt;2.5,$L$5,IF(H28&lt;3.5,$L$4,IF(H28&lt;4.5,$L$3,"n/a"))))</f>
        <v>Not at all</v>
      </c>
    </row>
    <row r="29" spans="1:9" s="105" customFormat="1" ht="13.8" thickBot="1" x14ac:dyDescent="0.3">
      <c r="A29" s="303" t="str">
        <f>Questionnaire!$A$85</f>
        <v>5. SOCIAL CAPITAL</v>
      </c>
      <c r="B29" s="353"/>
      <c r="C29" s="354"/>
      <c r="D29" s="354"/>
      <c r="E29" s="295"/>
      <c r="F29" s="295"/>
      <c r="G29" s="295"/>
      <c r="H29" s="296"/>
      <c r="I29" s="297"/>
    </row>
    <row r="30" spans="1:9" s="105" customFormat="1" ht="24" customHeight="1" x14ac:dyDescent="0.25">
      <c r="A30" s="300" t="str">
        <f>Questionnaire!$A$86</f>
        <v>5.1 Strength of producer organisations</v>
      </c>
      <c r="B30" s="355">
        <f>Questionnaire!J91</f>
        <v>2.25</v>
      </c>
      <c r="C30" s="331" t="str">
        <f>IF(B30&lt;1.5,$L$6,IF(B30&lt;2.5,$L$5,IF(B30&lt;3.5,$L$4,IF(B30&lt;4.5,$L$3,"n/a"))))</f>
        <v>Moderate/Low</v>
      </c>
      <c r="D30" s="332" t="str">
        <f t="shared" ref="D30:D32" si="3">IF(H30&lt;B30,"↑",IF(H30&gt;B30,"↓","↔"))</f>
        <v>↑</v>
      </c>
      <c r="E30" s="398" t="s">
        <v>358</v>
      </c>
      <c r="F30" s="399" t="s">
        <v>359</v>
      </c>
      <c r="G30" s="400" t="s">
        <v>364</v>
      </c>
      <c r="H30" s="234">
        <v>0</v>
      </c>
      <c r="I30" s="275" t="str">
        <f>IF(H30&lt;1.5,$L$6,IF(H30&lt;2.5,$L$5,IF(H30&lt;3.5,$L$4,IF(H30&lt;4.5,$L$3,"n/a"))))</f>
        <v>Not at all</v>
      </c>
    </row>
    <row r="31" spans="1:9" s="105" customFormat="1" x14ac:dyDescent="0.25">
      <c r="A31" s="301" t="str">
        <f>Questionnaire!$A$92</f>
        <v>5.2 Information and confidence</v>
      </c>
      <c r="B31" s="356">
        <f>Questionnaire!J95</f>
        <v>2</v>
      </c>
      <c r="C31" s="336" t="str">
        <f>IF(B31&lt;1.5,$L$6,IF(B31&lt;2.5,$L$5,IF(B31&lt;3.5,$L$4,IF(B31&lt;4.5,$L$3,"n/a"))))</f>
        <v>Moderate/Low</v>
      </c>
      <c r="D31" s="349" t="str">
        <f t="shared" si="3"/>
        <v>↑</v>
      </c>
      <c r="E31" s="401" t="s">
        <v>360</v>
      </c>
      <c r="F31" s="402" t="s">
        <v>362</v>
      </c>
      <c r="G31" s="403" t="s">
        <v>365</v>
      </c>
      <c r="H31" s="234">
        <v>0</v>
      </c>
      <c r="I31" s="275" t="str">
        <f>IF(H31&lt;1.5,$L$6,IF(H31&lt;2.5,$L$5,IF(H31&lt;3.5,$L$4,IF(H31&lt;4.5,$L$3,"n/a"))))</f>
        <v>Not at all</v>
      </c>
    </row>
    <row r="32" spans="1:9" s="105" customFormat="1" ht="13.8" thickBot="1" x14ac:dyDescent="0.3">
      <c r="A32" s="302" t="str">
        <f>Questionnaire!$A$96</f>
        <v>5.3 Social involvement</v>
      </c>
      <c r="B32" s="357">
        <f>Questionnaire!J100</f>
        <v>2.6666666666666665</v>
      </c>
      <c r="C32" s="334" t="str">
        <f>IF(B32&lt;1.5,$L$6,IF(B32&lt;2.5,$L$5,IF(B32&lt;3.5,$L$4,IF(B32&lt;4.5,$L$3,"n/a"))))</f>
        <v>Substantial</v>
      </c>
      <c r="D32" s="351" t="str">
        <f t="shared" si="3"/>
        <v>↑</v>
      </c>
      <c r="E32" s="404" t="s">
        <v>361</v>
      </c>
      <c r="F32" s="405" t="s">
        <v>363</v>
      </c>
      <c r="G32" s="406" t="s">
        <v>366</v>
      </c>
      <c r="H32" s="236">
        <v>0</v>
      </c>
      <c r="I32" s="242" t="str">
        <f>IF(H32&lt;1.5,$L$6,IF(H32&lt;2.5,$L$5,IF(H32&lt;3.5,$L$4,IF(H32&lt;4.5,$L$3,"n/a"))))</f>
        <v>Not at all</v>
      </c>
    </row>
    <row r="33" spans="1:9" s="105" customFormat="1" ht="14.4" thickTop="1" thickBot="1" x14ac:dyDescent="0.3">
      <c r="A33" s="298" t="s">
        <v>14</v>
      </c>
      <c r="B33" s="347">
        <f>IF(COUNT(B30:B32)=0,"n/a",(AVERAGE(B30:B32)))</f>
        <v>2.3055555555555554</v>
      </c>
      <c r="C33" s="348" t="str">
        <f>IF(B33&lt;1.5,$L$6,IF(B33&lt;2.5,$L$5,IF(B33&lt;3.5,$L$4,IF(B33&lt;4.5,$L$3,"n/a"))))</f>
        <v>Moderate/Low</v>
      </c>
      <c r="D33" s="340" t="str">
        <f>IF(H33&lt;B33,"↑",IF(H33&gt;B33,"↓","↔"))</f>
        <v>↑</v>
      </c>
      <c r="E33" s="109"/>
      <c r="F33" s="299"/>
      <c r="G33" s="109"/>
      <c r="H33" s="9">
        <f>AVERAGE(H30:H32)</f>
        <v>0</v>
      </c>
      <c r="I33" s="283" t="str">
        <f>IF(H33&lt;1.5,$L$6,IF(H33&lt;2.5,$L$5,IF(H33&lt;3.5,$L$4,IF(H33&lt;4.5,$L$3,"n/a"))))</f>
        <v>Not at all</v>
      </c>
    </row>
    <row r="34" spans="1:9" s="108" customFormat="1" ht="15" customHeight="1" thickBot="1" x14ac:dyDescent="0.3">
      <c r="A34" s="75" t="str">
        <f>Questionnaire!$A$101</f>
        <v>6. LIVING CONDITIONS</v>
      </c>
      <c r="B34" s="358"/>
      <c r="C34" s="359"/>
      <c r="D34" s="359"/>
      <c r="E34" s="77"/>
      <c r="F34" s="77"/>
      <c r="G34" s="77"/>
      <c r="H34" s="76"/>
      <c r="I34" s="280"/>
    </row>
    <row r="35" spans="1:9" s="108" customFormat="1" ht="69.599999999999994" thickBot="1" x14ac:dyDescent="0.3">
      <c r="A35" s="243" t="str">
        <f>Questionnaire!$A$102</f>
        <v>6.1 Health services</v>
      </c>
      <c r="B35" s="360">
        <f>Questionnaire!J106</f>
        <v>1.3333333333333333</v>
      </c>
      <c r="C35" s="344" t="str">
        <f>IF(B35&lt;1.5,$L$6,IF(B35&lt;2.5,$L$5,IF(B35&lt;3.5,$L$4,IF(B35&lt;4.5,$L$3,"n/a"))))</f>
        <v>Not at all</v>
      </c>
      <c r="D35" s="361" t="str">
        <f>IF(H35&lt;B35,"↑",IF(H35&gt;B35,"↓","↔"))</f>
        <v>↑</v>
      </c>
      <c r="E35" s="4" t="s">
        <v>367</v>
      </c>
      <c r="F35" s="240" t="s">
        <v>370</v>
      </c>
      <c r="G35" s="4" t="s">
        <v>373</v>
      </c>
      <c r="H35" s="237">
        <v>0</v>
      </c>
      <c r="I35" s="275" t="str">
        <f>IF(H35&lt;1.5,$L$6,IF(H35&lt;2.5,$L$5,IF(H35&lt;3.5,$L$4,IF(H35&lt;4.5,$L$3,"n/a"))))</f>
        <v>Not at all</v>
      </c>
    </row>
    <row r="36" spans="1:9" s="108" customFormat="1" ht="84" thickTop="1" thickBot="1" x14ac:dyDescent="0.3">
      <c r="A36" s="78" t="str">
        <f>Questionnaire!$A$107</f>
        <v>6.2 Housing</v>
      </c>
      <c r="B36" s="345">
        <f>Questionnaire!J110</f>
        <v>2.5</v>
      </c>
      <c r="C36" s="336" t="str">
        <f>IF(B36&lt;1.5,$L$6,IF(B36&lt;2.5,$L$5,IF(B36&lt;3.5,$L$4,IF(B36&lt;4.5,$L$3,"n/a"))))</f>
        <v>Substantial</v>
      </c>
      <c r="D36" s="336" t="str">
        <f>IF(H36&lt;B36,"↑",IF(H36&gt;B36,"↓","↔"))</f>
        <v>↑</v>
      </c>
      <c r="E36" s="412" t="s">
        <v>368</v>
      </c>
      <c r="F36" s="241" t="s">
        <v>371</v>
      </c>
      <c r="G36" s="5" t="s">
        <v>374</v>
      </c>
      <c r="H36" s="237">
        <v>0</v>
      </c>
      <c r="I36" s="275" t="str">
        <f>IF(H36&lt;1.5,$L$6,IF(H36&lt;2.5,$L$5,IF(H36&lt;3.5,$L$4,IF(H36&lt;4.5,$L$3,"n/a"))))</f>
        <v>Not at all</v>
      </c>
    </row>
    <row r="37" spans="1:9" s="108" customFormat="1" ht="84" thickTop="1" thickBot="1" x14ac:dyDescent="0.3">
      <c r="A37" s="244" t="str">
        <f>Questionnaire!$A$111</f>
        <v>6.3 Education and training</v>
      </c>
      <c r="B37" s="360">
        <f>Questionnaire!J115</f>
        <v>2.6666666666666665</v>
      </c>
      <c r="C37" s="336" t="str">
        <f>IF(B37&lt;1.5,$L$6,IF(B37&lt;2.5,$L$5,IF(B37&lt;3.5,$L$4,IF(B37&lt;4.5,$L$3,"n/a"))))</f>
        <v>Substantial</v>
      </c>
      <c r="D37" s="361" t="str">
        <f>IF(H37&lt;B37,"↑",IF(H37&gt;B37,"↓","↔"))</f>
        <v>↑</v>
      </c>
      <c r="E37" s="5" t="s">
        <v>369</v>
      </c>
      <c r="F37" s="241" t="s">
        <v>372</v>
      </c>
      <c r="G37" s="5" t="s">
        <v>375</v>
      </c>
      <c r="H37" s="237">
        <v>0</v>
      </c>
      <c r="I37" s="275" t="str">
        <f>IF(H37&lt;1.5,$L$6,IF(H37&lt;2.5,$L$5,IF(H37&lt;3.5,$L$4,IF(H37&lt;4.5,$L$3,"n/a"))))</f>
        <v>Not at all</v>
      </c>
    </row>
    <row r="38" spans="1:9" s="108" customFormat="1" ht="15" customHeight="1" thickTop="1" thickBot="1" x14ac:dyDescent="0.3">
      <c r="A38" s="245">
        <f>Questionnaire!$A$116</f>
        <v>0</v>
      </c>
      <c r="B38" s="346">
        <f>Questionnaire!J120</f>
        <v>0</v>
      </c>
      <c r="C38" s="334" t="str">
        <f>IF(B38&lt;1.5,$L$6,IF(B38&lt;2.5,$L$5,IF(B38&lt;3.5,$L$4,IF(B38&lt;4.5,$L$3,"n/a"))))</f>
        <v>Not at all</v>
      </c>
      <c r="D38" s="351" t="str">
        <f>IF(H38&lt;B38,"↑",IF(H38&gt;B38,"↓","↔"))</f>
        <v>↔</v>
      </c>
      <c r="E38" s="7"/>
      <c r="F38" s="8"/>
      <c r="G38" s="8"/>
      <c r="H38" s="237">
        <v>0</v>
      </c>
      <c r="I38" s="246" t="str">
        <f>IF(H38&lt;1.5,$L$6,IF(H38&lt;2.5,$L$5,IF(H38&lt;3.5,$L$4,IF(H38&lt;4.5,$L$3,"n/a"))))</f>
        <v>Not at all</v>
      </c>
    </row>
    <row r="39" spans="1:9" s="105" customFormat="1" ht="14.4" thickTop="1" thickBot="1" x14ac:dyDescent="0.3">
      <c r="A39" s="79" t="s">
        <v>14</v>
      </c>
      <c r="B39" s="339">
        <f>IF(COUNT(B35:B38)=0,"n/a",(AVERAGE(B35:B38)))</f>
        <v>1.625</v>
      </c>
      <c r="C39" s="348" t="str">
        <f>IF(B39&lt;1.5,$L$6,IF(B39&lt;2.5,$L$5,IF(B39&lt;3.5,$L$4,IF(B39&lt;4.5,$L$3,"n/a"))))</f>
        <v>Moderate/Low</v>
      </c>
      <c r="D39" s="340" t="str">
        <f>IF(H39&lt;B39,"↑",IF(H39&gt;B39,"↓","↔"))</f>
        <v>↑</v>
      </c>
      <c r="E39" s="109"/>
      <c r="F39" s="109"/>
      <c r="G39" s="109"/>
      <c r="H39" s="9">
        <f>AVERAGE(H35:H38)</f>
        <v>0</v>
      </c>
      <c r="I39" s="281" t="str">
        <f>IF(H39&lt;1.5,$L$6,IF(H39&lt;2.5,$L$5,IF(H39&lt;3.5,$L$4,IF(H39&lt;4.5,$L$3,"n/a"))))</f>
        <v>Not at all</v>
      </c>
    </row>
    <row r="40" spans="1:9" x14ac:dyDescent="0.25">
      <c r="B40" s="271"/>
      <c r="C40" s="273"/>
      <c r="I40" s="273"/>
    </row>
    <row r="41" spans="1:9" x14ac:dyDescent="0.25">
      <c r="C41" s="110"/>
    </row>
    <row r="44" spans="1:9" x14ac:dyDescent="0.25">
      <c r="D44"/>
      <c r="I44"/>
    </row>
    <row r="45" spans="1:9" x14ac:dyDescent="0.25">
      <c r="F45" s="111"/>
    </row>
    <row r="46" spans="1:9" x14ac:dyDescent="0.25">
      <c r="B46" s="270"/>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A16:I17 A18:D19 F18:I19 A20:I21">
    <cfRule type="cellIs" dxfId="83" priority="6" operator="equal">
      <formula>$L$4</formula>
    </cfRule>
  </conditionalFormatting>
  <conditionalFormatting sqref="A5:I9 A10 C10:I10 A11:I14 A15 C15:I15 A22 C22:I22 A23:I27 A34:I38 A39 C39:I39">
    <cfRule type="cellIs" dxfId="82" priority="47" operator="equal">
      <formula>$L$4</formula>
    </cfRule>
    <cfRule type="cellIs" dxfId="81" priority="48" operator="equal">
      <formula>$L$3</formula>
    </cfRule>
    <cfRule type="cellIs" dxfId="80" priority="57" operator="equal">
      <formula>$L$6</formula>
    </cfRule>
  </conditionalFormatting>
  <conditionalFormatting sqref="A5:I9 C10:I10 A11:I14 C15:I15 A16:I17 C22:I22 A23:I27 A34:I38 C39:I39 A18:D19 F18:I19 A20:I21 A10 A15 A22 A39">
    <cfRule type="cellIs" dxfId="79" priority="46" operator="equal">
      <formula>$L$5</formula>
    </cfRule>
  </conditionalFormatting>
  <conditionalFormatting sqref="A16:I17 A18:D19 F18:I19 A20:I21 A28:A33 C28:I33">
    <cfRule type="cellIs" dxfId="78" priority="7" operator="equal">
      <formula>$L$3</formula>
    </cfRule>
    <cfRule type="cellIs" dxfId="77" priority="8" operator="equal">
      <formula>$L$6</formula>
    </cfRule>
  </conditionalFormatting>
  <conditionalFormatting sqref="C1">
    <cfRule type="cellIs" dxfId="76" priority="21" operator="equal">
      <formula>"High"</formula>
    </cfRule>
    <cfRule type="cellIs" dxfId="75" priority="22" operator="equal">
      <formula>"Substantial"</formula>
    </cfRule>
    <cfRule type="cellIs" dxfId="74" priority="23" operator="equal">
      <formula>"Moderate"</formula>
    </cfRule>
    <cfRule type="cellIs" dxfId="73" priority="24" operator="equal">
      <formula>"Low"</formula>
    </cfRule>
  </conditionalFormatting>
  <conditionalFormatting sqref="C28:I33 A28:A33">
    <cfRule type="cellIs" dxfId="72" priority="5" operator="equal">
      <formula>$L$5</formula>
    </cfRule>
  </conditionalFormatting>
  <conditionalFormatting sqref="F1">
    <cfRule type="cellIs" dxfId="71" priority="17" operator="equal">
      <formula>"High"</formula>
    </cfRule>
    <cfRule type="cellIs" dxfId="70" priority="18" operator="equal">
      <formula>"Substantial"</formula>
    </cfRule>
    <cfRule type="cellIs" dxfId="69" priority="19" operator="equal">
      <formula>"Moderate"</formula>
    </cfRule>
    <cfRule type="cellIs" dxfId="68" priority="20" operator="equal">
      <formula>"Low"</formula>
    </cfRule>
  </conditionalFormatting>
  <conditionalFormatting sqref="G2 G5 G10:G11 G15:G16 G22:G23">
    <cfRule type="containsText" dxfId="67" priority="44" operator="containsText" text="Low">
      <formula>NOT(ISERROR(SEARCH("Low",G2)))</formula>
    </cfRule>
  </conditionalFormatting>
  <conditionalFormatting sqref="G15:G16 G2 G5 G10:G11 G22:G23">
    <cfRule type="cellIs" dxfId="66" priority="41" operator="equal">
      <formula>"High"</formula>
    </cfRule>
    <cfRule type="cellIs" dxfId="65" priority="42" operator="equal">
      <formula>"Substantial"</formula>
    </cfRule>
    <cfRule type="cellIs" dxfId="64" priority="43" operator="equal">
      <formula>"Moderate"</formula>
    </cfRule>
  </conditionalFormatting>
  <conditionalFormatting sqref="G28:G34">
    <cfRule type="cellIs" dxfId="63" priority="1" operator="equal">
      <formula>"High"</formula>
    </cfRule>
    <cfRule type="cellIs" dxfId="62" priority="2" operator="equal">
      <formula>"Substantial"</formula>
    </cfRule>
    <cfRule type="cellIs" dxfId="61" priority="3" operator="equal">
      <formula>"Moderate"</formula>
    </cfRule>
    <cfRule type="containsText" dxfId="60" priority="4" operator="containsText" text="Low">
      <formula>NOT(ISERROR(SEARCH("Low",G28)))</formula>
    </cfRule>
  </conditionalFormatting>
  <conditionalFormatting sqref="G39:H39">
    <cfRule type="cellIs" dxfId="59" priority="29" operator="equal">
      <formula>"High"</formula>
    </cfRule>
    <cfRule type="cellIs" dxfId="58" priority="30" operator="equal">
      <formula>"Substantial"</formula>
    </cfRule>
    <cfRule type="cellIs" dxfId="57" priority="31" operator="equal">
      <formula>"Moderate"</formula>
    </cfRule>
    <cfRule type="containsText" dxfId="56" priority="32" operator="containsText" text="Low">
      <formula>NOT(ISERROR(SEARCH("Low",G39)))</formula>
    </cfRule>
  </conditionalFormatting>
  <conditionalFormatting sqref="H35:I38">
    <cfRule type="cellIs" dxfId="55" priority="33" operator="equal">
      <formula>"High"</formula>
    </cfRule>
    <cfRule type="cellIs" dxfId="54" priority="34" operator="equal">
      <formula>"Substantial"</formula>
    </cfRule>
    <cfRule type="cellIs" dxfId="53" priority="35" operator="equal">
      <formula>"Moderate"</formula>
    </cfRule>
    <cfRule type="containsText" dxfId="52"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1"/>
  <sheetViews>
    <sheetView zoomScale="70" zoomScaleNormal="70" zoomScaleSheetLayoutView="100" workbookViewId="0">
      <pane ySplit="2" topLeftCell="A3" activePane="bottomLeft" state="frozen"/>
      <selection pane="bottomLeft" activeCell="A61" sqref="A61:XFD61"/>
    </sheetView>
  </sheetViews>
  <sheetFormatPr defaultColWidth="8.77734375" defaultRowHeight="13.2" x14ac:dyDescent="0.25"/>
  <cols>
    <col min="1" max="1" width="18" customWidth="1"/>
    <col min="2" max="2" width="29" customWidth="1"/>
    <col min="3" max="3" width="30.5546875" style="159" customWidth="1"/>
    <col min="4" max="4" width="14.44140625" style="160" customWidth="1"/>
    <col min="5" max="6" width="7.44140625" style="24" customWidth="1"/>
    <col min="7" max="7" width="1.21875" style="24" customWidth="1"/>
    <col min="8" max="8" width="7.44140625" style="24" customWidth="1"/>
    <col min="9" max="9" width="12.5546875" style="24" customWidth="1"/>
    <col min="10" max="10" width="12.21875" style="24" customWidth="1"/>
    <col min="11" max="11" width="65.77734375" customWidth="1"/>
    <col min="12" max="12" width="15.5546875" style="159"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5" t="s">
        <v>26</v>
      </c>
      <c r="B1" s="366" t="str">
        <f>Profile!F1</f>
        <v>Rice</v>
      </c>
      <c r="C1" s="364" t="s">
        <v>21</v>
      </c>
      <c r="D1" s="416" t="str">
        <f>Profile!E2</f>
        <v>Cameroon</v>
      </c>
      <c r="E1" s="417"/>
      <c r="F1" s="362" t="s">
        <v>25</v>
      </c>
      <c r="G1" s="367"/>
      <c r="H1" s="368"/>
      <c r="I1" s="369"/>
      <c r="J1" s="363">
        <f>Profile!B3</f>
        <v>46170</v>
      </c>
      <c r="K1" s="112"/>
      <c r="L1" s="370" t="s">
        <v>169</v>
      </c>
    </row>
    <row r="2" spans="1:15" s="104" customFormat="1" ht="15" customHeight="1" thickBot="1" x14ac:dyDescent="0.3">
      <c r="A2" s="542" t="s">
        <v>0</v>
      </c>
      <c r="B2" s="543"/>
      <c r="C2" s="371" t="s">
        <v>2</v>
      </c>
      <c r="D2" s="371" t="s">
        <v>82</v>
      </c>
      <c r="E2" s="371" t="s">
        <v>83</v>
      </c>
      <c r="F2" s="542" t="s">
        <v>81</v>
      </c>
      <c r="G2" s="543"/>
      <c r="H2" s="543"/>
      <c r="I2" s="543"/>
      <c r="J2" s="543"/>
      <c r="K2" s="543"/>
      <c r="L2" s="372"/>
      <c r="M2" s="106"/>
    </row>
    <row r="3" spans="1:15" s="104" customFormat="1" ht="24.75" customHeight="1" thickBot="1" x14ac:dyDescent="0.3">
      <c r="A3" s="113" t="s">
        <v>194</v>
      </c>
      <c r="B3" s="114"/>
      <c r="C3" s="114"/>
      <c r="D3" s="114"/>
      <c r="E3" s="114"/>
      <c r="F3" s="114"/>
      <c r="G3" s="114"/>
      <c r="H3" s="114"/>
      <c r="I3" s="114"/>
      <c r="J3" s="114"/>
      <c r="K3" s="114"/>
      <c r="L3" s="373"/>
      <c r="N3" s="15" t="s">
        <v>4</v>
      </c>
      <c r="O3" s="104">
        <v>4.5</v>
      </c>
    </row>
    <row r="4" spans="1:15" s="104" customFormat="1" ht="21" customHeight="1" x14ac:dyDescent="0.25">
      <c r="A4" s="115" t="s">
        <v>28</v>
      </c>
      <c r="B4" s="116"/>
      <c r="C4" s="116"/>
      <c r="D4" s="116"/>
      <c r="E4" s="116"/>
      <c r="F4" s="116"/>
      <c r="G4" s="116"/>
      <c r="H4" s="116"/>
      <c r="I4" s="116"/>
      <c r="J4" s="116"/>
      <c r="K4" s="116"/>
      <c r="L4" s="373"/>
      <c r="N4" s="15" t="s">
        <v>5</v>
      </c>
      <c r="O4" s="104">
        <v>3.5</v>
      </c>
    </row>
    <row r="5" spans="1:15" s="104" customFormat="1" ht="60.45" customHeight="1" x14ac:dyDescent="0.25">
      <c r="A5" s="518" t="s">
        <v>68</v>
      </c>
      <c r="B5" s="518"/>
      <c r="C5" s="36" t="s">
        <v>376</v>
      </c>
      <c r="D5" s="47" t="s">
        <v>40</v>
      </c>
      <c r="E5" s="117">
        <f>IF(D5=$N$6,1,IF(D5=$N$5,2,IF(D5=$N$4,3,IF(D5=$N$3,4,"n/a"))))</f>
        <v>2</v>
      </c>
      <c r="F5" s="519" t="s">
        <v>219</v>
      </c>
      <c r="G5" s="519"/>
      <c r="H5" s="519"/>
      <c r="I5" s="519"/>
      <c r="J5" s="519"/>
      <c r="K5" s="519"/>
      <c r="L5" s="373"/>
      <c r="N5" s="106" t="s">
        <v>40</v>
      </c>
      <c r="O5" s="105">
        <v>2.5</v>
      </c>
    </row>
    <row r="6" spans="1:15" s="104" customFormat="1" ht="68.400000000000006" x14ac:dyDescent="0.25">
      <c r="A6" s="518" t="s">
        <v>204</v>
      </c>
      <c r="B6" s="518"/>
      <c r="C6" s="36" t="s">
        <v>377</v>
      </c>
      <c r="D6" s="47" t="s">
        <v>4</v>
      </c>
      <c r="E6" s="117">
        <f>IF(D6=$N$6,1,IF(D6=$N$5,2,IF(D6=$N$4,3,IF(D6=$N$3,4,"n/a"))))</f>
        <v>4</v>
      </c>
      <c r="F6" s="519" t="s">
        <v>220</v>
      </c>
      <c r="G6" s="519"/>
      <c r="H6" s="519"/>
      <c r="I6" s="519"/>
      <c r="J6" s="519"/>
      <c r="K6" s="519"/>
      <c r="L6" s="373"/>
      <c r="N6" s="106" t="s">
        <v>74</v>
      </c>
      <c r="O6" s="105">
        <v>1.5</v>
      </c>
    </row>
    <row r="7" spans="1:15" s="104" customFormat="1" ht="28.5" customHeight="1" x14ac:dyDescent="0.25">
      <c r="A7" s="518" t="s">
        <v>171</v>
      </c>
      <c r="B7" s="518"/>
      <c r="C7" s="36" t="s">
        <v>378</v>
      </c>
      <c r="D7" s="47" t="s">
        <v>40</v>
      </c>
      <c r="E7" s="117">
        <f>IF(D7=$N$6,1,IF(D7=$N$5,2,IF(D7=$N$4,3,IF(D7=$N$3,4,"n/a"))))</f>
        <v>2</v>
      </c>
      <c r="F7" s="519" t="s">
        <v>221</v>
      </c>
      <c r="G7" s="519"/>
      <c r="H7" s="519"/>
      <c r="I7" s="519"/>
      <c r="J7" s="519"/>
      <c r="K7" s="519"/>
      <c r="L7" s="373"/>
      <c r="N7" s="15" t="s">
        <v>18</v>
      </c>
    </row>
    <row r="8" spans="1:15" s="104" customFormat="1" ht="30" customHeight="1" x14ac:dyDescent="0.25">
      <c r="A8" s="518" t="s">
        <v>38</v>
      </c>
      <c r="B8" s="518"/>
      <c r="C8" s="36" t="s">
        <v>379</v>
      </c>
      <c r="D8" s="47" t="s">
        <v>5</v>
      </c>
      <c r="E8" s="117">
        <f>IF(D8=$N$6,1,IF(D8=$N$5,2,IF(D8=$N$4,3,IF(D8=$N$3,4,"n/a"))))</f>
        <v>3</v>
      </c>
      <c r="F8" s="519" t="s">
        <v>222</v>
      </c>
      <c r="G8" s="519"/>
      <c r="H8" s="519"/>
      <c r="I8" s="519"/>
      <c r="J8" s="519"/>
      <c r="K8" s="519"/>
      <c r="L8" s="373"/>
      <c r="N8" s="106"/>
    </row>
    <row r="9" spans="1:15" s="104" customFormat="1" ht="45.75" customHeight="1" thickBot="1" x14ac:dyDescent="0.3">
      <c r="A9" s="520" t="s">
        <v>56</v>
      </c>
      <c r="B9" s="520"/>
      <c r="C9" s="178" t="s">
        <v>380</v>
      </c>
      <c r="D9" s="166" t="s">
        <v>40</v>
      </c>
      <c r="E9" s="174">
        <f>IF(D9=$N$6,1,IF(D9=$N$5,2,IF(D9=$N$4,3,IF(D9=$N$3,4,"n/a"))))</f>
        <v>2</v>
      </c>
      <c r="F9" s="574" t="s">
        <v>223</v>
      </c>
      <c r="G9" s="575"/>
      <c r="H9" s="574"/>
      <c r="I9" s="574"/>
      <c r="J9" s="574"/>
      <c r="K9" s="574"/>
      <c r="L9" s="373"/>
      <c r="N9" s="118"/>
    </row>
    <row r="10" spans="1:15" s="104" customFormat="1" ht="28.5" customHeight="1" thickBot="1" x14ac:dyDescent="0.3">
      <c r="A10" s="547"/>
      <c r="B10" s="548"/>
      <c r="C10" s="182" t="s">
        <v>23</v>
      </c>
      <c r="D10" s="89" t="str">
        <f>IF(E10&lt;1.5,$N$6,IF(E10&lt;2.5,$N$5,IF(E10&lt;3.5,$N$4,IF(E10&lt;4.5,$N$3,"n/a"))))</f>
        <v>Substantial</v>
      </c>
      <c r="E10" s="247">
        <f>IF(COUNT(E5:E9)=0,"n/a",AVERAGE(E5:E9))</f>
        <v>2.6</v>
      </c>
      <c r="F10" s="48">
        <f>E10</f>
        <v>2.6</v>
      </c>
      <c r="G10" s="215"/>
      <c r="H10" s="49" t="s">
        <v>22</v>
      </c>
      <c r="I10" s="25" t="str">
        <f>D10</f>
        <v>Substantial</v>
      </c>
      <c r="J10" s="90">
        <f>IF(I10=$N$7,"n/a",IF(AND(I10=$N$5,D10=$N$6),1.5,IF(AND(I10=$N$4,D10=$N$5),2.5,IF(AND(I10=$N$3,D10=$N$4),3.5,IF(AND(I10=$N$6,D10=$N$5),1.49,IF(AND(I10=$N$5,D10=$N$4),2.49,IF(AND(I10=$N$4,D10=$N$3),3.49,E10)))))))</f>
        <v>2.6</v>
      </c>
      <c r="K10" s="91" t="s">
        <v>86</v>
      </c>
      <c r="L10" s="374"/>
      <c r="N10" s="15"/>
    </row>
    <row r="11" spans="1:15" s="104" customFormat="1" ht="20.25" customHeight="1" thickBot="1" x14ac:dyDescent="0.3">
      <c r="A11" s="120" t="s">
        <v>27</v>
      </c>
      <c r="B11" s="121"/>
      <c r="C11" s="179"/>
      <c r="D11" s="122"/>
      <c r="E11" s="122"/>
      <c r="F11" s="122"/>
      <c r="G11" s="122"/>
      <c r="H11" s="122"/>
      <c r="I11" s="122"/>
      <c r="J11" s="122"/>
      <c r="K11" s="122"/>
      <c r="L11" s="373"/>
      <c r="N11" s="15"/>
    </row>
    <row r="12" spans="1:15" ht="57" x14ac:dyDescent="0.25">
      <c r="A12" s="518" t="s">
        <v>205</v>
      </c>
      <c r="B12" s="518"/>
      <c r="C12" s="36" t="s">
        <v>381</v>
      </c>
      <c r="D12" s="165" t="s">
        <v>40</v>
      </c>
      <c r="E12" s="176">
        <f>IF(D12=$N$6,1,IF(D12=$N$5,2,IF(D12=$N$4,3,IF(D12=$N$3,4,"n/a"))))</f>
        <v>2</v>
      </c>
      <c r="F12" s="546" t="s">
        <v>224</v>
      </c>
      <c r="G12" s="546"/>
      <c r="H12" s="546"/>
      <c r="I12" s="546"/>
      <c r="J12" s="546"/>
      <c r="K12" s="546"/>
      <c r="L12" s="375" t="s">
        <v>91</v>
      </c>
      <c r="N12" s="15"/>
    </row>
    <row r="13" spans="1:15" ht="35.549999999999997" customHeight="1" thickBot="1" x14ac:dyDescent="0.3">
      <c r="A13" s="552" t="s">
        <v>206</v>
      </c>
      <c r="B13" s="552"/>
      <c r="C13" s="183" t="s">
        <v>382</v>
      </c>
      <c r="D13" s="181" t="s">
        <v>74</v>
      </c>
      <c r="E13" s="177">
        <f>IF(D13=$N$6,1,IF(D13=$N$5,2,IF(D13=$N$4,3,IF(D13=$N$3,4,"n/a"))))</f>
        <v>1</v>
      </c>
      <c r="F13" s="559" t="s">
        <v>225</v>
      </c>
      <c r="G13" s="553"/>
      <c r="H13" s="553"/>
      <c r="I13" s="553"/>
      <c r="J13" s="553"/>
      <c r="K13" s="537"/>
      <c r="L13" s="375" t="s">
        <v>91</v>
      </c>
    </row>
    <row r="14" spans="1:15" s="107" customFormat="1" ht="28.5" customHeight="1" thickBot="1" x14ac:dyDescent="0.3">
      <c r="A14" s="547"/>
      <c r="B14" s="549"/>
      <c r="C14" s="182" t="s">
        <v>23</v>
      </c>
      <c r="D14" s="26" t="str">
        <f>IF(E14&lt;1.5,$N$6,IF(E14&lt;2.5,$N$5,IF(E14&lt;3.5,$N$4,IF(E14&lt;4.5,$N$3,"n/a"))))</f>
        <v>Moderate/Low</v>
      </c>
      <c r="E14" s="144">
        <f>IF(COUNT(E12:E13)=0,"n/a",AVERAGE(E12:E13))</f>
        <v>1.5</v>
      </c>
      <c r="F14" s="27">
        <f>E14</f>
        <v>1.5</v>
      </c>
      <c r="G14" s="215"/>
      <c r="H14" s="28" t="s">
        <v>22</v>
      </c>
      <c r="I14" s="25" t="str">
        <f>D14</f>
        <v>Moderate/Low</v>
      </c>
      <c r="J14" s="29">
        <f>IF(I14=$N$7,"n/a",IF(AND(I14=$N$5,D14=$N$6),1.5,IF(AND(I14=$N$4,D14=$N$5),2.5,IF(AND(I14=$N$3,D14=$N$4),3.5,IF(AND(I14=$N$6,D14=$N$5),1.49,IF(AND(I14=$N$5,D14=$N$4),2.49,IF(AND(I14=$N$4,D14=$N$3),3.49,E14)))))))</f>
        <v>1.5</v>
      </c>
      <c r="K14" s="180" t="s">
        <v>86</v>
      </c>
      <c r="L14" s="376"/>
      <c r="N14" s="15"/>
    </row>
    <row r="15" spans="1:15" ht="21.75" customHeight="1" x14ac:dyDescent="0.25">
      <c r="A15" s="394" t="s">
        <v>29</v>
      </c>
      <c r="B15" s="120"/>
      <c r="C15" s="120"/>
      <c r="D15" s="120"/>
      <c r="E15" s="120"/>
      <c r="F15" s="120"/>
      <c r="G15" s="120"/>
      <c r="H15" s="120"/>
      <c r="I15" s="120"/>
      <c r="J15" s="120"/>
      <c r="K15" s="120"/>
      <c r="L15" s="377"/>
      <c r="N15" s="15"/>
    </row>
    <row r="16" spans="1:15" ht="48.45" customHeight="1" thickBot="1" x14ac:dyDescent="0.3">
      <c r="A16" s="520" t="s">
        <v>172</v>
      </c>
      <c r="B16" s="520"/>
      <c r="C16" s="183" t="s">
        <v>242</v>
      </c>
      <c r="D16" s="166" t="s">
        <v>40</v>
      </c>
      <c r="E16" s="170">
        <f>IF(D16=$N$6,1,IF(D16=$N$5,2,IF(D16=$N$4,3,IF(D16=$N$3,4,"n/a"))))</f>
        <v>2</v>
      </c>
      <c r="F16" s="535" t="s">
        <v>226</v>
      </c>
      <c r="G16" s="553"/>
      <c r="H16" s="536"/>
      <c r="I16" s="536"/>
      <c r="J16" s="553"/>
      <c r="K16" s="537"/>
      <c r="L16" s="377"/>
    </row>
    <row r="17" spans="1:14" s="104" customFormat="1" ht="24.75" customHeight="1" thickBot="1" x14ac:dyDescent="0.3">
      <c r="A17" s="557"/>
      <c r="B17" s="558"/>
      <c r="C17" s="182" t="s">
        <v>23</v>
      </c>
      <c r="D17" s="26" t="str">
        <f>IF(E17&lt;1.5,$N$6,IF(E17&lt;2.5,$N$5,IF(E17&lt;3.5,$N$4,IF(E17&lt;4.5,$N$3,"n/a"))))</f>
        <v>Moderate/Low</v>
      </c>
      <c r="E17" s="144">
        <f>IF(COUNT(E16)=0,"n/a",AVERAGE(E16))</f>
        <v>2</v>
      </c>
      <c r="F17" s="27">
        <f>E17</f>
        <v>2</v>
      </c>
      <c r="G17" s="215"/>
      <c r="H17" s="28" t="s">
        <v>22</v>
      </c>
      <c r="I17" s="25" t="str">
        <f>D17</f>
        <v>Moderate/Low</v>
      </c>
      <c r="J17" s="29">
        <f>IF(I17=$N$7,"n/a",IF(AND(I17=$N$5,D17=$N$6),1.5,IF(AND(I17=$N$4,D17=$N$5),2.5,IF(AND(I17=$N$3,D17=$N$4),3.5,IF(AND(I17=$N$6,D17=$N$5),1.49,IF(AND(I17=$N$5,D17=$N$4),2.49,IF(AND(I17=$N$4,D17=$N$3),3.49,E17)))))))</f>
        <v>2</v>
      </c>
      <c r="K17" s="180" t="s">
        <v>86</v>
      </c>
      <c r="L17" s="373"/>
      <c r="N17" s="106"/>
    </row>
    <row r="18" spans="1:14" s="123" customFormat="1" ht="21" customHeight="1" x14ac:dyDescent="0.25">
      <c r="A18" s="120" t="s">
        <v>66</v>
      </c>
      <c r="B18" s="120"/>
      <c r="C18" s="120"/>
      <c r="D18" s="120"/>
      <c r="E18" s="120"/>
      <c r="F18" s="120"/>
      <c r="G18" s="120"/>
      <c r="H18" s="120"/>
      <c r="I18" s="120"/>
      <c r="J18" s="120"/>
      <c r="K18" s="120"/>
      <c r="L18" s="377"/>
      <c r="N18" s="15"/>
    </row>
    <row r="19" spans="1:14" s="123" customFormat="1" ht="32.25" customHeight="1" x14ac:dyDescent="0.25">
      <c r="A19" s="518" t="s">
        <v>70</v>
      </c>
      <c r="B19" s="518"/>
      <c r="C19" s="36" t="s">
        <v>242</v>
      </c>
      <c r="D19" s="47" t="s">
        <v>5</v>
      </c>
      <c r="E19" s="162">
        <f>IF(D19=$N$6,1,IF(D19=$N$5,2,IF(D19=$N$4,3,IF(D19=$N$3,4,"n/a"))))</f>
        <v>3</v>
      </c>
      <c r="F19" s="535" t="s">
        <v>227</v>
      </c>
      <c r="G19" s="536"/>
      <c r="H19" s="536"/>
      <c r="I19" s="536"/>
      <c r="J19" s="536"/>
      <c r="K19" s="537"/>
      <c r="L19" s="375" t="s">
        <v>91</v>
      </c>
      <c r="N19" s="15"/>
    </row>
    <row r="20" spans="1:14" s="123" customFormat="1" ht="46.05" customHeight="1" thickBot="1" x14ac:dyDescent="0.3">
      <c r="A20" s="552" t="s">
        <v>67</v>
      </c>
      <c r="B20" s="552"/>
      <c r="C20" s="183" t="s">
        <v>383</v>
      </c>
      <c r="D20" s="175" t="s">
        <v>40</v>
      </c>
      <c r="E20" s="174">
        <f>IF(D20=$N$6,1,IF(D20=$N$5,2,IF(D20=$N$4,3,IF(D20=$N$3,4,"n/a"))))</f>
        <v>2</v>
      </c>
      <c r="F20" s="521" t="s">
        <v>228</v>
      </c>
      <c r="G20" s="553"/>
      <c r="H20" s="522"/>
      <c r="I20" s="522"/>
      <c r="J20" s="522"/>
      <c r="K20" s="523"/>
      <c r="L20" s="378"/>
      <c r="N20" s="15"/>
    </row>
    <row r="21" spans="1:14" s="104" customFormat="1" ht="29.25" customHeight="1" thickBot="1" x14ac:dyDescent="0.3">
      <c r="A21" s="547"/>
      <c r="B21" s="549"/>
      <c r="C21" s="182" t="s">
        <v>23</v>
      </c>
      <c r="D21" s="26" t="str">
        <f>IF(E21&lt;1.5,$N$6,IF(E21&lt;2.5,$N$5,IF(E21&lt;3.5,$N$4,IF(E21&lt;4.5,$N$3,"n/a"))))</f>
        <v>Substantial</v>
      </c>
      <c r="E21" s="144">
        <f>IF(COUNT(E19:E20)=0,"n/a",AVERAGE(E19:E20))</f>
        <v>2.5</v>
      </c>
      <c r="F21" s="27">
        <f>E21</f>
        <v>2.5</v>
      </c>
      <c r="G21" s="215"/>
      <c r="H21" s="28" t="s">
        <v>22</v>
      </c>
      <c r="I21" s="25" t="str">
        <f>D21</f>
        <v>Substantial</v>
      </c>
      <c r="J21" s="90">
        <f>IF(I21=$N$7,"n/a",IF(AND(I21=$N$5,D21=$N$6),1.5,IF(AND(I21=$N$4,D21=$N$5),2.5,IF(AND(I21=$N$3,D21=$N$4),3.5,IF(AND(I21=$N$6,D21=$N$5),1.49,IF(AND(I21=$N$5,D21=$N$4),2.49,IF(AND(I21=$N$4,D21=$N$3),3.49,E21)))))))</f>
        <v>2.5</v>
      </c>
      <c r="K21" s="88" t="s">
        <v>86</v>
      </c>
      <c r="L21" s="379"/>
    </row>
    <row r="22" spans="1:14" s="104" customFormat="1" ht="22.5" customHeight="1" thickBot="1" x14ac:dyDescent="0.3">
      <c r="A22" s="124" t="s">
        <v>195</v>
      </c>
      <c r="B22" s="125"/>
      <c r="C22" s="125"/>
      <c r="D22" s="126"/>
      <c r="E22" s="126"/>
      <c r="F22" s="126"/>
      <c r="G22" s="126"/>
      <c r="H22" s="126"/>
      <c r="I22" s="126"/>
      <c r="J22" s="126"/>
      <c r="K22" s="126"/>
      <c r="L22" s="373"/>
    </row>
    <row r="23" spans="1:14" ht="21.75" customHeight="1" thickBot="1" x14ac:dyDescent="0.3">
      <c r="A23" s="127" t="s">
        <v>42</v>
      </c>
      <c r="B23" s="128"/>
      <c r="C23" s="128"/>
      <c r="D23" s="128"/>
      <c r="E23" s="128"/>
      <c r="F23" s="128"/>
      <c r="G23" s="128"/>
      <c r="H23" s="128"/>
      <c r="I23" s="128"/>
      <c r="J23" s="128"/>
      <c r="K23" s="128"/>
      <c r="L23" s="375" t="s">
        <v>91</v>
      </c>
    </row>
    <row r="24" spans="1:14" ht="34.5" customHeight="1" x14ac:dyDescent="0.25">
      <c r="A24" s="544" t="s">
        <v>43</v>
      </c>
      <c r="B24" s="545"/>
      <c r="C24" s="172" t="s">
        <v>384</v>
      </c>
      <c r="D24" s="163" t="s">
        <v>40</v>
      </c>
      <c r="E24" s="173">
        <f>IF(D24=$N$6,1,IF(D24=$N$5,2,IF(D24=$N$4,3,IF(D24=$N$3,4,"n/a"))))</f>
        <v>2</v>
      </c>
      <c r="F24" s="546" t="s">
        <v>230</v>
      </c>
      <c r="G24" s="546"/>
      <c r="H24" s="546"/>
      <c r="I24" s="546"/>
      <c r="J24" s="546"/>
      <c r="K24" s="546"/>
      <c r="L24" s="375" t="s">
        <v>91</v>
      </c>
    </row>
    <row r="25" spans="1:14" ht="73.5" customHeight="1" thickBot="1" x14ac:dyDescent="0.3">
      <c r="A25" s="555" t="s">
        <v>59</v>
      </c>
      <c r="B25" s="556"/>
      <c r="C25" s="184" t="s">
        <v>385</v>
      </c>
      <c r="D25" s="408" t="s">
        <v>40</v>
      </c>
      <c r="E25" s="174">
        <f>IF(D25=$N$6,1,IF(D25=$N$5,2,IF(D25=$N$4,3,IF(D25=$N$3,4,"n/a"))))</f>
        <v>2</v>
      </c>
      <c r="F25" s="521" t="s">
        <v>229</v>
      </c>
      <c r="G25" s="522"/>
      <c r="H25" s="522"/>
      <c r="I25" s="522"/>
      <c r="J25" s="522"/>
      <c r="K25" s="523"/>
      <c r="L25" s="377"/>
    </row>
    <row r="26" spans="1:14" ht="35.25" customHeight="1" thickBot="1" x14ac:dyDescent="0.3">
      <c r="A26" s="580"/>
      <c r="B26" s="581"/>
      <c r="C26" s="39" t="s">
        <v>23</v>
      </c>
      <c r="D26" s="26" t="str">
        <f>IF(E26&lt;1.5,"Low",IF(E26&lt;2.5,"Moderate",IF(E26&lt;3.5,"Substantial",IF(E26&lt;4.5,"High","n/a"))))</f>
        <v>Moderate</v>
      </c>
      <c r="E26" s="144">
        <f>IF(COUNT(E24:E25)=0,"n/a",AVERAGE(E24:E25))</f>
        <v>2</v>
      </c>
      <c r="F26" s="48">
        <f>E26</f>
        <v>2</v>
      </c>
      <c r="G26" s="215"/>
      <c r="H26" s="49" t="s">
        <v>22</v>
      </c>
      <c r="I26" s="25" t="str">
        <f>D26</f>
        <v>Moderate</v>
      </c>
      <c r="J26" s="90">
        <f>IF(I26=$N$7,"n/a",IF(AND(I26=$N$5,D26=$N$6),1.5,IF(AND(I26=$N$4,D26=$N$5),2.5,IF(AND(I26=$N$3,D26=$N$4),3.5,IF(AND(I26=$N$6,D26=$N$5),1.49,IF(AND(I26=$N$5,D26=$N$4),2.49,IF(AND(I26=$N$4,D26=$N$3),3.49,E26)))))))</f>
        <v>2</v>
      </c>
      <c r="K26" s="323" t="s">
        <v>86</v>
      </c>
      <c r="L26" s="377"/>
    </row>
    <row r="27" spans="1:14" ht="20.25" customHeight="1" thickBot="1" x14ac:dyDescent="0.3">
      <c r="A27" s="129" t="s">
        <v>46</v>
      </c>
      <c r="B27" s="130"/>
      <c r="C27" s="131"/>
      <c r="D27" s="132"/>
      <c r="E27" s="132"/>
      <c r="F27" s="132"/>
      <c r="G27" s="132"/>
      <c r="H27" s="132"/>
      <c r="I27" s="132"/>
      <c r="J27" s="132"/>
      <c r="K27" s="132"/>
      <c r="L27" s="377"/>
    </row>
    <row r="28" spans="1:14" ht="102.6" x14ac:dyDescent="0.25">
      <c r="A28" s="566" t="s">
        <v>62</v>
      </c>
      <c r="B28" s="551"/>
      <c r="C28" s="40" t="s">
        <v>386</v>
      </c>
      <c r="D28" s="165" t="s">
        <v>40</v>
      </c>
      <c r="E28" s="176">
        <f>IF(D28=$N$6,1,IF(D28=$N$5,2,IF(D28=$N$4,3,IF(D28=$N$3,4,"n/a"))))</f>
        <v>2</v>
      </c>
      <c r="F28" s="567" t="s">
        <v>231</v>
      </c>
      <c r="G28" s="568"/>
      <c r="H28" s="568"/>
      <c r="I28" s="568"/>
      <c r="J28" s="568"/>
      <c r="K28" s="569"/>
      <c r="L28" s="377"/>
    </row>
    <row r="29" spans="1:14" ht="50.25" customHeight="1" x14ac:dyDescent="0.25">
      <c r="A29" s="566" t="s">
        <v>44</v>
      </c>
      <c r="B29" s="551"/>
      <c r="C29" s="40" t="s">
        <v>387</v>
      </c>
      <c r="D29" s="47" t="s">
        <v>74</v>
      </c>
      <c r="E29" s="162">
        <f>IF(D29=$N$6,1,IF(D29=$N$5,2,IF(D29=$N$4,3,IF(D29=$N$3,4,"n/a"))))</f>
        <v>1</v>
      </c>
      <c r="F29" s="535" t="s">
        <v>232</v>
      </c>
      <c r="G29" s="536"/>
      <c r="H29" s="536"/>
      <c r="I29" s="536"/>
      <c r="J29" s="536"/>
      <c r="K29" s="537"/>
      <c r="L29" s="377"/>
    </row>
    <row r="30" spans="1:14" s="133" customFormat="1" ht="50.55" customHeight="1" x14ac:dyDescent="0.25">
      <c r="A30" s="566" t="s">
        <v>57</v>
      </c>
      <c r="B30" s="551"/>
      <c r="C30" s="40" t="s">
        <v>388</v>
      </c>
      <c r="D30" s="47" t="s">
        <v>40</v>
      </c>
      <c r="E30" s="162">
        <f>IF(D30=$N$6,1,IF(D30=$N$5,2,IF(D30=$N$4,3,IF(D30=$N$3,4,"n/a"))))</f>
        <v>2</v>
      </c>
      <c r="F30" s="554" t="s">
        <v>233</v>
      </c>
      <c r="G30" s="554"/>
      <c r="H30" s="554"/>
      <c r="I30" s="554"/>
      <c r="J30" s="554"/>
      <c r="K30" s="554"/>
      <c r="L30" s="373"/>
    </row>
    <row r="31" spans="1:14" s="104" customFormat="1" ht="34.799999999999997" thickBot="1" x14ac:dyDescent="0.3">
      <c r="A31" s="585" t="s">
        <v>58</v>
      </c>
      <c r="B31" s="586"/>
      <c r="C31" s="184" t="s">
        <v>389</v>
      </c>
      <c r="D31" s="166" t="s">
        <v>40</v>
      </c>
      <c r="E31" s="171">
        <f>IF(D31=$N$6,1,IF(D31=$N$5,2,IF(D31=$N$4,3,IF(D31=$N$3,4,"n/a"))))</f>
        <v>2</v>
      </c>
      <c r="F31" s="559" t="s">
        <v>234</v>
      </c>
      <c r="G31" s="553"/>
      <c r="H31" s="553"/>
      <c r="I31" s="553"/>
      <c r="J31" s="553"/>
      <c r="K31" s="560"/>
      <c r="L31" s="375" t="s">
        <v>91</v>
      </c>
    </row>
    <row r="32" spans="1:14" s="104" customFormat="1" ht="25.5" customHeight="1" thickBot="1" x14ac:dyDescent="0.3">
      <c r="A32" s="187"/>
      <c r="B32" s="188"/>
      <c r="C32" s="39" t="s">
        <v>23</v>
      </c>
      <c r="D32" s="26" t="str">
        <f>IF(E32&lt;1.5,"Low",IF(E32&lt;2.5,"Moderate",IF(E32&lt;3.5,"Substantial",IF(E32&lt;4.5,"High","n/a"))))</f>
        <v>Moderate</v>
      </c>
      <c r="E32" s="144">
        <f>IF(COUNT(E28:E31)=0,"n/a",AVERAGE(E28:E31))</f>
        <v>1.75</v>
      </c>
      <c r="F32" s="27">
        <f>E32</f>
        <v>1.75</v>
      </c>
      <c r="G32" s="215"/>
      <c r="H32" s="28" t="s">
        <v>22</v>
      </c>
      <c r="I32" s="25" t="str">
        <f>D32</f>
        <v>Moderate</v>
      </c>
      <c r="J32" s="29">
        <f>IF(I32=$N$7,"n/a",IF(AND(I32=$N$5,D32=$N$6),1.5,IF(AND(I32=$N$4,D32=$N$5),2.5,IF(AND(I32=$N$3,D32=$N$4),3.5,IF(AND(I32=$N$6,D32=$N$5),1.49,IF(AND(I32=$N$5,D32=$N$4),2.49,IF(AND(I32=$N$4,D32=$N$3),3.49,E32)))))))</f>
        <v>1.75</v>
      </c>
      <c r="K32" s="180" t="s">
        <v>86</v>
      </c>
      <c r="L32" s="373"/>
    </row>
    <row r="33" spans="1:12" s="104" customFormat="1" ht="25.5" customHeight="1" thickBot="1" x14ac:dyDescent="0.3">
      <c r="A33" s="185" t="s">
        <v>47</v>
      </c>
      <c r="B33" s="186"/>
      <c r="C33" s="186"/>
      <c r="D33" s="186"/>
      <c r="E33" s="186"/>
      <c r="F33" s="186"/>
      <c r="G33" s="186"/>
      <c r="H33" s="186"/>
      <c r="I33" s="186"/>
      <c r="J33" s="186"/>
      <c r="K33" s="186"/>
      <c r="L33" s="373"/>
    </row>
    <row r="34" spans="1:12" s="104" customFormat="1" ht="45.75" customHeight="1" x14ac:dyDescent="0.25">
      <c r="A34" s="540" t="s">
        <v>48</v>
      </c>
      <c r="B34" s="541"/>
      <c r="C34" s="46" t="s">
        <v>390</v>
      </c>
      <c r="D34" s="47" t="s">
        <v>40</v>
      </c>
      <c r="E34" s="117">
        <f>IF(D34=$N$6,1,IF(D34=$N$5,2,IF(D34=$N$4,3,IF(D34=$N$3,4,"n/a"))))</f>
        <v>2</v>
      </c>
      <c r="F34" s="546" t="s">
        <v>235</v>
      </c>
      <c r="G34" s="546"/>
      <c r="H34" s="546"/>
      <c r="I34" s="546"/>
      <c r="J34" s="546"/>
      <c r="K34" s="546"/>
      <c r="L34" s="375" t="s">
        <v>91</v>
      </c>
    </row>
    <row r="35" spans="1:12" s="104" customFormat="1" ht="46.05" customHeight="1" x14ac:dyDescent="0.25">
      <c r="A35" s="550" t="s">
        <v>49</v>
      </c>
      <c r="B35" s="551"/>
      <c r="C35" s="46" t="s">
        <v>391</v>
      </c>
      <c r="D35" s="167" t="s">
        <v>40</v>
      </c>
      <c r="E35" s="117">
        <f>IF(D35=$N$6,1,IF(D35=$N$5,2,IF(D35=$N$4,3,IF(D35=$N$3,4,"n/a"))))</f>
        <v>2</v>
      </c>
      <c r="F35" s="535" t="s">
        <v>236</v>
      </c>
      <c r="G35" s="536"/>
      <c r="H35" s="536"/>
      <c r="I35" s="536"/>
      <c r="J35" s="536"/>
      <c r="K35" s="537"/>
      <c r="L35" s="373"/>
    </row>
    <row r="36" spans="1:12" s="104" customFormat="1" ht="91.2" x14ac:dyDescent="0.25">
      <c r="A36" s="540" t="s">
        <v>64</v>
      </c>
      <c r="B36" s="541"/>
      <c r="C36" s="46" t="s">
        <v>392</v>
      </c>
      <c r="D36" s="167" t="s">
        <v>40</v>
      </c>
      <c r="E36" s="117">
        <f>IF(D36=$N$6,1,IF(D36=$N$5,2,IF(D36=$N$4,3,IF(D36=$N$3,4,"n/a"))))</f>
        <v>2</v>
      </c>
      <c r="F36" s="535" t="s">
        <v>237</v>
      </c>
      <c r="G36" s="536"/>
      <c r="H36" s="536"/>
      <c r="I36" s="536"/>
      <c r="J36" s="536"/>
      <c r="K36" s="537"/>
      <c r="L36" s="373"/>
    </row>
    <row r="37" spans="1:12" s="104" customFormat="1" ht="114.6" thickBot="1" x14ac:dyDescent="0.3">
      <c r="A37" s="570" t="s">
        <v>65</v>
      </c>
      <c r="B37" s="571"/>
      <c r="C37" s="189" t="s">
        <v>393</v>
      </c>
      <c r="D37" s="166" t="s">
        <v>40</v>
      </c>
      <c r="E37" s="170">
        <f>IF(D37=$N$6,1,IF(D37=$N$5,2,IF(D37=$N$4,3,IF(D37=$N$3,4,"n/a"))))</f>
        <v>2</v>
      </c>
      <c r="F37" s="572" t="s">
        <v>238</v>
      </c>
      <c r="G37" s="554"/>
      <c r="H37" s="554"/>
      <c r="I37" s="554"/>
      <c r="J37" s="554"/>
      <c r="K37" s="573"/>
      <c r="L37" s="373"/>
    </row>
    <row r="38" spans="1:12" s="104" customFormat="1" ht="25.5" customHeight="1" thickBot="1" x14ac:dyDescent="0.3">
      <c r="A38" s="41"/>
      <c r="B38" s="42"/>
      <c r="C38" s="43" t="s">
        <v>23</v>
      </c>
      <c r="D38" s="26" t="str">
        <f>IF(E38&lt;1.5,"Low",IF(E38&lt;2.5,"Moderate",IF(E38&lt;3.5,"Substantial",IF(E38&lt;4.5,"High","n/a"))))</f>
        <v>Moderate</v>
      </c>
      <c r="E38" s="144">
        <f>IF(COUNT(E34:E37)=0,"n/a",AVERAGE(E34:E37))</f>
        <v>2</v>
      </c>
      <c r="F38" s="27">
        <f>E38</f>
        <v>2</v>
      </c>
      <c r="G38" s="215"/>
      <c r="H38" s="28" t="s">
        <v>22</v>
      </c>
      <c r="I38" s="25" t="str">
        <f>D38</f>
        <v>Moderate</v>
      </c>
      <c r="J38" s="29">
        <f>IF(I38=$N$7,"n/a",IF(AND(I38=$N$5,D38=$N$6),1.5,IF(AND(I38=$N$4,D38=$N$5),2.5,IF(AND(I38=$N$3,D38=$N$4),3.5,IF(AND(I38=$N$6,D38=$N$5),1.49,IF(AND(I38=$N$5,D38=$N$4),2.49,IF(AND(I38=$N$4,D38=$N$3),3.49,E38)))))))</f>
        <v>2</v>
      </c>
      <c r="K38" s="180" t="s">
        <v>86</v>
      </c>
      <c r="L38" s="373"/>
    </row>
    <row r="39" spans="1:12" s="123" customFormat="1" ht="22.5" customHeight="1" thickBot="1" x14ac:dyDescent="0.3">
      <c r="A39" s="30" t="s">
        <v>196</v>
      </c>
      <c r="B39" s="31"/>
      <c r="C39" s="32"/>
      <c r="D39" s="34"/>
      <c r="E39" s="34"/>
      <c r="F39" s="33"/>
      <c r="G39" s="134"/>
      <c r="H39" s="34"/>
      <c r="I39" s="34"/>
      <c r="J39" s="33"/>
      <c r="K39" s="135"/>
      <c r="L39" s="377"/>
    </row>
    <row r="40" spans="1:12" s="123" customFormat="1" ht="22.5" customHeight="1" x14ac:dyDescent="0.25">
      <c r="A40" s="136" t="s">
        <v>31</v>
      </c>
      <c r="B40" s="137"/>
      <c r="C40" s="137"/>
      <c r="D40" s="137"/>
      <c r="E40" s="137"/>
      <c r="F40" s="137"/>
      <c r="G40" s="137"/>
      <c r="H40" s="137"/>
      <c r="I40" s="137"/>
      <c r="J40" s="137"/>
      <c r="K40" s="137"/>
      <c r="L40" s="377"/>
    </row>
    <row r="41" spans="1:12" s="104" customFormat="1" ht="37.049999999999997" customHeight="1" x14ac:dyDescent="0.25">
      <c r="A41" s="531" t="s">
        <v>39</v>
      </c>
      <c r="B41" s="531"/>
      <c r="C41" s="37" t="s">
        <v>242</v>
      </c>
      <c r="D41" s="47" t="s">
        <v>40</v>
      </c>
      <c r="E41" s="162">
        <v>2</v>
      </c>
      <c r="F41" s="553" t="s">
        <v>241</v>
      </c>
      <c r="G41" s="553"/>
      <c r="H41" s="553"/>
      <c r="I41" s="553"/>
      <c r="J41" s="553"/>
      <c r="K41" s="553"/>
      <c r="L41" s="375" t="s">
        <v>91</v>
      </c>
    </row>
    <row r="42" spans="1:12" s="104" customFormat="1" ht="61.95" customHeight="1" thickBot="1" x14ac:dyDescent="0.3">
      <c r="A42" s="562" t="s">
        <v>134</v>
      </c>
      <c r="B42" s="563"/>
      <c r="C42" s="190" t="s">
        <v>244</v>
      </c>
      <c r="D42" s="47" t="s">
        <v>5</v>
      </c>
      <c r="E42" s="162">
        <v>3</v>
      </c>
      <c r="F42" s="553" t="s">
        <v>243</v>
      </c>
      <c r="G42" s="553"/>
      <c r="H42" s="553"/>
      <c r="I42" s="553"/>
      <c r="J42" s="553"/>
      <c r="K42" s="560"/>
      <c r="L42" s="373"/>
    </row>
    <row r="43" spans="1:12" s="123" customFormat="1" ht="30" customHeight="1" thickBot="1" x14ac:dyDescent="0.3">
      <c r="A43" s="561"/>
      <c r="B43" s="533"/>
      <c r="C43" s="35" t="s">
        <v>23</v>
      </c>
      <c r="D43" s="26" t="str">
        <f>IF(E43&lt;1.5,"Low",IF(E43&lt;2.5,"Moderate",IF(E43&lt;3.5,"Substantial",IF(E43&lt;4.5,"High","n/a"))))</f>
        <v>Substantial</v>
      </c>
      <c r="E43" s="144">
        <f>IF(COUNT(E41:E42)=0,"n/a",AVERAGE(E41:E42))</f>
        <v>2.5</v>
      </c>
      <c r="F43" s="27">
        <f>E43</f>
        <v>2.5</v>
      </c>
      <c r="G43" s="215"/>
      <c r="H43" s="28" t="s">
        <v>22</v>
      </c>
      <c r="I43" s="25" t="str">
        <f>D43</f>
        <v>Substantial</v>
      </c>
      <c r="J43" s="29">
        <f>IF(I43=$N$7,"n/a",IF(AND(I43=$N$5,D43=$N$6),1.5,IF(AND(I43=$N$4,D43=$N$5),2.5,IF(AND(I43=$N$3,D43=$N$4),3.5,IF(AND(I43=$N$6,D43=$N$5),1.49,IF(AND(I43=$N$5,D43=$N$4),2.49,IF(AND(I43=$N$4,D43=$N$3),3.49,E43)))))))</f>
        <v>2.5</v>
      </c>
      <c r="K43" s="191" t="s">
        <v>86</v>
      </c>
      <c r="L43" s="380"/>
    </row>
    <row r="44" spans="1:12" s="123" customFormat="1" ht="18" customHeight="1" x14ac:dyDescent="0.25">
      <c r="A44" s="138" t="s">
        <v>32</v>
      </c>
      <c r="B44" s="139"/>
      <c r="C44" s="139"/>
      <c r="D44" s="140"/>
      <c r="E44" s="140"/>
      <c r="F44" s="140"/>
      <c r="G44" s="140"/>
      <c r="H44" s="140"/>
      <c r="I44" s="140"/>
      <c r="J44" s="140"/>
      <c r="K44" s="140"/>
      <c r="L44" s="377"/>
    </row>
    <row r="45" spans="1:12" s="104" customFormat="1" ht="76.95" customHeight="1" x14ac:dyDescent="0.25">
      <c r="A45" s="531" t="s">
        <v>135</v>
      </c>
      <c r="B45" s="532"/>
      <c r="C45" s="37" t="s">
        <v>248</v>
      </c>
      <c r="D45" s="47" t="s">
        <v>40</v>
      </c>
      <c r="E45" s="162">
        <f>IF(D45=$N$6,1,IF(D45=$N$5,2,IF(D45=$N$4,3,IF(D45=$N$3,4,"n/a"))))</f>
        <v>2</v>
      </c>
      <c r="F45" s="553" t="s">
        <v>239</v>
      </c>
      <c r="G45" s="553"/>
      <c r="H45" s="553"/>
      <c r="I45" s="553"/>
      <c r="J45" s="553"/>
      <c r="K45" s="553"/>
      <c r="L45" s="373"/>
    </row>
    <row r="46" spans="1:12" s="104" customFormat="1" ht="59.55" customHeight="1" thickBot="1" x14ac:dyDescent="0.3">
      <c r="A46" s="564" t="s">
        <v>37</v>
      </c>
      <c r="B46" s="565"/>
      <c r="C46" s="190" t="s">
        <v>247</v>
      </c>
      <c r="D46" s="47" t="s">
        <v>74</v>
      </c>
      <c r="E46" s="162">
        <f>IF(D46=$N$6,1,IF(D46=$N$5,2,IF(D46=$N$4,3,IF(D46=$N$3,4,"n/a"))))</f>
        <v>1</v>
      </c>
      <c r="F46" s="553" t="s">
        <v>240</v>
      </c>
      <c r="G46" s="553"/>
      <c r="H46" s="553"/>
      <c r="I46" s="553"/>
      <c r="J46" s="553"/>
      <c r="K46" s="560"/>
      <c r="L46" s="373"/>
    </row>
    <row r="47" spans="1:12" s="104" customFormat="1" ht="48" customHeight="1" x14ac:dyDescent="0.25">
      <c r="A47" s="564" t="s">
        <v>136</v>
      </c>
      <c r="B47" s="565"/>
      <c r="C47" s="37" t="s">
        <v>249</v>
      </c>
      <c r="D47" s="47" t="s">
        <v>74</v>
      </c>
      <c r="E47" s="162">
        <f>IF(D47=$N$6,1,IF(D47=$N$5,2,IF(D47=$N$4,3,IF(D47=$N$3,4,"n/a"))))</f>
        <v>1</v>
      </c>
      <c r="F47" s="536" t="s">
        <v>245</v>
      </c>
      <c r="G47" s="536"/>
      <c r="H47" s="536"/>
      <c r="I47" s="536"/>
      <c r="J47" s="536"/>
      <c r="K47" s="536"/>
      <c r="L47" s="373"/>
    </row>
    <row r="48" spans="1:12" s="104" customFormat="1" ht="47.55" customHeight="1" thickBot="1" x14ac:dyDescent="0.3">
      <c r="A48" s="562" t="s">
        <v>137</v>
      </c>
      <c r="B48" s="563"/>
      <c r="C48" s="192" t="s">
        <v>250</v>
      </c>
      <c r="D48" s="166" t="s">
        <v>40</v>
      </c>
      <c r="E48" s="162">
        <f>IF(D48=$N$6,1,IF(D48=$N$5,2,IF(D48=$N$4,3,IF(D48=$N$3,4,"n/a"))))</f>
        <v>2</v>
      </c>
      <c r="F48" s="521" t="s">
        <v>246</v>
      </c>
      <c r="G48" s="522"/>
      <c r="H48" s="522"/>
      <c r="I48" s="522"/>
      <c r="J48" s="522"/>
      <c r="K48" s="523"/>
      <c r="L48" s="373"/>
    </row>
    <row r="49" spans="1:19" s="123" customFormat="1" ht="32.25" customHeight="1" thickBot="1" x14ac:dyDescent="0.3">
      <c r="A49" s="533"/>
      <c r="B49" s="534"/>
      <c r="C49" s="35" t="s">
        <v>23</v>
      </c>
      <c r="D49" s="26" t="str">
        <f>IF(E49&lt;1.5,"Low",IF(E49&lt;2.5,"Moderate",IF(E49&lt;3.5,"Substantial",IF(E49&lt;4.5,"High","n/a"))))</f>
        <v>Moderate</v>
      </c>
      <c r="E49" s="144">
        <f>IF(COUNT(E45:E48)=0,"n/a",AVERAGE(E45:E48))</f>
        <v>1.5</v>
      </c>
      <c r="F49" s="48">
        <f>E49</f>
        <v>1.5</v>
      </c>
      <c r="G49" s="215"/>
      <c r="H49" s="49" t="s">
        <v>22</v>
      </c>
      <c r="I49" s="322" t="str">
        <f>D49</f>
        <v>Moderate</v>
      </c>
      <c r="J49" s="90">
        <f>IF(I49=$N$7,"n/a",IF(AND(I49=$N$5,D49=$N$6),1.5,IF(AND(I49=$N$4,D49=$N$5),2.5,IF(AND(I49=$N$3,D49=$N$4),3.5,IF(AND(I49=$N$6,D49=$N$5),1.49,IF(AND(I49=$N$5,D49=$N$4),2.49,IF(AND(I49=$N$4,D49=$N$3),3.49,E49)))))))</f>
        <v>1.5</v>
      </c>
      <c r="K49" s="91" t="s">
        <v>86</v>
      </c>
      <c r="L49" s="377"/>
    </row>
    <row r="50" spans="1:19" s="123" customFormat="1" ht="22.5" customHeight="1" thickBot="1" x14ac:dyDescent="0.3">
      <c r="A50" s="141" t="s">
        <v>140</v>
      </c>
      <c r="B50" s="142"/>
      <c r="C50" s="168"/>
      <c r="D50" s="168"/>
      <c r="E50" s="169"/>
      <c r="F50" s="143"/>
      <c r="G50" s="143"/>
      <c r="H50" s="143"/>
      <c r="I50" s="143"/>
      <c r="J50" s="143"/>
      <c r="K50" s="143"/>
      <c r="L50" s="377"/>
    </row>
    <row r="51" spans="1:19" s="123" customFormat="1" ht="58.95" customHeight="1" x14ac:dyDescent="0.25">
      <c r="A51" s="576" t="s">
        <v>139</v>
      </c>
      <c r="B51" s="576"/>
      <c r="C51" s="192" t="s">
        <v>242</v>
      </c>
      <c r="D51" s="167" t="s">
        <v>40</v>
      </c>
      <c r="E51" s="161">
        <f>IF(D51=$N$6,1,IF(D51=$N$5,2,IF(D51=$N$4,3,IF(D51=$N$3,4,"n/a"))))</f>
        <v>2</v>
      </c>
      <c r="F51" s="567" t="s">
        <v>252</v>
      </c>
      <c r="G51" s="568"/>
      <c r="H51" s="568"/>
      <c r="I51" s="568"/>
      <c r="J51" s="568"/>
      <c r="K51" s="569"/>
      <c r="L51" s="377"/>
    </row>
    <row r="52" spans="1:19" s="123" customFormat="1" ht="60" customHeight="1" x14ac:dyDescent="0.25">
      <c r="A52" s="576" t="s">
        <v>207</v>
      </c>
      <c r="B52" s="576"/>
      <c r="C52" s="192" t="s">
        <v>242</v>
      </c>
      <c r="D52" s="167" t="s">
        <v>40</v>
      </c>
      <c r="E52" s="161">
        <f>IF(D52=$N$6,1,IF(D52=$N$5,2,IF(D52=$N$4,3,IF(D52=$N$3,4,"n/a"))))</f>
        <v>2</v>
      </c>
      <c r="F52" s="535" t="s">
        <v>251</v>
      </c>
      <c r="G52" s="536"/>
      <c r="H52" s="536"/>
      <c r="I52" s="536"/>
      <c r="J52" s="536"/>
      <c r="K52" s="537"/>
      <c r="L52" s="377"/>
    </row>
    <row r="53" spans="1:19" s="123" customFormat="1" ht="52.5" customHeight="1" x14ac:dyDescent="0.25">
      <c r="A53" s="531" t="s">
        <v>138</v>
      </c>
      <c r="B53" s="531"/>
      <c r="C53" s="37" t="s">
        <v>254</v>
      </c>
      <c r="D53" s="167" t="s">
        <v>40</v>
      </c>
      <c r="E53" s="161">
        <f>IF(D53=$N$6,1,IF(D53=$N$5,2,IF(D53=$N$4,3,IF(D53=$N$3,4,"n/a"))))</f>
        <v>2</v>
      </c>
      <c r="F53" s="577" t="s">
        <v>253</v>
      </c>
      <c r="G53" s="578"/>
      <c r="H53" s="578"/>
      <c r="I53" s="578"/>
      <c r="J53" s="578"/>
      <c r="K53" s="579"/>
      <c r="L53" s="377"/>
    </row>
    <row r="54" spans="1:19" s="123" customFormat="1" ht="58.95" customHeight="1" x14ac:dyDescent="0.25">
      <c r="A54" s="576" t="s">
        <v>141</v>
      </c>
      <c r="B54" s="576"/>
      <c r="C54" s="192" t="s">
        <v>255</v>
      </c>
      <c r="D54" s="47" t="s">
        <v>5</v>
      </c>
      <c r="E54" s="170">
        <f>IF(D54=$N$6,1,IF(D54=$N$5,2,IF(D54=$N$4,3,IF(D54=$N$3,4,"n/a"))))</f>
        <v>3</v>
      </c>
      <c r="F54" s="535" t="s">
        <v>256</v>
      </c>
      <c r="G54" s="553"/>
      <c r="H54" s="536"/>
      <c r="I54" s="536"/>
      <c r="J54" s="536"/>
      <c r="K54" s="537"/>
      <c r="L54" s="377"/>
    </row>
    <row r="55" spans="1:19" s="123" customFormat="1" ht="46.05" customHeight="1" thickBot="1" x14ac:dyDescent="0.3">
      <c r="A55" s="531" t="s">
        <v>142</v>
      </c>
      <c r="B55" s="531"/>
      <c r="C55" s="37" t="s">
        <v>394</v>
      </c>
      <c r="D55" s="167" t="s">
        <v>74</v>
      </c>
      <c r="E55" s="162">
        <f>IF(D55=$N$6,1,IF(D55=$N$5,2,IF(D55=$N$4,3,IF(D55=$N$3,4,"n/a"))))</f>
        <v>1</v>
      </c>
      <c r="F55" s="536" t="s">
        <v>257</v>
      </c>
      <c r="G55" s="536"/>
      <c r="H55" s="536"/>
      <c r="I55" s="536"/>
      <c r="J55" s="553"/>
      <c r="K55" s="536"/>
      <c r="L55" s="377"/>
    </row>
    <row r="56" spans="1:19" s="104" customFormat="1" ht="28.5" customHeight="1" thickBot="1" x14ac:dyDescent="0.3">
      <c r="A56" s="587"/>
      <c r="B56" s="588"/>
      <c r="C56" s="35" t="s">
        <v>23</v>
      </c>
      <c r="D56" s="26" t="str">
        <f>IF(E56&lt;1.5,"Low",IF(E56&lt;2.5,"Moderate",IF(E56&lt;3.5,"Substantial",IF(E56&lt;4.5,"High","n/a"))))</f>
        <v>Moderate</v>
      </c>
      <c r="E56" s="144">
        <f>IF(COUNT(E51:E55)=0,"n/a",AVERAGE(E51:E55))</f>
        <v>2</v>
      </c>
      <c r="F56" s="27">
        <f>E56</f>
        <v>2</v>
      </c>
      <c r="G56" s="215"/>
      <c r="H56" s="28" t="s">
        <v>22</v>
      </c>
      <c r="I56" s="25" t="str">
        <f>D56</f>
        <v>Moderate</v>
      </c>
      <c r="J56" s="29">
        <f>IF(I56=$N$7,"n/a",IF(AND(I56=$N$5,D56=$N$6),1.5,IF(AND(I56=$N$4,D56=$N$5),2.5,IF(AND(I56=$N$3,D56=$N$4),3.5,IF(AND(I56=$N$6,D56=$N$5),1.49,IF(AND(I56=$N$5,D56=$N$4),2.49,IF(AND(I56=$N$4,D56=$N$3),3.49,E56)))))))</f>
        <v>2</v>
      </c>
      <c r="K56" s="88" t="s">
        <v>86</v>
      </c>
      <c r="L56" s="373"/>
    </row>
    <row r="57" spans="1:19" s="104" customFormat="1" ht="19.5" customHeight="1" thickBot="1" x14ac:dyDescent="0.3">
      <c r="A57" s="138" t="s">
        <v>143</v>
      </c>
      <c r="B57" s="145"/>
      <c r="C57" s="193"/>
      <c r="D57" s="146"/>
      <c r="E57" s="146"/>
      <c r="F57" s="146"/>
      <c r="G57" s="146"/>
      <c r="H57" s="146"/>
      <c r="I57" s="146"/>
      <c r="J57" s="146"/>
      <c r="K57" s="146"/>
      <c r="L57" s="373"/>
    </row>
    <row r="58" spans="1:19" s="123" customFormat="1" ht="32.25" customHeight="1" x14ac:dyDescent="0.25">
      <c r="A58" s="531" t="s">
        <v>36</v>
      </c>
      <c r="B58" s="531"/>
      <c r="C58" s="37" t="s">
        <v>259</v>
      </c>
      <c r="D58" s="165" t="s">
        <v>5</v>
      </c>
      <c r="E58" s="170">
        <f>IF(D58=$N$6,1,IF(D58=$N$5,2,IF(D58=$N$4,3,IF(D58=$N$3,4,"n/a"))))</f>
        <v>3</v>
      </c>
      <c r="F58" s="582" t="s">
        <v>258</v>
      </c>
      <c r="G58" s="583"/>
      <c r="H58" s="583"/>
      <c r="I58" s="583"/>
      <c r="J58" s="583"/>
      <c r="K58" s="584"/>
      <c r="L58" s="377"/>
    </row>
    <row r="59" spans="1:19" s="123" customFormat="1" ht="46.95" customHeight="1" x14ac:dyDescent="0.25">
      <c r="A59" s="531" t="s">
        <v>33</v>
      </c>
      <c r="B59" s="531"/>
      <c r="C59" s="37" t="s">
        <v>259</v>
      </c>
      <c r="D59" s="47" t="s">
        <v>40</v>
      </c>
      <c r="E59" s="117">
        <f>IF(D59=$N$6,1,IF(D59=$N$5,2,IF(D59=$N$4,3,IF(D59=$N$3,4,"n/a"))))</f>
        <v>2</v>
      </c>
      <c r="F59" s="535" t="s">
        <v>260</v>
      </c>
      <c r="G59" s="536"/>
      <c r="H59" s="536"/>
      <c r="I59" s="536"/>
      <c r="J59" s="536"/>
      <c r="K59" s="537"/>
      <c r="L59" s="377"/>
    </row>
    <row r="60" spans="1:19" s="123" customFormat="1" ht="37.950000000000003" customHeight="1" x14ac:dyDescent="0.25">
      <c r="A60" s="531" t="s">
        <v>34</v>
      </c>
      <c r="B60" s="531"/>
      <c r="C60" s="37" t="s">
        <v>261</v>
      </c>
      <c r="D60" s="47" t="s">
        <v>40</v>
      </c>
      <c r="E60" s="117">
        <f>IF(D60=$N$6,1,IF(D60=$N$5,2,IF(D60=$N$4,3,IF(D60=$N$3,4,"n/a"))))</f>
        <v>2</v>
      </c>
      <c r="F60" s="535" t="s">
        <v>262</v>
      </c>
      <c r="G60" s="536"/>
      <c r="H60" s="536"/>
      <c r="I60" s="536"/>
      <c r="J60" s="536"/>
      <c r="K60" s="537"/>
      <c r="L60" s="381"/>
    </row>
    <row r="61" spans="1:19" s="123" customFormat="1" ht="21" customHeight="1" thickBot="1" x14ac:dyDescent="0.3">
      <c r="A61" s="576" t="s">
        <v>35</v>
      </c>
      <c r="B61" s="576"/>
      <c r="C61" s="192" t="s">
        <v>264</v>
      </c>
      <c r="D61" s="175" t="s">
        <v>40</v>
      </c>
      <c r="E61" s="174">
        <f>IF(D61=$N$6,1,IF(D61=$N$5,2,IF(D61=$N$4,3,IF(D61=$N$3,4,"n/a"))))</f>
        <v>2</v>
      </c>
      <c r="F61" s="521" t="s">
        <v>263</v>
      </c>
      <c r="G61" s="522"/>
      <c r="H61" s="522"/>
      <c r="I61" s="522"/>
      <c r="J61" s="522"/>
      <c r="K61" s="523"/>
      <c r="L61" s="377"/>
    </row>
    <row r="62" spans="1:19" s="104" customFormat="1" ht="28.5" customHeight="1" thickBot="1" x14ac:dyDescent="0.3">
      <c r="A62" s="606"/>
      <c r="B62" s="607"/>
      <c r="C62" s="35" t="s">
        <v>23</v>
      </c>
      <c r="D62" s="26" t="str">
        <f>IF(E62&lt;1.5,"Low",IF(E62&lt;2.5,"Moderate",IF(E62&lt;3.5,"Substantial",IF(E62&lt;4.5,"High","n/a"))))</f>
        <v>Moderate</v>
      </c>
      <c r="E62" s="144">
        <f>IF(COUNT(E58:E61)=0,"n/a",AVERAGE(E58:E61))</f>
        <v>2.25</v>
      </c>
      <c r="F62" s="48">
        <f>E62</f>
        <v>2.25</v>
      </c>
      <c r="G62" s="119"/>
      <c r="H62" s="49" t="s">
        <v>22</v>
      </c>
      <c r="I62" s="322" t="str">
        <f>D62</f>
        <v>Moderate</v>
      </c>
      <c r="J62" s="90">
        <f>IF(I62=$N$7,"n/a",IF(AND(I62=$N$5,D62=$N$6),1.5,IF(AND(I62=$N$4,D62=$N$5),2.5,IF(AND(I62=$N$3,D62=$N$4),3.5,IF(AND(I62=$N$6,D62=$N$5),1.49,IF(AND(I62=$N$5,D62=$N$4),2.49,IF(AND(I62=$N$4,D62=$N$3),3.49,E62)))))))</f>
        <v>2.25</v>
      </c>
      <c r="K62" s="323" t="s">
        <v>86</v>
      </c>
      <c r="L62" s="373"/>
    </row>
    <row r="63" spans="1:19" s="104" customFormat="1" ht="21.75" customHeight="1" x14ac:dyDescent="0.25">
      <c r="A63" s="197" t="s">
        <v>144</v>
      </c>
      <c r="B63" s="137"/>
      <c r="C63" s="145"/>
      <c r="D63" s="137"/>
      <c r="E63" s="193"/>
      <c r="F63" s="193"/>
      <c r="G63" s="193"/>
      <c r="H63" s="193"/>
      <c r="I63" s="193"/>
      <c r="J63" s="193"/>
      <c r="K63" s="196"/>
      <c r="L63" s="373"/>
    </row>
    <row r="64" spans="1:19" s="147" customFormat="1" ht="47.25" customHeight="1" x14ac:dyDescent="0.25">
      <c r="A64" s="599" t="s">
        <v>145</v>
      </c>
      <c r="B64" s="565"/>
      <c r="C64" s="37" t="s">
        <v>265</v>
      </c>
      <c r="D64" s="194" t="s">
        <v>40</v>
      </c>
      <c r="E64" s="195">
        <f>IF(D64=$N$6,1,IF(D64=$N$5,2,IF(D64=$N$4,3,IF(D64=$N$3,4,"n/a"))))</f>
        <v>2</v>
      </c>
      <c r="F64" s="554" t="s">
        <v>266</v>
      </c>
      <c r="G64" s="554"/>
      <c r="H64" s="554"/>
      <c r="I64" s="554"/>
      <c r="J64" s="554"/>
      <c r="K64" s="554"/>
      <c r="L64" s="382"/>
      <c r="S64" s="148"/>
    </row>
    <row r="65" spans="1:19" s="147" customFormat="1" ht="48.75" customHeight="1" thickBot="1" x14ac:dyDescent="0.3">
      <c r="A65" s="602" t="s">
        <v>146</v>
      </c>
      <c r="B65" s="603"/>
      <c r="C65" s="190" t="s">
        <v>268</v>
      </c>
      <c r="D65" s="164" t="s">
        <v>74</v>
      </c>
      <c r="E65" s="162">
        <f>IF(D65=$N$6,1,IF(D65=$N$5,2,IF(D65=$N$4,3,IF(D65=$N$3,4,"n/a"))))</f>
        <v>1</v>
      </c>
      <c r="F65" s="521" t="s">
        <v>267</v>
      </c>
      <c r="G65" s="522"/>
      <c r="H65" s="522"/>
      <c r="I65" s="522"/>
      <c r="J65" s="522"/>
      <c r="K65" s="523"/>
      <c r="L65" s="382"/>
      <c r="S65" s="148"/>
    </row>
    <row r="66" spans="1:19" s="147" customFormat="1" ht="30" customHeight="1" thickBot="1" x14ac:dyDescent="0.3">
      <c r="A66" s="600"/>
      <c r="B66" s="601"/>
      <c r="C66" s="35" t="s">
        <v>23</v>
      </c>
      <c r="D66" s="26" t="str">
        <f>IF(E66&lt;1.5,"Low",IF(E66&lt;2.5,"Moderate",IF(E66&lt;3.5,"Substantial",IF(E66&lt;4.5,"High","n/a"))))</f>
        <v>Moderate</v>
      </c>
      <c r="E66" s="144">
        <f>IF(COUNT(E64:E65)=0,"n/a",AVERAGE(E64:E65))</f>
        <v>1.5</v>
      </c>
      <c r="F66" s="48">
        <f>E66</f>
        <v>1.5</v>
      </c>
      <c r="G66" s="215"/>
      <c r="H66" s="49" t="s">
        <v>22</v>
      </c>
      <c r="I66" s="322" t="str">
        <f>D66</f>
        <v>Moderate</v>
      </c>
      <c r="J66" s="90">
        <f>IF(I66=$N$7,"n/a",IF(AND(I66=$N$5,D66=$N$6),1.5,IF(AND(I66=$N$4,D66=$N$5),2.5,IF(AND(I66=$N$3,D66=$N$4),3.5,IF(AND(I66=$N$6,D66=$N$5),1.49,IF(AND(I66=$N$5,D66=$N$4),2.49,IF(AND(I66=$N$4,D66=$N$3),3.49,E66)))))))</f>
        <v>1.5</v>
      </c>
      <c r="K66" s="324" t="s">
        <v>86</v>
      </c>
      <c r="L66" s="383"/>
      <c r="S66" s="148"/>
    </row>
    <row r="67" spans="1:19" s="151" customFormat="1" ht="24.75" customHeight="1" thickBot="1" x14ac:dyDescent="0.3">
      <c r="A67" s="149" t="s">
        <v>197</v>
      </c>
      <c r="B67" s="150"/>
      <c r="C67" s="207"/>
      <c r="D67" s="207"/>
      <c r="E67" s="207"/>
      <c r="F67" s="207"/>
      <c r="G67" s="207"/>
      <c r="H67" s="207"/>
      <c r="I67" s="207"/>
      <c r="J67" s="207"/>
      <c r="K67" s="208"/>
      <c r="L67" s="375" t="s">
        <v>91</v>
      </c>
      <c r="Q67" s="152"/>
    </row>
    <row r="68" spans="1:19" s="151" customFormat="1" ht="23.25" customHeight="1" x14ac:dyDescent="0.25">
      <c r="A68" s="201" t="s">
        <v>191</v>
      </c>
      <c r="B68" s="202"/>
      <c r="C68" s="204"/>
      <c r="D68" s="205"/>
      <c r="E68" s="205"/>
      <c r="F68" s="205"/>
      <c r="G68" s="205"/>
      <c r="H68" s="205"/>
      <c r="I68" s="205"/>
      <c r="J68" s="205"/>
      <c r="K68" s="206"/>
      <c r="L68" s="382"/>
    </row>
    <row r="69" spans="1:19" s="151" customFormat="1" ht="46.95" customHeight="1" x14ac:dyDescent="0.25">
      <c r="A69" s="492" t="s">
        <v>208</v>
      </c>
      <c r="B69" s="495"/>
      <c r="C69" s="223" t="s">
        <v>270</v>
      </c>
      <c r="D69" s="224" t="s">
        <v>5</v>
      </c>
      <c r="E69" s="117">
        <f>IF(D69=$N$6,1,IF(D69=$N$5,2,IF(D69=$N$4,3,IF(D69=$N$3,4,"n/a"))))</f>
        <v>3</v>
      </c>
      <c r="F69" s="507" t="s">
        <v>269</v>
      </c>
      <c r="G69" s="507"/>
      <c r="H69" s="507"/>
      <c r="I69" s="507"/>
      <c r="J69" s="507"/>
      <c r="K69" s="507"/>
      <c r="L69" s="375" t="s">
        <v>91</v>
      </c>
    </row>
    <row r="70" spans="1:19" s="151" customFormat="1" ht="52.95" customHeight="1" thickBot="1" x14ac:dyDescent="0.3">
      <c r="A70" s="487" t="s">
        <v>50</v>
      </c>
      <c r="B70" s="488"/>
      <c r="C70" s="225" t="s">
        <v>271</v>
      </c>
      <c r="D70" s="164" t="s">
        <v>40</v>
      </c>
      <c r="E70" s="174">
        <f>IF(D70=$N$6,1,IF(D70=$N$5,2,IF(D70=$N$4,3,IF(D70=$N$3,4,"n/a"))))</f>
        <v>2</v>
      </c>
      <c r="F70" s="494" t="s">
        <v>272</v>
      </c>
      <c r="G70" s="517"/>
      <c r="H70" s="494"/>
      <c r="I70" s="494"/>
      <c r="J70" s="517"/>
      <c r="K70" s="494"/>
      <c r="L70" s="375" t="s">
        <v>91</v>
      </c>
    </row>
    <row r="71" spans="1:19" s="151" customFormat="1" ht="27" customHeight="1" thickBot="1" x14ac:dyDescent="0.3">
      <c r="A71" s="604"/>
      <c r="B71" s="605"/>
      <c r="C71" s="211" t="s">
        <v>23</v>
      </c>
      <c r="D71" s="45" t="str">
        <f>IF(E71&lt;1.5,"Low",IF(E71&lt;2.5,"Moderate",IF(E71&lt;3.5,"Substantial",IF(E71&lt;4.5,"High","n/a"))))</f>
        <v>Substantial</v>
      </c>
      <c r="E71" s="144">
        <f>IF(COUNT(E69:E70)=0,"n/a",AVERAGE(E69:E70))</f>
        <v>2.5</v>
      </c>
      <c r="F71" s="27">
        <f>E71</f>
        <v>2.5</v>
      </c>
      <c r="G71" s="215"/>
      <c r="H71" s="28" t="s">
        <v>22</v>
      </c>
      <c r="I71" s="25" t="str">
        <f>D71</f>
        <v>Substantial</v>
      </c>
      <c r="J71" s="29">
        <f>IF(I71=$N$7,"n/a",IF(AND(I71=$N$5,D71=$N$6),1.5,IF(AND(I71=$N$4,D71=$N$5),2.5,IF(AND(I71=$N$3,D71=$N$4),3.5,IF(AND(I71=$N$6,D71=$N$5),1.49,IF(AND(I71=$N$5,D71=$N$4),2.49,IF(AND(I71=$N$4,D71=$N$3),3.49,E71)))))))</f>
        <v>2.5</v>
      </c>
      <c r="K71" s="180" t="s">
        <v>86</v>
      </c>
      <c r="L71" s="382"/>
    </row>
    <row r="72" spans="1:19" s="151" customFormat="1" ht="20.25" customHeight="1" x14ac:dyDescent="0.25">
      <c r="A72" s="310" t="s">
        <v>41</v>
      </c>
      <c r="B72" s="204"/>
      <c r="C72" s="205"/>
      <c r="D72" s="198"/>
      <c r="E72" s="199"/>
      <c r="F72" s="205"/>
      <c r="G72" s="205"/>
      <c r="H72" s="205"/>
      <c r="I72" s="205"/>
      <c r="J72" s="205"/>
      <c r="K72" s="206"/>
      <c r="L72" s="382"/>
    </row>
    <row r="73" spans="1:19" s="151" customFormat="1" ht="48" customHeight="1" x14ac:dyDescent="0.25">
      <c r="A73" s="597" t="s">
        <v>209</v>
      </c>
      <c r="B73" s="598"/>
      <c r="C73" s="226" t="s">
        <v>242</v>
      </c>
      <c r="D73" s="167" t="s">
        <v>40</v>
      </c>
      <c r="E73" s="117">
        <f>IF(D73=$N$6,1,IF(D73=$N$5,2,IF(D73=$N$4,3,IF(D73=$N$3,4,"n/a"))))</f>
        <v>2</v>
      </c>
      <c r="F73" s="498" t="s">
        <v>273</v>
      </c>
      <c r="G73" s="494"/>
      <c r="H73" s="494"/>
      <c r="I73" s="494"/>
      <c r="J73" s="494"/>
      <c r="K73" s="499"/>
      <c r="L73" s="375"/>
    </row>
    <row r="74" spans="1:19" s="151" customFormat="1" ht="33.75" customHeight="1" thickBot="1" x14ac:dyDescent="0.3">
      <c r="A74" s="487" t="s">
        <v>54</v>
      </c>
      <c r="B74" s="488"/>
      <c r="C74" s="227" t="s">
        <v>274</v>
      </c>
      <c r="D74" s="166" t="s">
        <v>74</v>
      </c>
      <c r="E74" s="174">
        <f>IF(D74=$N$6,1,IF(D74=$N$5,2,IF(D74=$N$4,3,IF(D74=$N$3,4,"n/a"))))</f>
        <v>1</v>
      </c>
      <c r="F74" s="489" t="s">
        <v>275</v>
      </c>
      <c r="G74" s="490"/>
      <c r="H74" s="490"/>
      <c r="I74" s="490"/>
      <c r="J74" s="490"/>
      <c r="K74" s="491"/>
      <c r="L74" s="375" t="s">
        <v>91</v>
      </c>
    </row>
    <row r="75" spans="1:19" s="151" customFormat="1" ht="25.5" customHeight="1" thickBot="1" x14ac:dyDescent="0.3">
      <c r="A75" s="496"/>
      <c r="B75" s="497"/>
      <c r="C75" s="44" t="s">
        <v>23</v>
      </c>
      <c r="D75" s="26" t="str">
        <f>IF(E75&lt;1.5,"Low",IF(E75&lt;2.5,"Moderate",IF(E75&lt;3.5,"Substantial",IF(E75&lt;4.5,"High","n/a"))))</f>
        <v>Moderate</v>
      </c>
      <c r="E75" s="144">
        <f>IF(COUNT(E73:E74)=0,"n/a",AVERAGE(E73:E74))</f>
        <v>1.5</v>
      </c>
      <c r="F75" s="48">
        <f>E75</f>
        <v>1.5</v>
      </c>
      <c r="G75" s="215"/>
      <c r="H75" s="49" t="s">
        <v>22</v>
      </c>
      <c r="I75" s="322" t="str">
        <f>D75</f>
        <v>Moderate</v>
      </c>
      <c r="J75" s="90">
        <f>IF(I75=$N$7,"n/a",IF(AND(I75=$N$5,D75=$N$6),1.5,IF(AND(I75=$N$4,D75=$N$5),2.5,IF(AND(I75=$N$3,D75=$N$4),3.5,IF(AND(I75=$N$6,D75=$N$5),1.49,IF(AND(I75=$N$5,D75=$N$4),2.49,IF(AND(I75=$N$4,D75=$N$3),3.49,E75)))))))</f>
        <v>1.5</v>
      </c>
      <c r="K75" s="91" t="s">
        <v>86</v>
      </c>
      <c r="L75" s="382"/>
    </row>
    <row r="76" spans="1:19" s="151" customFormat="1" ht="21" customHeight="1" x14ac:dyDescent="0.25">
      <c r="A76" s="201" t="s">
        <v>51</v>
      </c>
      <c r="B76" s="202"/>
      <c r="C76" s="198"/>
      <c r="D76" s="198"/>
      <c r="E76" s="198"/>
      <c r="F76" s="198"/>
      <c r="G76" s="198"/>
      <c r="H76" s="198"/>
      <c r="I76" s="198"/>
      <c r="J76" s="198"/>
      <c r="K76" s="200"/>
      <c r="L76" s="382"/>
    </row>
    <row r="77" spans="1:19" s="151" customFormat="1" ht="35.25" customHeight="1" x14ac:dyDescent="0.25">
      <c r="A77" s="492" t="s">
        <v>52</v>
      </c>
      <c r="B77" s="495"/>
      <c r="C77" s="228" t="s">
        <v>276</v>
      </c>
      <c r="D77" s="167" t="s">
        <v>40</v>
      </c>
      <c r="E77" s="117">
        <f>IF(D77=$N$6,1,IF(D77=$N$5,2,IF(D77=$N$4,3,IF(D77=$N$3,4,"n/a"))))</f>
        <v>2</v>
      </c>
      <c r="F77" s="507" t="s">
        <v>277</v>
      </c>
      <c r="G77" s="507"/>
      <c r="H77" s="507"/>
      <c r="I77" s="507"/>
      <c r="J77" s="507"/>
      <c r="K77" s="507"/>
      <c r="L77" s="382"/>
    </row>
    <row r="78" spans="1:19" s="151" customFormat="1" ht="34.049999999999997" customHeight="1" x14ac:dyDescent="0.25">
      <c r="A78" s="492" t="s">
        <v>53</v>
      </c>
      <c r="B78" s="493"/>
      <c r="C78" s="226" t="s">
        <v>279</v>
      </c>
      <c r="D78" s="47" t="s">
        <v>5</v>
      </c>
      <c r="E78" s="117">
        <f>IF(D78=$N$6,1,IF(D78=$N$5,2,IF(D78=$N$4,3,IF(D78=$N$3,4,"n/a"))))</f>
        <v>3</v>
      </c>
      <c r="F78" s="494" t="s">
        <v>278</v>
      </c>
      <c r="G78" s="494"/>
      <c r="H78" s="494"/>
      <c r="I78" s="494"/>
      <c r="J78" s="494"/>
      <c r="K78" s="494"/>
      <c r="L78" s="375" t="s">
        <v>91</v>
      </c>
    </row>
    <row r="79" spans="1:19" s="151" customFormat="1" ht="42.45" customHeight="1" thickBot="1" x14ac:dyDescent="0.3">
      <c r="A79" s="492" t="s">
        <v>71</v>
      </c>
      <c r="B79" s="493"/>
      <c r="C79" s="229" t="s">
        <v>281</v>
      </c>
      <c r="D79" s="166" t="s">
        <v>40</v>
      </c>
      <c r="E79" s="174">
        <f>IF(D79=$N$6,1,IF(D79=$N$5,2,IF(D79=$N$4,3,IF(D79=$N$3,4,"n/a"))))</f>
        <v>2</v>
      </c>
      <c r="F79" s="494" t="s">
        <v>280</v>
      </c>
      <c r="G79" s="517"/>
      <c r="H79" s="494"/>
      <c r="I79" s="494"/>
      <c r="J79" s="517"/>
      <c r="K79" s="494"/>
      <c r="L79" s="375" t="s">
        <v>91</v>
      </c>
    </row>
    <row r="80" spans="1:19" s="151" customFormat="1" ht="27.75" customHeight="1" thickBot="1" x14ac:dyDescent="0.3">
      <c r="A80" s="496"/>
      <c r="B80" s="497"/>
      <c r="C80" s="44" t="s">
        <v>23</v>
      </c>
      <c r="D80" s="26" t="str">
        <f>IF(E80&lt;1.5,"Low",IF(E80&lt;2.5,"Moderate",IF(E80&lt;3.5,"Substantial",IF(E80&lt;4.5,"High","n/a"))))</f>
        <v>Moderate</v>
      </c>
      <c r="E80" s="144">
        <f>IF(COUNT(E77:E79)=0,"n/a",AVERAGE(E77:E79))</f>
        <v>2.3333333333333335</v>
      </c>
      <c r="F80" s="27">
        <f>E80</f>
        <v>2.3333333333333335</v>
      </c>
      <c r="G80" s="215"/>
      <c r="H80" s="28" t="s">
        <v>22</v>
      </c>
      <c r="I80" s="25" t="str">
        <f>D80</f>
        <v>Moderate</v>
      </c>
      <c r="J80" s="29">
        <f>IF(I80=$N$7,"n/a",IF(AND(I80=$N$5,D80=$N$6),1.5,IF(AND(I80=$N$4,D80=$N$5),2.5,IF(AND(I80=$N$3,D80=$N$4),3.5,IF(AND(I80=$N$6,D80=$N$5),1.49,IF(AND(I80=$N$5,D80=$N$4),2.49,IF(AND(I80=$N$4,D80=$N$3),3.49,E80)))))))</f>
        <v>2.3333333333333335</v>
      </c>
      <c r="K80" s="88" t="s">
        <v>86</v>
      </c>
      <c r="L80" s="382"/>
    </row>
    <row r="81" spans="1:17" s="151" customFormat="1" ht="21" customHeight="1" x14ac:dyDescent="0.25">
      <c r="A81" s="203" t="s">
        <v>55</v>
      </c>
      <c r="B81" s="198"/>
      <c r="C81" s="198"/>
      <c r="D81" s="198"/>
      <c r="E81" s="198"/>
      <c r="F81" s="198"/>
      <c r="G81" s="198"/>
      <c r="H81" s="198"/>
      <c r="I81" s="198"/>
      <c r="J81" s="198"/>
      <c r="K81" s="200"/>
      <c r="L81" s="382"/>
    </row>
    <row r="82" spans="1:17" s="151" customFormat="1" ht="43.95" customHeight="1" x14ac:dyDescent="0.25">
      <c r="A82" s="492" t="s">
        <v>210</v>
      </c>
      <c r="B82" s="495"/>
      <c r="C82" s="228" t="s">
        <v>242</v>
      </c>
      <c r="D82" s="167" t="s">
        <v>5</v>
      </c>
      <c r="E82" s="117">
        <f>IF(D82=$N$6,1,IF(D82=$N$5,2,IF(D82=$N$4,3,IF(D82=$N$3,4,"n/a"))))</f>
        <v>3</v>
      </c>
      <c r="F82" s="507" t="s">
        <v>282</v>
      </c>
      <c r="G82" s="507"/>
      <c r="H82" s="507"/>
      <c r="I82" s="507"/>
      <c r="J82" s="507"/>
      <c r="K82" s="507"/>
      <c r="L82" s="382"/>
    </row>
    <row r="83" spans="1:17" s="151" customFormat="1" ht="27.75" customHeight="1" thickBot="1" x14ac:dyDescent="0.3">
      <c r="A83" s="487" t="s">
        <v>73</v>
      </c>
      <c r="B83" s="488"/>
      <c r="C83" s="229" t="s">
        <v>274</v>
      </c>
      <c r="D83" s="166" t="s">
        <v>74</v>
      </c>
      <c r="E83" s="174">
        <f>IF(D83=$N$6,1,IF(D83=$N$5,2,IF(D83=$N$4,3,IF(D83=$N$3,4,"n/a"))))</f>
        <v>1</v>
      </c>
      <c r="F83" s="489" t="s">
        <v>283</v>
      </c>
      <c r="G83" s="490"/>
      <c r="H83" s="490"/>
      <c r="I83" s="490"/>
      <c r="J83" s="490"/>
      <c r="K83" s="530"/>
      <c r="L83" s="375" t="s">
        <v>91</v>
      </c>
      <c r="Q83" s="153"/>
    </row>
    <row r="84" spans="1:17" s="151" customFormat="1" ht="26.25" customHeight="1" thickBot="1" x14ac:dyDescent="0.3">
      <c r="A84" s="209"/>
      <c r="B84" s="210"/>
      <c r="C84" s="211" t="s">
        <v>23</v>
      </c>
      <c r="D84" s="26" t="str">
        <f>IF(E84&lt;1.5,"Low",IF(E84&lt;2.5,"Moderate",IF(E84&lt;3.5,"Substantial",IF(E84&lt;4.5,"High","n/a"))))</f>
        <v>Moderate</v>
      </c>
      <c r="E84" s="144">
        <f>IF(COUNT(E82:E83)=0,"n/a",AVERAGE(E82:E83))</f>
        <v>2</v>
      </c>
      <c r="F84" s="48">
        <f>E84</f>
        <v>2</v>
      </c>
      <c r="G84" s="216"/>
      <c r="H84" s="321" t="s">
        <v>22</v>
      </c>
      <c r="I84" s="322" t="str">
        <f>D84</f>
        <v>Moderate</v>
      </c>
      <c r="J84" s="90">
        <f>IF(I84=$N$7,"n/a",IF(AND(I84=$N$5,D84=$N$6),1.5,IF(AND(I84=$N$4,D84=$N$5),2.5,IF(AND(I84=$N$3,D84=$N$4),3.5,IF(AND(I84=$N$6,D84=$N$5),1.49,IF(AND(I84=$N$5,D84=$N$4),2.49,IF(AND(I84=$N$4,D84=$N$3),3.49,E84)))))))</f>
        <v>2</v>
      </c>
      <c r="K84" s="323" t="s">
        <v>86</v>
      </c>
      <c r="L84" s="382"/>
      <c r="Q84" s="154"/>
    </row>
    <row r="85" spans="1:17" s="151" customFormat="1" ht="26.25" customHeight="1" thickBot="1" x14ac:dyDescent="0.3">
      <c r="A85" s="287" t="s">
        <v>198</v>
      </c>
      <c r="B85" s="286"/>
      <c r="C85" s="286"/>
      <c r="D85" s="286"/>
      <c r="E85" s="286"/>
      <c r="F85" s="286"/>
      <c r="G85" s="286"/>
      <c r="H85" s="286"/>
      <c r="I85" s="286"/>
      <c r="J85" s="286"/>
      <c r="K85" s="286"/>
      <c r="L85" s="382"/>
      <c r="Q85" s="154"/>
    </row>
    <row r="86" spans="1:17" s="151" customFormat="1" ht="21.75" customHeight="1" x14ac:dyDescent="0.25">
      <c r="A86" s="391" t="s">
        <v>165</v>
      </c>
      <c r="B86" s="288"/>
      <c r="C86" s="288"/>
      <c r="D86" s="288"/>
      <c r="E86" s="288"/>
      <c r="F86" s="288"/>
      <c r="G86" s="288"/>
      <c r="H86" s="288"/>
      <c r="I86" s="288"/>
      <c r="J86" s="288"/>
      <c r="K86" s="289"/>
      <c r="L86" s="382"/>
      <c r="Q86" s="154"/>
    </row>
    <row r="87" spans="1:17" s="151" customFormat="1" ht="45.45" customHeight="1" x14ac:dyDescent="0.25">
      <c r="A87" s="512" t="s">
        <v>147</v>
      </c>
      <c r="B87" s="513"/>
      <c r="C87" s="290" t="s">
        <v>285</v>
      </c>
      <c r="D87" s="224" t="s">
        <v>5</v>
      </c>
      <c r="E87" s="212">
        <f>IF(D87=$N$6,1,IF(D87=$N$5,2,IF(D87=$N$4,3,IF(D87=$N$3,4,"n/a"))))</f>
        <v>3</v>
      </c>
      <c r="F87" s="507" t="s">
        <v>284</v>
      </c>
      <c r="G87" s="507"/>
      <c r="H87" s="507"/>
      <c r="I87" s="507"/>
      <c r="J87" s="507"/>
      <c r="K87" s="507"/>
      <c r="L87" s="382"/>
      <c r="Q87" s="154"/>
    </row>
    <row r="88" spans="1:17" s="151" customFormat="1" ht="43.95" customHeight="1" x14ac:dyDescent="0.25">
      <c r="A88" s="512" t="s">
        <v>148</v>
      </c>
      <c r="B88" s="513"/>
      <c r="C88" s="290" t="s">
        <v>287</v>
      </c>
      <c r="D88" s="224" t="s">
        <v>40</v>
      </c>
      <c r="E88" s="212">
        <f>IF(D88=$N$6,1,IF(D88=$N$5,2,IF(D88=$N$4,3,IF(D88=$N$3,4,"n/a"))))</f>
        <v>2</v>
      </c>
      <c r="F88" s="507" t="s">
        <v>286</v>
      </c>
      <c r="G88" s="507"/>
      <c r="H88" s="507"/>
      <c r="I88" s="507"/>
      <c r="J88" s="507"/>
      <c r="K88" s="507"/>
      <c r="L88" s="375" t="s">
        <v>91</v>
      </c>
      <c r="Q88" s="154"/>
    </row>
    <row r="89" spans="1:17" s="151" customFormat="1" ht="60.45" customHeight="1" x14ac:dyDescent="0.25">
      <c r="A89" s="512" t="s">
        <v>149</v>
      </c>
      <c r="B89" s="513"/>
      <c r="C89" s="290" t="s">
        <v>289</v>
      </c>
      <c r="D89" s="224" t="s">
        <v>40</v>
      </c>
      <c r="E89" s="212">
        <f>IF(D89=$N$6,1,IF(D89=$N$5,2,IF(D89=$N$4,3,IF(D89=$N$3,4,"n/a"))))</f>
        <v>2</v>
      </c>
      <c r="F89" s="507" t="s">
        <v>288</v>
      </c>
      <c r="G89" s="507"/>
      <c r="H89" s="507"/>
      <c r="I89" s="507"/>
      <c r="J89" s="507"/>
      <c r="K89" s="507"/>
      <c r="L89" s="382"/>
      <c r="Q89" s="154"/>
    </row>
    <row r="90" spans="1:17" s="151" customFormat="1" ht="45.75" customHeight="1" thickBot="1" x14ac:dyDescent="0.3">
      <c r="A90" s="512" t="s">
        <v>166</v>
      </c>
      <c r="B90" s="513"/>
      <c r="C90" s="290" t="s">
        <v>289</v>
      </c>
      <c r="D90" s="224" t="s">
        <v>40</v>
      </c>
      <c r="E90" s="212">
        <f>IF(D90=$N$6,1,IF(D90=$N$5,2,IF(D90=$N$4,3,IF(D90=$N$3,4,"n/a"))))</f>
        <v>2</v>
      </c>
      <c r="F90" s="507" t="s">
        <v>290</v>
      </c>
      <c r="G90" s="507"/>
      <c r="H90" s="507"/>
      <c r="I90" s="507"/>
      <c r="J90" s="591"/>
      <c r="K90" s="507"/>
      <c r="L90" s="382"/>
      <c r="Q90" s="154"/>
    </row>
    <row r="91" spans="1:17" s="151" customFormat="1" ht="26.25" customHeight="1" thickBot="1" x14ac:dyDescent="0.3">
      <c r="A91" s="594"/>
      <c r="B91" s="595"/>
      <c r="C91" s="291" t="s">
        <v>23</v>
      </c>
      <c r="D91" s="26" t="str">
        <f>IF(E91&lt;1.5,"Low",IF(E91&lt;2.5,"Moderate",IF(E91&lt;3.5,"Substantial",IF(E91&lt;4.5,"High","n/a"))))</f>
        <v>Moderate</v>
      </c>
      <c r="E91" s="144">
        <f>IF(COUNT(E87:E90)=0,"n/a",AVERAGE(E87:E90))</f>
        <v>2.25</v>
      </c>
      <c r="F91" s="27">
        <f>E91</f>
        <v>2.25</v>
      </c>
      <c r="G91" s="216"/>
      <c r="H91" s="50" t="s">
        <v>22</v>
      </c>
      <c r="I91" s="25" t="str">
        <f>D91</f>
        <v>Moderate</v>
      </c>
      <c r="J91" s="29">
        <f>IF(I91=$N$7,"n/a",IF(AND(I91=$N$5,D91=$N$6),1.5,IF(AND(I91=$N$4,D91=$N$5),2.5,IF(AND(I91=$N$3,D91=$N$4),3.5,IF(AND(I91=$N$6,D91=$N$5),1.49,IF(AND(I91=$N$5,D91=$N$4),2.49,IF(AND(I91=$N$4,D91=$N$3),3.49,E91)))))))</f>
        <v>2.25</v>
      </c>
      <c r="K91" s="88" t="s">
        <v>86</v>
      </c>
      <c r="L91" s="382"/>
      <c r="Q91" s="154"/>
    </row>
    <row r="92" spans="1:17" s="151" customFormat="1" ht="21" customHeight="1" x14ac:dyDescent="0.25">
      <c r="A92" s="391" t="s">
        <v>159</v>
      </c>
      <c r="B92" s="288"/>
      <c r="C92" s="288"/>
      <c r="D92" s="288"/>
      <c r="E92" s="288"/>
      <c r="F92" s="288"/>
      <c r="G92" s="288"/>
      <c r="H92" s="288"/>
      <c r="I92" s="288"/>
      <c r="J92" s="288"/>
      <c r="K92" s="289"/>
      <c r="L92" s="382"/>
      <c r="Q92" s="154"/>
    </row>
    <row r="93" spans="1:17" s="151" customFormat="1" ht="57.45" customHeight="1" x14ac:dyDescent="0.25">
      <c r="A93" s="512" t="s">
        <v>160</v>
      </c>
      <c r="B93" s="513"/>
      <c r="C93" s="290" t="s">
        <v>292</v>
      </c>
      <c r="D93" s="167" t="s">
        <v>40</v>
      </c>
      <c r="E93" s="212">
        <f>IF(D93=$N$6,1,IF(D93=$N$5,2,IF(D93=$N$4,3,IF(D93=$N$3,4,"n/a"))))</f>
        <v>2</v>
      </c>
      <c r="F93" s="507" t="s">
        <v>291</v>
      </c>
      <c r="G93" s="507"/>
      <c r="H93" s="507"/>
      <c r="I93" s="507"/>
      <c r="J93" s="507"/>
      <c r="K93" s="507"/>
      <c r="L93" s="382"/>
      <c r="Q93" s="154"/>
    </row>
    <row r="94" spans="1:17" s="151" customFormat="1" ht="31.5" customHeight="1" thickBot="1" x14ac:dyDescent="0.3">
      <c r="A94" s="508" t="s">
        <v>168</v>
      </c>
      <c r="B94" s="509"/>
      <c r="C94" s="292" t="s">
        <v>294</v>
      </c>
      <c r="D94" s="166" t="s">
        <v>40</v>
      </c>
      <c r="E94" s="174">
        <f>IF(D94=$N$6,1,IF(D94=$N$5,2,IF(D94=$N$4,3,IF(D94=$N$3,4,"n/a"))))</f>
        <v>2</v>
      </c>
      <c r="F94" s="500" t="s">
        <v>293</v>
      </c>
      <c r="G94" s="501"/>
      <c r="H94" s="501"/>
      <c r="I94" s="501"/>
      <c r="J94" s="501"/>
      <c r="K94" s="502"/>
      <c r="L94" s="375" t="s">
        <v>91</v>
      </c>
      <c r="Q94" s="154"/>
    </row>
    <row r="95" spans="1:17" s="151" customFormat="1" ht="26.25" customHeight="1" thickBot="1" x14ac:dyDescent="0.3">
      <c r="A95" s="510"/>
      <c r="B95" s="511"/>
      <c r="C95" s="291" t="s">
        <v>23</v>
      </c>
      <c r="D95" s="26" t="str">
        <f>IF(E95&lt;1.5,"Low",IF(E95&lt;2.5,"Moderate",IF(E95&lt;3.5,"Substantial",IF(E95&lt;4.5,"High","n/a"))))</f>
        <v>Moderate</v>
      </c>
      <c r="E95" s="144">
        <f>IF(COUNT(E93:E94)=0,"n/a",AVERAGE(E93:E94))</f>
        <v>2</v>
      </c>
      <c r="F95" s="27">
        <f>E95</f>
        <v>2</v>
      </c>
      <c r="G95" s="215"/>
      <c r="H95" s="28" t="s">
        <v>22</v>
      </c>
      <c r="I95" s="25" t="str">
        <f>D95</f>
        <v>Moderate</v>
      </c>
      <c r="J95" s="29">
        <f>IF(I95=$N$7,"n/a",IF(AND(I95=$N$5,D95=$N$6),1.5,IF(AND(I95=$N$4,D95=$N$5),2.5,IF(AND(I95=$N$3,D95=$N$4),3.5,IF(AND(I95=$N$6,D95=$N$5),1.49,IF(AND(I95=$N$5,D95=$N$4),2.49,IF(AND(I95=$N$4,D95=$N$3),3.49,E95)))))))</f>
        <v>2</v>
      </c>
      <c r="K95" s="88" t="s">
        <v>86</v>
      </c>
      <c r="L95" s="382"/>
      <c r="Q95" s="154"/>
    </row>
    <row r="96" spans="1:17" s="151" customFormat="1" ht="21" customHeight="1" x14ac:dyDescent="0.25">
      <c r="A96" s="391" t="s">
        <v>151</v>
      </c>
      <c r="B96" s="288"/>
      <c r="C96" s="288"/>
      <c r="D96" s="288"/>
      <c r="E96" s="288"/>
      <c r="F96" s="288"/>
      <c r="G96" s="288"/>
      <c r="H96" s="288"/>
      <c r="I96" s="288"/>
      <c r="J96" s="288"/>
      <c r="K96" s="289"/>
      <c r="L96" s="382"/>
      <c r="Q96" s="154"/>
    </row>
    <row r="97" spans="1:17" s="151" customFormat="1" ht="53.55" customHeight="1" x14ac:dyDescent="0.25">
      <c r="A97" s="512" t="s">
        <v>152</v>
      </c>
      <c r="B97" s="513"/>
      <c r="C97" s="293" t="s">
        <v>296</v>
      </c>
      <c r="D97" s="167" t="s">
        <v>40</v>
      </c>
      <c r="E97" s="117">
        <f>IF(D97=$N$6,1,IF(D97=$N$5,2,IF(D97=$N$4,3,IF(D97=$N$3,4,"n/a"))))</f>
        <v>2</v>
      </c>
      <c r="F97" s="507" t="s">
        <v>295</v>
      </c>
      <c r="G97" s="507"/>
      <c r="H97" s="507"/>
      <c r="I97" s="507"/>
      <c r="J97" s="507"/>
      <c r="K97" s="507"/>
      <c r="L97" s="375" t="s">
        <v>91</v>
      </c>
      <c r="Q97" s="154"/>
    </row>
    <row r="98" spans="1:17" s="151" customFormat="1" ht="61.95" customHeight="1" x14ac:dyDescent="0.25">
      <c r="A98" s="508" t="s">
        <v>153</v>
      </c>
      <c r="B98" s="514"/>
      <c r="C98" s="293" t="s">
        <v>298</v>
      </c>
      <c r="D98" s="47" t="s">
        <v>5</v>
      </c>
      <c r="E98" s="117">
        <f>IF(D98=$N$6,1,IF(D98=$N$5,2,IF(D98=$N$4,3,IF(D98=$N$3,4,"n/a"))))</f>
        <v>3</v>
      </c>
      <c r="F98" s="498" t="s">
        <v>297</v>
      </c>
      <c r="G98" s="494"/>
      <c r="H98" s="494"/>
      <c r="I98" s="494"/>
      <c r="J98" s="494"/>
      <c r="K98" s="499"/>
      <c r="L98" s="375" t="s">
        <v>91</v>
      </c>
      <c r="P98" s="308"/>
      <c r="Q98" s="154"/>
    </row>
    <row r="99" spans="1:17" s="151" customFormat="1" ht="31.5" customHeight="1" thickBot="1" x14ac:dyDescent="0.3">
      <c r="A99" s="515" t="s">
        <v>211</v>
      </c>
      <c r="B99" s="516"/>
      <c r="C99" s="294" t="s">
        <v>294</v>
      </c>
      <c r="D99" s="284" t="s">
        <v>5</v>
      </c>
      <c r="E99" s="285">
        <f>IF(D99=$N$6,1,IF(D99=$N$5,2,IF(D99=$N$4,3,IF(D99=$N$3,4,"n/a"))))</f>
        <v>3</v>
      </c>
      <c r="F99" s="596" t="s">
        <v>299</v>
      </c>
      <c r="G99" s="517"/>
      <c r="H99" s="517"/>
      <c r="I99" s="517"/>
      <c r="J99" s="517"/>
      <c r="K99" s="502"/>
      <c r="L99" s="382"/>
      <c r="P99" s="308"/>
      <c r="Q99" s="154"/>
    </row>
    <row r="100" spans="1:17" s="151" customFormat="1" ht="26.25" customHeight="1" thickBot="1" x14ac:dyDescent="0.3">
      <c r="A100" s="538"/>
      <c r="B100" s="539"/>
      <c r="C100" s="291" t="s">
        <v>23</v>
      </c>
      <c r="D100" s="26" t="str">
        <f>IF(E100&lt;1.5,"Low",IF(E100&lt;2.5,"Moderate",IF(E100&lt;3.5,"Substantial",IF(E100&lt;4.5,"High","n/a"))))</f>
        <v>Substantial</v>
      </c>
      <c r="E100" s="144">
        <f>IF(COUNT(E97:E99)=0,"n/a",AVERAGE(E97:E99))</f>
        <v>2.6666666666666665</v>
      </c>
      <c r="F100" s="27">
        <f>E100</f>
        <v>2.6666666666666665</v>
      </c>
      <c r="G100" s="215"/>
      <c r="H100" s="28" t="s">
        <v>22</v>
      </c>
      <c r="I100" s="25" t="str">
        <f>D100</f>
        <v>Substantial</v>
      </c>
      <c r="J100" s="29">
        <f>IF(I100=$N$7,"n/a",IF(AND(I100=$N$5,D100=$N$6),1.5,IF(AND(I100=$N$4,D100=$N$5),2.5,IF(AND(I100=$N$3,D100=$N$4),3.5,IF(AND(I100=$N$6,D100=$N$5),1.49,IF(AND(I100=$N$5,D100=$N$4),2.49,IF(AND(I100=$N$4,D100=$N$3),3.49,E100)))))))</f>
        <v>2.6666666666666665</v>
      </c>
      <c r="K100" s="88" t="s">
        <v>86</v>
      </c>
      <c r="L100" s="382"/>
      <c r="P100" s="308"/>
      <c r="Q100" s="154"/>
    </row>
    <row r="101" spans="1:17" s="151" customFormat="1" ht="23.25" customHeight="1" thickBot="1" x14ac:dyDescent="0.3">
      <c r="A101" s="155" t="s">
        <v>199</v>
      </c>
      <c r="B101" s="156"/>
      <c r="C101" s="156"/>
      <c r="D101" s="156"/>
      <c r="E101" s="156"/>
      <c r="F101" s="156"/>
      <c r="G101" s="156"/>
      <c r="H101" s="156"/>
      <c r="I101" s="156"/>
      <c r="J101" s="156"/>
      <c r="K101" s="156"/>
      <c r="L101" s="382"/>
      <c r="M101" s="154"/>
    </row>
    <row r="102" spans="1:17" s="151" customFormat="1" ht="20.25" customHeight="1" x14ac:dyDescent="0.25">
      <c r="A102" s="392" t="s">
        <v>155</v>
      </c>
      <c r="B102" s="213"/>
      <c r="C102" s="213"/>
      <c r="D102" s="213"/>
      <c r="E102" s="213"/>
      <c r="F102" s="213"/>
      <c r="G102" s="213"/>
      <c r="H102" s="213"/>
      <c r="I102" s="213"/>
      <c r="J102" s="213"/>
      <c r="K102" s="214"/>
      <c r="L102" s="382"/>
    </row>
    <row r="103" spans="1:17" s="151" customFormat="1" ht="91.95" customHeight="1" x14ac:dyDescent="0.25">
      <c r="A103" s="505" t="s">
        <v>212</v>
      </c>
      <c r="B103" s="506"/>
      <c r="C103" s="230" t="s">
        <v>303</v>
      </c>
      <c r="D103" s="224" t="s">
        <v>74</v>
      </c>
      <c r="E103" s="212">
        <f>IF(D103=$N$6,1,IF(D103=$N$5,2,IF(D103=$N$4,3,IF(D103=$N$3,4,"n/a"))))</f>
        <v>1</v>
      </c>
      <c r="F103" s="507" t="s">
        <v>300</v>
      </c>
      <c r="G103" s="507"/>
      <c r="H103" s="507"/>
      <c r="I103" s="507"/>
      <c r="J103" s="507"/>
      <c r="K103" s="507"/>
      <c r="L103" s="375" t="s">
        <v>91</v>
      </c>
      <c r="Q103" s="154"/>
    </row>
    <row r="104" spans="1:17" s="151" customFormat="1" ht="32.25" customHeight="1" x14ac:dyDescent="0.25">
      <c r="A104" s="503" t="s">
        <v>213</v>
      </c>
      <c r="B104" s="504"/>
      <c r="C104" s="231" t="s">
        <v>242</v>
      </c>
      <c r="D104" s="194" t="s">
        <v>74</v>
      </c>
      <c r="E104" s="117">
        <f>IF(D104=$N$6,1,IF(D104=$N$5,2,IF(D104=$N$4,3,IF(D104=$N$3,4,"n/a"))))</f>
        <v>1</v>
      </c>
      <c r="F104" s="494" t="s">
        <v>301</v>
      </c>
      <c r="G104" s="494"/>
      <c r="H104" s="494"/>
      <c r="I104" s="494"/>
      <c r="J104" s="494"/>
      <c r="K104" s="494"/>
      <c r="L104" s="375" t="s">
        <v>91</v>
      </c>
      <c r="Q104" s="157"/>
    </row>
    <row r="105" spans="1:17" ht="38.549999999999997" customHeight="1" thickBot="1" x14ac:dyDescent="0.3">
      <c r="A105" s="526" t="s">
        <v>214</v>
      </c>
      <c r="B105" s="527"/>
      <c r="C105" s="232" t="s">
        <v>304</v>
      </c>
      <c r="D105" s="164" t="s">
        <v>40</v>
      </c>
      <c r="E105" s="174">
        <f>IF(D105=$N$6,1,IF(D105=$N$5,2,IF(D105=$N$4,3,IF(D105=$N$3,4,"n/a"))))</f>
        <v>2</v>
      </c>
      <c r="F105" s="494" t="s">
        <v>302</v>
      </c>
      <c r="G105" s="517"/>
      <c r="H105" s="494"/>
      <c r="I105" s="494"/>
      <c r="J105" s="517"/>
      <c r="K105" s="494"/>
      <c r="L105" s="375" t="s">
        <v>91</v>
      </c>
    </row>
    <row r="106" spans="1:17" ht="32.25" customHeight="1" thickBot="1" x14ac:dyDescent="0.3">
      <c r="A106" s="592"/>
      <c r="B106" s="593"/>
      <c r="C106" s="38" t="s">
        <v>23</v>
      </c>
      <c r="D106" s="26" t="str">
        <f>IF(E106&lt;1.5,"Low",IF(E106&lt;2.5,"Moderate",IF(E106&lt;3.5,"Substantial",IF(E106&lt;4.5,"High","n/a"))))</f>
        <v>Low</v>
      </c>
      <c r="E106" s="144">
        <f>IF(COUNT(E103:E105)=0,"n/a",AVERAGE(E103:E105))</f>
        <v>1.3333333333333333</v>
      </c>
      <c r="F106" s="27">
        <f>E106</f>
        <v>1.3333333333333333</v>
      </c>
      <c r="G106" s="216"/>
      <c r="H106" s="50" t="s">
        <v>22</v>
      </c>
      <c r="I106" s="25" t="str">
        <f>D106</f>
        <v>Low</v>
      </c>
      <c r="J106" s="29">
        <f>IF(I106=$N$7,"n/a",IF(AND(I106=$N$5,D106=$N$6),1.5,IF(AND(I106=$N$4,D106=$N$5),2.5,IF(AND(I106=$N$3,D106=$N$4),3.5,IF(AND(I106=$N$6,D106=$N$5),1.49,IF(AND(I106=$N$5,D106=$N$4),2.49,IF(AND(I106=$N$4,D106=$N$3),3.49,E106)))))))</f>
        <v>1.3333333333333333</v>
      </c>
      <c r="K106" s="88" t="s">
        <v>86</v>
      </c>
      <c r="L106" s="377"/>
    </row>
    <row r="107" spans="1:17" ht="19.5" customHeight="1" x14ac:dyDescent="0.25">
      <c r="A107" s="393" t="s">
        <v>156</v>
      </c>
      <c r="B107" s="213"/>
      <c r="C107" s="213"/>
      <c r="D107" s="213"/>
      <c r="E107" s="213"/>
      <c r="F107" s="213"/>
      <c r="G107" s="213"/>
      <c r="H107" s="213"/>
      <c r="I107" s="213"/>
      <c r="J107" s="213"/>
      <c r="K107" s="214"/>
      <c r="L107" s="377"/>
    </row>
    <row r="108" spans="1:17" ht="52.95" customHeight="1" x14ac:dyDescent="0.25">
      <c r="A108" s="505" t="s">
        <v>215</v>
      </c>
      <c r="B108" s="506"/>
      <c r="C108" s="230" t="s">
        <v>306</v>
      </c>
      <c r="D108" s="167" t="s">
        <v>40</v>
      </c>
      <c r="E108" s="212">
        <f>IF(D108=$N$6,1,IF(D108=$N$5,2,IF(D108=$N$4,3,IF(D108=$N$3,4,"n/a"))))</f>
        <v>2</v>
      </c>
      <c r="F108" s="507" t="s">
        <v>305</v>
      </c>
      <c r="G108" s="507"/>
      <c r="H108" s="507"/>
      <c r="I108" s="507"/>
      <c r="J108" s="507"/>
      <c r="K108" s="507"/>
      <c r="L108" s="377"/>
    </row>
    <row r="109" spans="1:17" ht="45" customHeight="1" thickBot="1" x14ac:dyDescent="0.3">
      <c r="A109" s="528" t="s">
        <v>216</v>
      </c>
      <c r="B109" s="529"/>
      <c r="C109" s="233" t="s">
        <v>242</v>
      </c>
      <c r="D109" s="166" t="s">
        <v>5</v>
      </c>
      <c r="E109" s="174">
        <f>IF(D109=$N$6,1,IF(D109=$N$5,2,IF(D109=$N$4,3,IF(D109=$N$3,4,"n/a"))))</f>
        <v>3</v>
      </c>
      <c r="F109" s="500" t="s">
        <v>307</v>
      </c>
      <c r="G109" s="501"/>
      <c r="H109" s="501"/>
      <c r="I109" s="501"/>
      <c r="J109" s="501"/>
      <c r="K109" s="502"/>
      <c r="L109" s="377"/>
    </row>
    <row r="110" spans="1:17" ht="27" customHeight="1" thickBot="1" x14ac:dyDescent="0.3">
      <c r="A110" s="524"/>
      <c r="B110" s="525"/>
      <c r="C110" s="38" t="s">
        <v>23</v>
      </c>
      <c r="D110" s="26" t="str">
        <f>IF(E110&lt;1.5,"Low",IF(E110&lt;2.5,"Moderate",IF(E110&lt;3.5,"Substantial",IF(E110&lt;4.5,"High","n/a"))))</f>
        <v>Substantial</v>
      </c>
      <c r="E110" s="144">
        <f>IF(COUNT(E108:E109)=0,"n/a",AVERAGE(E108:E109))</f>
        <v>2.5</v>
      </c>
      <c r="F110" s="27">
        <f>E110</f>
        <v>2.5</v>
      </c>
      <c r="G110" s="215"/>
      <c r="H110" s="28" t="s">
        <v>22</v>
      </c>
      <c r="I110" s="25" t="str">
        <f>D110</f>
        <v>Substantial</v>
      </c>
      <c r="J110" s="29">
        <f>IF(I110=$N$7,"n/a",IF(AND(I110=$N$5,D110=$N$6),1.5,IF(AND(I110=$N$4,D110=$N$5),2.5,IF(AND(I110=$N$3,D110=$N$4),3.5,IF(AND(I110=$N$6,D110=$N$5),1.49,IF(AND(I110=$N$5,D110=$N$4),2.49,IF(AND(I110=$N$4,D110=$N$3),3.49,E110)))))))</f>
        <v>2.5</v>
      </c>
      <c r="K110" s="88" t="s">
        <v>86</v>
      </c>
      <c r="L110" s="377"/>
    </row>
    <row r="111" spans="1:17" ht="21" customHeight="1" x14ac:dyDescent="0.25">
      <c r="A111" s="393" t="s">
        <v>157</v>
      </c>
      <c r="B111" s="213"/>
      <c r="C111" s="213"/>
      <c r="D111" s="213"/>
      <c r="E111" s="213"/>
      <c r="F111" s="213"/>
      <c r="G111" s="213"/>
      <c r="H111" s="213"/>
      <c r="I111" s="213"/>
      <c r="J111" s="213"/>
      <c r="K111" s="214"/>
      <c r="L111" s="377"/>
      <c r="Q111" s="158"/>
    </row>
    <row r="112" spans="1:17" ht="29.25" customHeight="1" x14ac:dyDescent="0.25">
      <c r="A112" s="505" t="s">
        <v>217</v>
      </c>
      <c r="B112" s="506"/>
      <c r="C112" s="230" t="s">
        <v>309</v>
      </c>
      <c r="D112" s="224" t="s">
        <v>5</v>
      </c>
      <c r="E112" s="212">
        <f>IF(D112=$N$6,1,IF(D112=$N$5,2,IF(D112=$N$4,3,IF(D112=$N$3,4,"n/a"))))</f>
        <v>3</v>
      </c>
      <c r="F112" s="507" t="s">
        <v>308</v>
      </c>
      <c r="G112" s="507"/>
      <c r="H112" s="507"/>
      <c r="I112" s="507"/>
      <c r="J112" s="507"/>
      <c r="K112" s="507"/>
      <c r="L112" s="377"/>
    </row>
    <row r="113" spans="1:12" ht="44.55" customHeight="1" x14ac:dyDescent="0.25">
      <c r="A113" s="503" t="s">
        <v>218</v>
      </c>
      <c r="B113" s="504"/>
      <c r="C113" s="231" t="s">
        <v>311</v>
      </c>
      <c r="D113" s="194" t="s">
        <v>5</v>
      </c>
      <c r="E113" s="117">
        <f>IF(D113=$N$6,1,IF(D113=$N$5,2,IF(D113=$N$4,3,IF(D113=$N$3,4,"n/a"))))</f>
        <v>3</v>
      </c>
      <c r="F113" s="498" t="s">
        <v>310</v>
      </c>
      <c r="G113" s="494"/>
      <c r="H113" s="494"/>
      <c r="I113" s="494"/>
      <c r="J113" s="494"/>
      <c r="K113" s="499"/>
      <c r="L113" s="377"/>
    </row>
    <row r="114" spans="1:12" ht="42.75" customHeight="1" thickBot="1" x14ac:dyDescent="0.3">
      <c r="A114" s="526" t="s">
        <v>158</v>
      </c>
      <c r="B114" s="527"/>
      <c r="C114" s="232" t="s">
        <v>242</v>
      </c>
      <c r="D114" s="164" t="s">
        <v>40</v>
      </c>
      <c r="E114" s="174">
        <f>IF(D114=$N$6,1,IF(D114=$N$5,2,IF(D114=$N$4,3,IF(D114=$N$3,4,"n/a"))))</f>
        <v>2</v>
      </c>
      <c r="F114" s="596" t="s">
        <v>312</v>
      </c>
      <c r="G114" s="517"/>
      <c r="H114" s="517"/>
      <c r="I114" s="517"/>
      <c r="J114" s="517"/>
      <c r="K114" s="502"/>
      <c r="L114" s="375" t="s">
        <v>91</v>
      </c>
    </row>
    <row r="115" spans="1:12" ht="26.25" customHeight="1" thickBot="1" x14ac:dyDescent="0.3">
      <c r="A115" s="589"/>
      <c r="B115" s="590"/>
      <c r="C115" s="38" t="s">
        <v>23</v>
      </c>
      <c r="D115" s="26" t="str">
        <f>IF(E115&lt;1.5,"Low",IF(E115&lt;2.5,"Moderate",IF(E115&lt;3.5,"Substantial",IF(E115&lt;4.5,"High","n/a"))))</f>
        <v>Substantial</v>
      </c>
      <c r="E115" s="144">
        <f>IF(COUNT(E112:E114)=0,"n/a",AVERAGE(E112:E114))</f>
        <v>2.6666666666666665</v>
      </c>
      <c r="F115" s="27">
        <f>E115</f>
        <v>2.6666666666666665</v>
      </c>
      <c r="G115" s="215"/>
      <c r="H115" s="28" t="s">
        <v>22</v>
      </c>
      <c r="I115" s="25" t="str">
        <f>D115</f>
        <v>Substantial</v>
      </c>
      <c r="J115" s="29">
        <f>IF(I115=$N$7,"n/a",IF(AND(I115=$N$5,D115=$N$6),1.5,IF(AND(I115=$N$4,D115=$N$5),2.5,IF(AND(I115=$N$3,D115=$N$4),3.5,IF(AND(I115=$N$6,D115=$N$5),1.49,IF(AND(I115=$N$5,D115=$N$4),2.49,IF(AND(I115=$N$4,D115=$N$3),3.49,E115)))))))</f>
        <v>2.6666666666666665</v>
      </c>
      <c r="K115" s="88" t="s">
        <v>86</v>
      </c>
      <c r="L115" s="377"/>
    </row>
    <row r="116" spans="1:12" ht="23.25" customHeight="1" x14ac:dyDescent="0.25">
      <c r="B116" s="159"/>
      <c r="C116"/>
      <c r="D116" s="159"/>
      <c r="E116"/>
      <c r="F116" s="159"/>
      <c r="G116"/>
      <c r="H116" s="159"/>
      <c r="I116"/>
      <c r="J116" s="159"/>
    </row>
    <row r="117" spans="1:12" ht="33" customHeight="1" x14ac:dyDescent="0.25">
      <c r="B117" s="159"/>
      <c r="C117"/>
      <c r="D117" s="159"/>
      <c r="E117"/>
      <c r="F117" s="159"/>
      <c r="G117"/>
      <c r="H117" s="159"/>
      <c r="I117"/>
      <c r="J117" s="159"/>
    </row>
    <row r="118" spans="1:12" ht="33" customHeight="1" x14ac:dyDescent="0.25">
      <c r="B118" s="159"/>
      <c r="C118"/>
      <c r="D118" s="159"/>
      <c r="E118"/>
      <c r="F118" s="159"/>
      <c r="G118"/>
      <c r="H118" s="159"/>
      <c r="I118"/>
      <c r="J118" s="159"/>
    </row>
    <row r="119" spans="1:12" ht="34.5" customHeight="1" x14ac:dyDescent="0.25">
      <c r="B119" s="159"/>
      <c r="C119"/>
      <c r="D119" s="159"/>
      <c r="E119"/>
      <c r="F119" s="159"/>
      <c r="G119"/>
      <c r="H119" s="159"/>
      <c r="I119"/>
      <c r="J119" s="159"/>
    </row>
    <row r="120" spans="1:12" ht="27" customHeight="1" x14ac:dyDescent="0.25">
      <c r="B120" s="159"/>
      <c r="C120"/>
      <c r="D120" s="159"/>
      <c r="E120"/>
      <c r="F120" s="159"/>
      <c r="G120"/>
      <c r="H120" s="159"/>
      <c r="I120"/>
      <c r="J120" s="159"/>
    </row>
    <row r="121" spans="1:12" x14ac:dyDescent="0.25">
      <c r="B121" s="159"/>
      <c r="C121"/>
      <c r="D121" s="159"/>
      <c r="E121"/>
      <c r="F121" s="159"/>
      <c r="G121"/>
      <c r="H121" s="159"/>
      <c r="I121"/>
      <c r="J121" s="159"/>
    </row>
  </sheetData>
  <sheetProtection formatRows="0"/>
  <mergeCells count="148">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15:B115"/>
    <mergeCell ref="A79:B79"/>
    <mergeCell ref="F104:K104"/>
    <mergeCell ref="F105:K105"/>
    <mergeCell ref="A114:B114"/>
    <mergeCell ref="F87:K87"/>
    <mergeCell ref="A88:B88"/>
    <mergeCell ref="F88:K88"/>
    <mergeCell ref="A89:B89"/>
    <mergeCell ref="F89:K89"/>
    <mergeCell ref="A90:B90"/>
    <mergeCell ref="F90:K90"/>
    <mergeCell ref="A106:B106"/>
    <mergeCell ref="A91:B91"/>
    <mergeCell ref="A93:B93"/>
    <mergeCell ref="A83:B83"/>
    <mergeCell ref="F113:K113"/>
    <mergeCell ref="F114:K114"/>
    <mergeCell ref="F109:K109"/>
    <mergeCell ref="F99:K99"/>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74:B74"/>
    <mergeCell ref="F74:K74"/>
    <mergeCell ref="A78:B78"/>
    <mergeCell ref="F78:K78"/>
    <mergeCell ref="A77:B77"/>
    <mergeCell ref="A75:B75"/>
    <mergeCell ref="F98:K98"/>
    <mergeCell ref="F94:K94"/>
    <mergeCell ref="A113:B113"/>
    <mergeCell ref="A112:B112"/>
    <mergeCell ref="F93:K93"/>
    <mergeCell ref="A94:B94"/>
    <mergeCell ref="A95:B95"/>
    <mergeCell ref="A97:B97"/>
    <mergeCell ref="F97:K97"/>
    <mergeCell ref="A98:B98"/>
    <mergeCell ref="A99:B99"/>
    <mergeCell ref="A108:B108"/>
    <mergeCell ref="F108:K108"/>
    <mergeCell ref="A80:B80"/>
    <mergeCell ref="F79:K79"/>
  </mergeCells>
  <phoneticPr fontId="1" type="noConversion"/>
  <conditionalFormatting sqref="A91">
    <cfRule type="cellIs" dxfId="51" priority="17" operator="equal">
      <formula>$N$6</formula>
    </cfRule>
    <cfRule type="cellIs" dxfId="50" priority="18" operator="equal">
      <formula>$N$5</formula>
    </cfRule>
    <cfRule type="cellIs" dxfId="49" priority="19" operator="equal">
      <formula>$N$4</formula>
    </cfRule>
    <cfRule type="cellIs" dxfId="48" priority="20" operator="equal">
      <formula>$N$3</formula>
    </cfRule>
  </conditionalFormatting>
  <conditionalFormatting sqref="A2:H2">
    <cfRule type="cellIs" dxfId="47" priority="908" operator="equal">
      <formula>"High"</formula>
    </cfRule>
    <cfRule type="cellIs" dxfId="46" priority="909" operator="equal">
      <formula>"Substantial"</formula>
    </cfRule>
    <cfRule type="cellIs" dxfId="45" priority="910" operator="equal">
      <formula>"Moderate"</formula>
    </cfRule>
    <cfRule type="cellIs" dxfId="44" priority="911" operator="equal">
      <formula>"Low"</formula>
    </cfRule>
  </conditionalFormatting>
  <conditionalFormatting sqref="A3:K25 A26 C26:K26 A73:J74 A75:K90 A92:K93 A94:J94 A100:K105 A106 C106:K106 A107:K108 A109:J109 A110:K112 A113:J114 A115:K115">
    <cfRule type="cellIs" dxfId="43" priority="33" operator="equal">
      <formula>$N$6</formula>
    </cfRule>
    <cfRule type="cellIs" dxfId="42" priority="34" operator="equal">
      <formula>$N$5</formula>
    </cfRule>
    <cfRule type="cellIs" dxfId="41" priority="35" operator="equal">
      <formula>$N$4</formula>
    </cfRule>
    <cfRule type="cellIs" dxfId="40" priority="36" operator="equal">
      <formula>$N$3</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3" operator="equal">
      <formula>$N$6</formula>
    </cfRule>
    <cfRule type="cellIs" dxfId="34" priority="14" operator="equal">
      <formula>$N$5</formula>
    </cfRule>
    <cfRule type="cellIs" dxfId="33" priority="15" operator="equal">
      <formula>$N$4</formula>
    </cfRule>
    <cfRule type="cellIs" dxfId="32" priority="16" operator="equal">
      <formula>$N$3</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1" operator="equal">
      <formula>$N$6</formula>
    </cfRule>
    <cfRule type="cellIs" dxfId="26" priority="2" operator="equal">
      <formula>$N$5</formula>
    </cfRule>
    <cfRule type="cellIs" dxfId="25" priority="3" operator="equal">
      <formula>$N$4</formula>
    </cfRule>
    <cfRule type="cellIs" dxfId="24" priority="4" operator="equal">
      <formula>$N$3</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7"/>
  <sheetViews>
    <sheetView topLeftCell="C49" zoomScaleNormal="100" zoomScaleSheetLayoutView="115" workbookViewId="0">
      <selection activeCell="B27" sqref="B27"/>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8" t="s">
        <v>117</v>
      </c>
      <c r="B1" s="609"/>
    </row>
    <row r="2" spans="1:2" s="151" customFormat="1" ht="23.25" customHeight="1" x14ac:dyDescent="0.25">
      <c r="A2" s="610" t="s">
        <v>189</v>
      </c>
      <c r="B2" s="611"/>
    </row>
    <row r="3" spans="1:2" ht="40.5" customHeight="1" x14ac:dyDescent="0.25">
      <c r="A3" s="385" t="s">
        <v>178</v>
      </c>
      <c r="B3" s="390" t="s">
        <v>174</v>
      </c>
    </row>
    <row r="4" spans="1:2" ht="36" customHeight="1" x14ac:dyDescent="0.25">
      <c r="A4" s="407" t="s">
        <v>179</v>
      </c>
      <c r="B4" s="93" t="s">
        <v>176</v>
      </c>
    </row>
    <row r="5" spans="1:2" ht="36" customHeight="1" thickBot="1" x14ac:dyDescent="0.3">
      <c r="A5" s="385" t="s">
        <v>192</v>
      </c>
      <c r="B5" s="388" t="s">
        <v>193</v>
      </c>
    </row>
    <row r="6" spans="1:2" ht="23.25" customHeight="1" x14ac:dyDescent="0.25">
      <c r="A6" s="612" t="s">
        <v>175</v>
      </c>
      <c r="B6" s="613"/>
    </row>
    <row r="7" spans="1:2" ht="21.75" customHeight="1" x14ac:dyDescent="0.25">
      <c r="A7" s="384" t="s">
        <v>129</v>
      </c>
      <c r="B7" s="251"/>
    </row>
    <row r="8" spans="1:2" ht="37.5" customHeight="1" x14ac:dyDescent="0.25">
      <c r="A8" s="92">
        <v>1</v>
      </c>
      <c r="B8" s="390" t="s">
        <v>177</v>
      </c>
    </row>
    <row r="9" spans="1:2" ht="22.5" customHeight="1" x14ac:dyDescent="0.3">
      <c r="A9" s="384" t="s">
        <v>127</v>
      </c>
      <c r="B9" s="250"/>
    </row>
    <row r="10" spans="1:2" ht="130.5" customHeight="1" x14ac:dyDescent="0.25">
      <c r="A10" s="389">
        <f>+A8+1</f>
        <v>2</v>
      </c>
      <c r="B10" s="93" t="s">
        <v>190</v>
      </c>
    </row>
    <row r="11" spans="1:2" ht="27" customHeight="1" x14ac:dyDescent="0.25">
      <c r="A11" s="389">
        <f>+A10+1</f>
        <v>3</v>
      </c>
      <c r="B11" s="93" t="s">
        <v>180</v>
      </c>
    </row>
    <row r="12" spans="1:2" ht="23.25" customHeight="1" x14ac:dyDescent="0.25">
      <c r="A12" s="389">
        <f t="shared" ref="A12:A13" si="0">+A11+1</f>
        <v>4</v>
      </c>
      <c r="B12" s="93" t="s">
        <v>187</v>
      </c>
    </row>
    <row r="13" spans="1:2" ht="114" customHeight="1" x14ac:dyDescent="0.25">
      <c r="A13" s="389">
        <f t="shared" si="0"/>
        <v>5</v>
      </c>
      <c r="B13" s="93" t="s">
        <v>188</v>
      </c>
    </row>
    <row r="14" spans="1:2" ht="22.5" customHeight="1" x14ac:dyDescent="0.25">
      <c r="A14" s="384" t="s">
        <v>128</v>
      </c>
      <c r="B14" s="251"/>
    </row>
    <row r="15" spans="1:2" ht="54.75" customHeight="1" x14ac:dyDescent="0.25">
      <c r="A15" s="389">
        <f>+A13+1</f>
        <v>6</v>
      </c>
      <c r="B15" s="93" t="s">
        <v>181</v>
      </c>
    </row>
    <row r="16" spans="1:2" ht="23.25" customHeight="1" x14ac:dyDescent="0.25">
      <c r="A16" s="389">
        <f t="shared" ref="A16:A18" si="1">+A15+1</f>
        <v>7</v>
      </c>
      <c r="B16" s="93" t="s">
        <v>182</v>
      </c>
    </row>
    <row r="17" spans="1:2" ht="24.75" customHeight="1" x14ac:dyDescent="0.25">
      <c r="A17" s="389">
        <f t="shared" si="1"/>
        <v>8</v>
      </c>
      <c r="B17" s="93" t="s">
        <v>183</v>
      </c>
    </row>
    <row r="18" spans="1:2" ht="24.75" customHeight="1" x14ac:dyDescent="0.25">
      <c r="A18" s="389">
        <f t="shared" si="1"/>
        <v>9</v>
      </c>
      <c r="B18" s="93" t="s">
        <v>184</v>
      </c>
    </row>
    <row r="19" spans="1:2" ht="21.75" customHeight="1" x14ac:dyDescent="0.25">
      <c r="A19" s="384" t="s">
        <v>129</v>
      </c>
      <c r="B19" s="251"/>
    </row>
    <row r="20" spans="1:2" ht="40.5" customHeight="1" thickBot="1" x14ac:dyDescent="0.3">
      <c r="A20" s="92">
        <f>+A18+1</f>
        <v>10</v>
      </c>
      <c r="B20" s="388" t="s">
        <v>185</v>
      </c>
    </row>
    <row r="21" spans="1:2" ht="52.5" customHeight="1" thickBot="1" x14ac:dyDescent="0.3">
      <c r="A21" s="387" t="s">
        <v>118</v>
      </c>
      <c r="B21" s="252" t="s">
        <v>186</v>
      </c>
    </row>
    <row r="24" spans="1:2" ht="17.25" customHeight="1" x14ac:dyDescent="0.25">
      <c r="A24" s="386" t="s">
        <v>88</v>
      </c>
      <c r="B24" s="386" t="s">
        <v>87</v>
      </c>
    </row>
    <row r="25" spans="1:2" x14ac:dyDescent="0.25">
      <c r="A25" s="94">
        <v>1.1000000000000001</v>
      </c>
      <c r="B25" s="94" t="s">
        <v>201</v>
      </c>
    </row>
    <row r="26" spans="1:2" ht="22.8" x14ac:dyDescent="0.25">
      <c r="A26" s="94" t="s">
        <v>202</v>
      </c>
      <c r="B26" s="94" t="s">
        <v>203</v>
      </c>
    </row>
    <row r="27" spans="1:2" x14ac:dyDescent="0.25">
      <c r="A27" s="94" t="s">
        <v>89</v>
      </c>
      <c r="B27" s="94" t="s">
        <v>69</v>
      </c>
    </row>
    <row r="28" spans="1:2" x14ac:dyDescent="0.25">
      <c r="A28" s="94" t="s">
        <v>90</v>
      </c>
      <c r="B28" s="94" t="s">
        <v>69</v>
      </c>
    </row>
    <row r="29" spans="1:2" x14ac:dyDescent="0.25">
      <c r="A29" s="94" t="s">
        <v>92</v>
      </c>
      <c r="B29" s="95" t="s">
        <v>93</v>
      </c>
    </row>
    <row r="30" spans="1:2" ht="34.799999999999997" x14ac:dyDescent="0.25">
      <c r="A30" s="96">
        <v>2.1</v>
      </c>
      <c r="B30" s="97" t="s">
        <v>60</v>
      </c>
    </row>
    <row r="31" spans="1:2" x14ac:dyDescent="0.25">
      <c r="A31" s="98" t="s">
        <v>94</v>
      </c>
      <c r="B31" s="98" t="s">
        <v>61</v>
      </c>
    </row>
    <row r="32" spans="1:2" x14ac:dyDescent="0.25">
      <c r="A32" s="98" t="s">
        <v>95</v>
      </c>
      <c r="B32" s="98" t="s">
        <v>45</v>
      </c>
    </row>
    <row r="33" spans="1:2" ht="23.4" x14ac:dyDescent="0.25">
      <c r="A33" s="99" t="s">
        <v>96</v>
      </c>
      <c r="B33" s="98" t="s">
        <v>63</v>
      </c>
    </row>
    <row r="34" spans="1:2" x14ac:dyDescent="0.25">
      <c r="A34" s="100" t="s">
        <v>97</v>
      </c>
      <c r="B34" s="100" t="s">
        <v>30</v>
      </c>
    </row>
    <row r="35" spans="1:2" ht="22.8" x14ac:dyDescent="0.25">
      <c r="A35" s="101">
        <v>4</v>
      </c>
      <c r="B35" s="101" t="s">
        <v>98</v>
      </c>
    </row>
    <row r="36" spans="1:2" x14ac:dyDescent="0.25">
      <c r="A36" s="87" t="s">
        <v>99</v>
      </c>
      <c r="B36" s="87" t="s">
        <v>173</v>
      </c>
    </row>
    <row r="37" spans="1:2" x14ac:dyDescent="0.25">
      <c r="A37" s="87" t="s">
        <v>100</v>
      </c>
      <c r="B37" s="87" t="s">
        <v>111</v>
      </c>
    </row>
    <row r="38" spans="1:2" x14ac:dyDescent="0.25">
      <c r="A38" s="87" t="s">
        <v>101</v>
      </c>
      <c r="B38" s="87" t="s">
        <v>110</v>
      </c>
    </row>
    <row r="39" spans="1:2" ht="34.200000000000003" x14ac:dyDescent="0.25">
      <c r="A39" s="87" t="s">
        <v>102</v>
      </c>
      <c r="B39" s="87" t="s">
        <v>103</v>
      </c>
    </row>
    <row r="40" spans="1:2" ht="22.8" x14ac:dyDescent="0.25">
      <c r="A40" s="87" t="s">
        <v>104</v>
      </c>
      <c r="B40" s="87" t="s">
        <v>72</v>
      </c>
    </row>
    <row r="41" spans="1:2" x14ac:dyDescent="0.25">
      <c r="A41" s="87" t="s">
        <v>105</v>
      </c>
      <c r="B41" s="87" t="s">
        <v>112</v>
      </c>
    </row>
    <row r="42" spans="1:2" x14ac:dyDescent="0.25">
      <c r="A42" s="306" t="s">
        <v>106</v>
      </c>
      <c r="B42" s="306" t="s">
        <v>150</v>
      </c>
    </row>
    <row r="43" spans="1:2" x14ac:dyDescent="0.25">
      <c r="A43" s="307" t="s">
        <v>167</v>
      </c>
      <c r="B43" s="307" t="s">
        <v>170</v>
      </c>
    </row>
    <row r="44" spans="1:2" x14ac:dyDescent="0.25">
      <c r="A44" s="307" t="s">
        <v>154</v>
      </c>
      <c r="B44" s="307" t="s">
        <v>115</v>
      </c>
    </row>
    <row r="45" spans="1:2" x14ac:dyDescent="0.25">
      <c r="A45" s="307" t="s">
        <v>109</v>
      </c>
      <c r="B45" s="307" t="s">
        <v>116</v>
      </c>
    </row>
    <row r="46" spans="1:2" x14ac:dyDescent="0.25">
      <c r="A46" s="102" t="s">
        <v>161</v>
      </c>
      <c r="B46" s="102" t="s">
        <v>107</v>
      </c>
    </row>
    <row r="47" spans="1:2" x14ac:dyDescent="0.25">
      <c r="A47" s="102" t="s">
        <v>162</v>
      </c>
      <c r="B47" s="103" t="s">
        <v>108</v>
      </c>
    </row>
    <row r="48" spans="1:2" x14ac:dyDescent="0.25">
      <c r="A48" s="103" t="s">
        <v>163</v>
      </c>
      <c r="B48" s="103" t="s">
        <v>113</v>
      </c>
    </row>
    <row r="49" spans="1:6" x14ac:dyDescent="0.25">
      <c r="A49" s="103" t="s">
        <v>164</v>
      </c>
      <c r="B49" s="103" t="s">
        <v>114</v>
      </c>
    </row>
    <row r="50" spans="1:6" ht="13.8" thickBot="1" x14ac:dyDescent="0.3">
      <c r="A50" s="309"/>
      <c r="B50" s="309"/>
    </row>
    <row r="51" spans="1:6" ht="27.75" customHeight="1" thickBot="1" x14ac:dyDescent="0.3">
      <c r="A51" s="248"/>
      <c r="B51" s="249"/>
      <c r="D51" s="253"/>
      <c r="E51" s="259" t="s">
        <v>120</v>
      </c>
      <c r="F51" s="254" t="s">
        <v>122</v>
      </c>
    </row>
    <row r="52" spans="1:6" ht="45" customHeight="1" thickBot="1" x14ac:dyDescent="0.3">
      <c r="A52" s="248"/>
      <c r="B52" s="249" t="s">
        <v>130</v>
      </c>
      <c r="C52" s="13"/>
      <c r="D52" s="264" t="s">
        <v>121</v>
      </c>
      <c r="E52" s="260" t="s">
        <v>123</v>
      </c>
      <c r="F52" s="258" t="s">
        <v>124</v>
      </c>
    </row>
    <row r="53" spans="1:6" ht="21.75" customHeight="1" x14ac:dyDescent="0.25">
      <c r="A53" s="248"/>
      <c r="B53" s="249"/>
      <c r="C53" s="13"/>
      <c r="D53" s="265" t="s">
        <v>4</v>
      </c>
      <c r="E53" s="261">
        <v>4</v>
      </c>
      <c r="F53" s="257" t="s">
        <v>131</v>
      </c>
    </row>
    <row r="54" spans="1:6" ht="21.75" customHeight="1" x14ac:dyDescent="0.25">
      <c r="A54" s="248"/>
      <c r="B54" s="249"/>
      <c r="C54" s="13"/>
      <c r="D54" s="266" t="s">
        <v>5</v>
      </c>
      <c r="E54" s="262">
        <v>3</v>
      </c>
      <c r="F54" s="255" t="s">
        <v>132</v>
      </c>
    </row>
    <row r="55" spans="1:6" ht="21.75" customHeight="1" x14ac:dyDescent="0.25">
      <c r="A55" s="248"/>
      <c r="B55" s="249"/>
      <c r="C55" s="13"/>
      <c r="D55" s="267" t="s">
        <v>40</v>
      </c>
      <c r="E55" s="262">
        <v>2</v>
      </c>
      <c r="F55" s="255" t="s">
        <v>133</v>
      </c>
    </row>
    <row r="56" spans="1:6" ht="21.75" customHeight="1" x14ac:dyDescent="0.25">
      <c r="A56" s="248"/>
      <c r="B56" s="249"/>
      <c r="C56" s="13"/>
      <c r="D56" s="268" t="s">
        <v>74</v>
      </c>
      <c r="E56" s="262">
        <v>1</v>
      </c>
      <c r="F56" s="255" t="s">
        <v>126</v>
      </c>
    </row>
    <row r="57" spans="1:6" ht="21.75" customHeight="1" thickBot="1" x14ac:dyDescent="0.3">
      <c r="A57" s="248"/>
      <c r="B57" s="249"/>
      <c r="C57" s="13"/>
      <c r="D57" s="269" t="s">
        <v>18</v>
      </c>
      <c r="E57" s="263" t="s">
        <v>125</v>
      </c>
      <c r="F57" s="256" t="s">
        <v>125</v>
      </c>
    </row>
  </sheetData>
  <sheetProtection formatRows="0"/>
  <mergeCells count="3">
    <mergeCell ref="A1:B1"/>
    <mergeCell ref="A2:B2"/>
    <mergeCell ref="A6:B6"/>
  </mergeCells>
  <phoneticPr fontId="1" type="noConversion"/>
  <conditionalFormatting sqref="A29:A30">
    <cfRule type="cellIs" dxfId="19" priority="69" operator="equal">
      <formula>$N$6</formula>
    </cfRule>
    <cfRule type="cellIs" dxfId="18" priority="70" operator="equal">
      <formula>#REF!</formula>
    </cfRule>
    <cfRule type="cellIs" dxfId="17" priority="71" operator="equal">
      <formula>$N$4</formula>
    </cfRule>
    <cfRule type="cellIs" dxfId="16" priority="72" operator="equal">
      <formula>$N$3</formula>
    </cfRule>
  </conditionalFormatting>
  <conditionalFormatting sqref="A47">
    <cfRule type="cellIs" dxfId="15" priority="21" operator="equal">
      <formula>$N$6</formula>
    </cfRule>
    <cfRule type="cellIs" dxfId="14" priority="22" operator="equal">
      <formula>#REF!</formula>
    </cfRule>
    <cfRule type="cellIs" dxfId="13" priority="23" operator="equal">
      <formula>$N$4</formula>
    </cfRule>
    <cfRule type="cellIs" dxfId="12" priority="24" operator="equal">
      <formula>$N$3</formula>
    </cfRule>
  </conditionalFormatting>
  <conditionalFormatting sqref="A25:B28">
    <cfRule type="cellIs" dxfId="11" priority="1" operator="equal">
      <formula>$N$6</formula>
    </cfRule>
    <cfRule type="cellIs" dxfId="10" priority="2" operator="equal">
      <formula>#REF!</formula>
    </cfRule>
    <cfRule type="cellIs" dxfId="9" priority="3" operator="equal">
      <formula>$N$4</formula>
    </cfRule>
    <cfRule type="cellIs" dxfId="8" priority="4" operator="equal">
      <formula>$N$3</formula>
    </cfRule>
  </conditionalFormatting>
  <conditionalFormatting sqref="A34:B42">
    <cfRule type="cellIs" dxfId="7" priority="9" operator="equal">
      <formula>$N$6</formula>
    </cfRule>
    <cfRule type="cellIs" dxfId="6" priority="10" operator="equal">
      <formula>#REF!</formula>
    </cfRule>
    <cfRule type="cellIs" dxfId="5" priority="11" operator="equal">
      <formula>$N$4</formula>
    </cfRule>
    <cfRule type="cellIs" dxfId="4" priority="12" operator="equal">
      <formula>$N$3</formula>
    </cfRule>
  </conditionalFormatting>
  <conditionalFormatting sqref="A46:B46">
    <cfRule type="cellIs" dxfId="3" priority="25" operator="equal">
      <formula>$N$6</formula>
    </cfRule>
    <cfRule type="cellIs" dxfId="2" priority="26" operator="equal">
      <formula>#REF!</formula>
    </cfRule>
    <cfRule type="cellIs" dxfId="1" priority="27" operator="equal">
      <formula>$N$4</formula>
    </cfRule>
    <cfRule type="cellIs" dxfId="0" priority="28"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89124-D42E-41EA-9C34-CFE157928930}">
  <ds:schemaRefs>
    <ds:schemaRef ds:uri="http://purl.org/dc/dcmitype/"/>
    <ds:schemaRef ds:uri="http://purl.org/dc/elements/1.1/"/>
    <ds:schemaRef ds:uri="http://schemas.microsoft.com/office/2006/documentManagement/types"/>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