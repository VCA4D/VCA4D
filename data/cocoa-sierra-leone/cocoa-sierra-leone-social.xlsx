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autoCompressPictures="0" defaultThemeVersion="124226"/>
  <mc:AlternateContent xmlns:mc="http://schemas.openxmlformats.org/markup-compatibility/2006">
    <mc:Choice Requires="x15">
      <x15ac:absPath xmlns:x15ac="http://schemas.microsoft.com/office/spreadsheetml/2010/11/ac" url="https://czuvpraze-my.sharepoint.com/personal/mazan_ftz_czu_cz/Documents/PROJEKTY OD 2024/2025/UNDP challenge Fund/VC4D Sierra Leone/Final Report/"/>
    </mc:Choice>
  </mc:AlternateContent>
  <xr:revisionPtr revIDLastSave="683" documentId="8_{A1114D88-9771-4B56-B388-FA2D19299220}" xr6:coauthVersionLast="47" xr6:coauthVersionMax="47" xr10:uidLastSave="{F8E0B557-DB3B-4183-8BB1-E10AE6790D79}"/>
  <bookViews>
    <workbookView xWindow="-110" yWindow="-110" windowWidth="19420" windowHeight="10300" activeTab="2"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Titles" localSheetId="2">Questionnaire!$2:$2</definedName>
    <definedName name="_xlnm.Print_Titles" localSheetId="1">Register!$1:$4</definedName>
    <definedName name="_xlnm.Print_Area" localSheetId="0">Profile!$A$1:$G$29</definedName>
    <definedName name="_xlnm.Print_Area" localSheetId="2">Questionnaire!$A$1:$L$121</definedName>
    <definedName name="_xlnm.Print_Area" localSheetId="1">Register!$A$1:$I$39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14" i="3"/>
  <c r="E113" i="3"/>
  <c r="E112" i="3"/>
  <c r="E109" i="3"/>
  <c r="E108" i="3"/>
  <c r="E105" i="3"/>
  <c r="E104" i="3"/>
  <c r="E103" i="3"/>
  <c r="E99" i="3"/>
  <c r="E98" i="3"/>
  <c r="E97" i="3"/>
  <c r="E94" i="3"/>
  <c r="E93" i="3"/>
  <c r="E95" i="3" s="1"/>
  <c r="E90" i="3"/>
  <c r="E89" i="3"/>
  <c r="E88" i="3"/>
  <c r="E87" i="3"/>
  <c r="E83" i="3"/>
  <c r="E82" i="3"/>
  <c r="E79" i="3"/>
  <c r="E78" i="3"/>
  <c r="E77" i="3"/>
  <c r="E74" i="3"/>
  <c r="E75" i="3" s="1"/>
  <c r="E73" i="3"/>
  <c r="E70" i="3"/>
  <c r="E69" i="3"/>
  <c r="E65" i="3"/>
  <c r="E64" i="3"/>
  <c r="E61"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120" i="3" l="1"/>
  <c r="E115" i="3"/>
  <c r="E110" i="3"/>
  <c r="E106" i="3"/>
  <c r="E100" i="3"/>
  <c r="E91" i="3"/>
  <c r="E84" i="3"/>
  <c r="E80" i="3"/>
  <c r="E71" i="3"/>
  <c r="E66" i="3"/>
  <c r="E62" i="3"/>
  <c r="E56" i="3"/>
  <c r="E49" i="3"/>
  <c r="E43"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95" i="3" l="1"/>
  <c r="B31" i="2" s="1"/>
  <c r="J91" i="3"/>
  <c r="B30"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2" i="2" l="1"/>
  <c r="C32" i="2"/>
  <c r="C30" i="2"/>
  <c r="D30" i="2"/>
  <c r="B33" i="2"/>
  <c r="C33" i="2" s="1"/>
  <c r="C18" i="1" s="1"/>
  <c r="C31" i="2"/>
  <c r="D31" i="2"/>
  <c r="I25" i="2"/>
  <c r="I24" i="2"/>
  <c r="I9" i="2"/>
  <c r="I13" i="2"/>
  <c r="I38" i="2"/>
  <c r="I37" i="2"/>
  <c r="I8" i="2"/>
  <c r="I21" i="2"/>
  <c r="I7" i="2"/>
  <c r="I20" i="2"/>
  <c r="I6" i="2"/>
  <c r="I36" i="2"/>
  <c r="I35" i="2"/>
  <c r="I19" i="2"/>
  <c r="I32" i="2"/>
  <c r="I18" i="2"/>
  <c r="I17" i="2"/>
  <c r="I31" i="2"/>
  <c r="I30" i="2"/>
  <c r="I14" i="2"/>
  <c r="I27" i="2"/>
  <c r="I26" i="2"/>
  <c r="I12" i="2"/>
  <c r="I33" i="2"/>
  <c r="F18" i="1" s="1"/>
  <c r="D62" i="3"/>
  <c r="D66" i="3"/>
  <c r="D106" i="3"/>
  <c r="D115" i="3"/>
  <c r="D110" i="3"/>
  <c r="D71" i="3"/>
  <c r="D43" i="3"/>
  <c r="D26" i="3"/>
  <c r="J26" i="3" s="1"/>
  <c r="D32" i="3"/>
  <c r="D38" i="3"/>
  <c r="D84" i="3"/>
  <c r="D120" i="3"/>
  <c r="D17" i="3"/>
  <c r="D18" i="1" l="1"/>
  <c r="D33" i="2"/>
  <c r="E18" i="1" s="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15" i="2" l="1"/>
  <c r="F15" i="1" s="1"/>
  <c r="I10" i="2"/>
  <c r="F14" i="1" s="1"/>
  <c r="I28" i="2"/>
  <c r="F17" i="1" s="1"/>
  <c r="I39" i="2"/>
  <c r="F19"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38" i="3" l="1"/>
  <c r="B14" i="2" s="1"/>
  <c r="C14" i="2" s="1"/>
  <c r="J71" i="3"/>
  <c r="B24" i="2" s="1"/>
  <c r="J120" i="3"/>
  <c r="B38" i="2" s="1"/>
  <c r="C38"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110" i="3"/>
  <c r="B36" i="2" s="1"/>
  <c r="C36" i="2" s="1"/>
  <c r="J21" i="3"/>
  <c r="B9"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<sst xmlns="http://schemas.openxmlformats.org/spreadsheetml/2006/main" count="585" uniqueCount="405">
  <si>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</si>
  <si>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</si>
  <si>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</si>
  <si>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</si>
  <si>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</si>
  <si>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</si>
  <si>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</si>
  <si>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</si>
  <si>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</si>
  <si>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</si>
  <si>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</si>
  <si>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</si>
  <si>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</si>
  <si>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</si>
  <si>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</si>
  <si>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</si>
  <si>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</si>
  <si>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</si>
  <si>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</si>
  <si>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</si>
  <si>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</si>
  <si>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</si>
  <si>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</si>
  <si>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</si>
  <si>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</si>
  <si>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</si>
  <si>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</si>
  <si>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</si>
  <si>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</si>
  <si>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</si>
  <si>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</si>
  <si>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</si>
  <si>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</si>
  <si>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</si>
  <si>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</si>
  <si>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</si>
  <si>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</si>
  <si>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</si>
  <si>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</si>
  <si>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</si>
  <si>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</si>
  <si>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</si>
  <si>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</si>
  <si>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</si>
  <si>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</si>
  <si>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</si>
  <si>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</si>
  <si>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</si>
  <si>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</si>
  <si>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</si>
  <si>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</si>
  <si>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</si>
  <si>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</si>
  <si>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</si>
  <si>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</si>
  <si>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</si>
  <si>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</si>
  <si>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</si>
  <si>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</si>
  <si>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</si>
  <si>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</si>
  <si>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</si>
  <si>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</si>
  <si>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</si>
  <si>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</si>
  <si>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</si>
  <si>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</si>
  <si>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</si>
  <si>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</si>
  <si>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</si>
  <si>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</si>
  <si>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</si>
  <si>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</si>
  <si>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</si>
  <si>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</si>
  <si>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</si>
  <si>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</si>
  <si>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</si>
  <si>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</si>
  <si>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</si>
  <si>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</si>
  <si>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</si>
  <si>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</si>
  <si>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</si>
  <si>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</si>
  <si>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</si>
  <si>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</si>
  <si>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</si>
  <si>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</si>
  <si>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</si>
  <si>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</si>
  <si>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</si>
  <si>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</si>
  <si>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</si>
  <si>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</si>
  <si>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</si>
  <si>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</si>
  <si>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</si>
  <si>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</si>
  <si>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</si>
  <si>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</si>
  <si>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</si>
  <si>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</si>
  <si>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</si>
  <si>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</si>
  <si>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</si>
  <si>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</si>
  <si>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</si>
  <si>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</si>
  <si>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</si>
  <si>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</si>
  <si>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</si>
  <si>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</si>
  <si>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</si>
  <si>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</si>
  <si>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</si>
  <si>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</si>
  <si>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</si>
  <si>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</si>
  <si>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</si>
  <si>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</si>
  <si>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</si>
  <si>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</si>
  <si>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</si>
  <si>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</si>
  <si>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</si>
  <si>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</si>
  <si>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</si>
  <si>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</si>
  <si>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</si>
  <si>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</si>
  <si>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</si>
  <si>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</si>
  <si>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</si>
  <si>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</si>
  <si>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</si>
  <si>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</si>
  <si>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</si>
  <si>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</si>
  <si>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</si>
  <si>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</si>
  <si>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</si>
  <si>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</si>
  <si>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</si>
  <si>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</si>
  <si>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</si>
  <si>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</si>
  <si>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</si>
  <si>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</si>
  <si>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</si>
  <si>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</si>
  <si>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</si>
  <si>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</si>
  <si>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</si>
  <si>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</si>
  <si>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</si>
  <si>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</si>
  <si>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</si>
  <si>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</si>
  <si>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</si>
  <si>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</si>
  <si>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</si>
  <si>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</si>
  <si>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</si>
  <si>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</si>
  <si>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</si>
  <si>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</si>
  <si>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</si>
  <si>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</si>
  <si>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</si>
  <si>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</si>
  <si>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</si>
  <si>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</si>
  <si>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</si>
  <si>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</si>
  <si>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</si>
  <si>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</si>
  <si>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</si>
  <si>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</si>
  <si>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</si>
  <si>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</si>
  <si>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</si>
  <si>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</si>
  <si>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</si>
  <si>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</si>
  <si>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</si>
  <si>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</si>
  <si>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</si>
  <si>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</si>
  <si>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</si>
  <si>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</si>
  <si>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</si>
  <si>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</si>
  <si>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</si>
  <si>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</si>
  <si>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</si>
  <si>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</si>
  <si>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</si>
  <si>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</si>
  <si>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</si>
  <si>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</si>
  <si>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</si>
  <si>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</si>
  <si>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</si>
  <si>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</si>
  <si>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</si>
  <si>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</si>
  <si>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</si>
  <si>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</si>
  <si>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</si>
  <si>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</si>
  <si>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</si>
  <si>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</si>
  <si>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</si>
  <si>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</si>
  <si>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</si>
  <si>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</si>
  <si>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Cocoa</t>
  </si>
  <si>
    <t>Sierra Leone</t>
  </si>
  <si>
    <t xml:space="preserve">Labour rights are legally recognised, but compliance is fragmented: exporters are more formal while farm and intermediary labour remains largely informal and weakly monitored. Informal agreements are often based on local social traditions. </t>
  </si>
  <si>
    <t>Freedom of association is legally allowed. Farmers associate through cooperatives/FBOs, but these producer organisations and bargaining power remain weak, and prices are largely buyer-driven.</t>
  </si>
  <si>
    <t xml:space="preserve">Enforceable written contracts are mostly limited to exporters and some cooperatives - mostly bound by Fairtrade certification; most farmer, hired labour and trader relations are oral and trust-based, and thus more vulnerable. </t>
  </si>
  <si>
    <t>Forced labour is less practised compared to Ghana and Ivory Coast, but debt, pre-financing and tied sales create structural dependency that limits farmers' autonomy.</t>
  </si>
  <si>
    <t>Women, largerly involved in production and farm-level processing, contribute heavily, but have weaker land rights, market access, resource control and decision-making power.</t>
  </si>
  <si>
    <t>Generally, youth attraction is low because cocoa is labour-intensive, returns are delayed and volatile, and mining or other options are often seen as more attractive.</t>
  </si>
  <si>
    <t>Children often combine school and cocoa work. Awareness and bylaws improved attendance in some communities, but child work remains a coping strategy in poor households.</t>
  </si>
  <si>
    <t>Children are legally protected, but practical protection is insufficient because children still help in cocoa tasks that can expose them to injury and hazardous conditions.</t>
  </si>
  <si>
    <t>Farm-level safety is poor: most farmers lack PPE, report injuries and work long hours in physically demanding tasks; conditions improve only in larger exporters/processors.</t>
  </si>
  <si>
    <t>Cocoa provides cash income for farmers but remuneration is widely perceived as insufficient and unstable; most income goes to basic needs with little room for savings or reinvestment.</t>
  </si>
  <si>
    <t>Adherence to VGGT-like principles is mostly implicit through recent legal reforms and some traceability practices, but companies rarely make explicit VGGT commitments.</t>
  </si>
  <si>
    <t>No large-scale land acquisition cases were identified in the cocoa sector during fieldwork; due-diligence provisions exist in law, but no concrete cocoa case could be assessed.</t>
  </si>
  <si>
    <t>Transparency has improved in law, but prior disclosure at local level remains uneven because customary systems dominate and rural awareness of rules is limited.</t>
  </si>
  <si>
    <t>Policies and procedures are not easily accessible to all stakeholders; weak formalisation and low awareness, especially among women, reduce practical accessibility.</t>
  </si>
  <si>
    <t>Participation and consultation exist but are uneven; women and youth remain underrepresented in meetings and leadership, limiting inclusive decision-making.</t>
  </si>
  <si>
    <t>Prior consent is more advanced in policy than in rural practice; consultation quality depends heavily on customary authorities and local power relations.</t>
  </si>
  <si>
    <t>Rules provide relatively secure tenure under customary systems, but equity is limited because land control remains gendered and formal documentation is weak.</t>
  </si>
  <si>
    <t>Alternative livelihood strategies exist mainly at household level through diversification into rice, cassava, oil palm, vegetables and petty trade, rather than through systematic support.</t>
  </si>
  <si>
    <t>The legal framework now provides for prompt and adequate compensation, but implementation capacity and evidence of fair operation in cocoa areas remain limited.</t>
  </si>
  <si>
    <t>Complaint handling exists mainly through informal, chief-led and community mechanisms; accessible formal grievance and arbitration systems remain limited.</t>
  </si>
  <si>
    <t>Women are active across production but remain less present in higher-value or market-facing segments such as trading and price negotiation.</t>
  </si>
  <si>
    <t xml:space="preserve">Women are highly active in the CVC, especially in production and farm-level post-harvest activities, but activity does not translate into equal benefit, incl. control over cocoa income. Often, women owning their own plot manage all cocoa work by themselves. </t>
  </si>
  <si>
    <t>Women do own and manage some assets and income activities, but ownership and effective control over productive assets remain weaker than for men.</t>
  </si>
  <si>
    <t xml:space="preserve">Formal legal equality has improved, but realised equality is limited: women typically access cocoa plots through marriage or inheritance and manage smaller plots than men. </t>
  </si>
  <si>
    <t>Women access credit, especially via VSLAs and informal channels, but their access remains narrower and less diversified than men’s.</t>
  </si>
  <si>
    <t>Women’s access to extension, inputs and other services is improving in project areas but remains constrained by social norms and weak service systems.</t>
  </si>
  <si>
    <t>Women take part in many production decisions and often report joint decision-making; survey evidence shows high female participation in discussions. However, in many cases, husbands have the last say. In polygamous marriages, each subsequent wife has less decision-making power.</t>
  </si>
  <si>
    <t xml:space="preserve">Women’s autonomy in organising work is limited by household norms, heavy workloads, incl. domestic work, and restricted control over labour, resources and final decisions. These affect their autonomy in performing management of their own cocoa plot. </t>
  </si>
  <si>
    <t>Women’s control over income is mixed and generally weaker than men’s: discussions may be joint, but final authority often remains male.</t>
  </si>
  <si>
    <t>Women can earn income from their own plots and petty trade, but independent control over that income is often partial and mediated by household norms.</t>
  </si>
  <si>
    <t>Women participate in some asset-related decisions, but sale, transfer and major resource decisions remain largely male-dominated.</t>
  </si>
  <si>
    <t>Women do participate in cooperatives and groups, and quotas support their membership, although participation is stronger than leadership.</t>
  </si>
  <si>
    <t>omen are underrepresented in leadership: only a few chairwomen were found, even where minimum board quotas exist.</t>
  </si>
  <si>
    <t>Women’s influence over services, territorial power and policy decisions remains limited by education gaps, social norms and weak representation in leadership.</t>
  </si>
  <si>
    <t>Women do speak in public in some group settings, but broader public voice remains constrained by social norms and unequal power relations.</t>
  </si>
  <si>
    <t>Overall workloads are not equal: women combine cocoa work with domestic and care responsibilities, resulting in heavier total labour burdens.</t>
  </si>
  <si>
    <t>Risks of strenuous work for women are not minimised; women perform intensive field and post-harvest tasks and often lack labour-saving tools or resources.</t>
  </si>
  <si>
    <t>Cocoa production can influence farmers' involvement in other (food) crops, as it is time- and labour-intensive. Cocoa money plays a crucial role in bridging food shortage. In general, food security of cocoa producers depends on cash income (from cocoa) and purchases than on own food output.</t>
  </si>
  <si>
    <t>There is no clear evidence that local market food supplies are increasing because of cocoa; households remain vulnerable to broader food-system and price shocks.</t>
  </si>
  <si>
    <t>Cocoa income helps households buy food, especially rice, but this effect is seasonal and often supplemented by loans during the hungry season.</t>
  </si>
  <si>
    <t>Consumer food price pressure remains high overall despite some recent improvement in rice prices; affordability is still fragile for most rural households.</t>
  </si>
  <si>
    <t>Nutritional quality is only partially improving and mainly right after harvest; diets remain heavily centred on rice and basic sauces.</t>
  </si>
  <si>
    <t>There is limited evidence of sustained improvement in nutritional practices; utilisation remains constrained by income seasonality and weak complementary services.</t>
  </si>
  <si>
    <t>Dietary diversity is low and only improves temporarily after harvest; protein-rich foods are consumed only occasionally.</t>
  </si>
  <si>
    <t>Periodic food shortage risk is not reduced enough: households face an average 4.8 months of shortage and depend on seasonal cocoa income and loans.</t>
  </si>
  <si>
    <t>Excessive food price variation remains a major vulnerability driven by macroeconomic and market shocks rather than being effectively reduced.</t>
  </si>
  <si>
    <t>Both formal cooperatives and informal buyer networks participate actively in the CVC, although the system remains fragmented and weakly coordinated.</t>
  </si>
  <si>
    <t>Membership is only partly inclusive: women and youth are present, but structural barriers mean inclusion is often more numerical than substantive.</t>
  </si>
  <si>
    <t>Groups have some formal governance structures, but accountability and transparency are uneven and many members report weak communication from leadership.</t>
  </si>
  <si>
    <t>Farmer groups have limited negotiating power in input and output markets; prices are still largely set by exporters, agents and broader market conditions.</t>
  </si>
  <si>
    <t>Access to technical and market information is uneven; training is stronger in project/cooperative settings, but price information remains opaque and gender gaps persist.</t>
  </si>
  <si>
    <t>Trust between actors is functional but limited, especially toward buyers, because of price opacity, weighing concerns and unclear premium distribution.</t>
  </si>
  <si>
    <t>Communities do participate in some livelihood decisions through meetings and project structures, but participation is often formal and less inclusive for women and youth.</t>
  </si>
  <si>
    <t>Some traditional knowledge is used in cocoa production and climate-smart approaches, but formal recognition and systematic integration remain limited.</t>
  </si>
  <si>
    <t>Participation in communal and mutual-support activities is relatively strong, especially through labour sharing, VSLAs and group farming in organised communities.</t>
  </si>
  <si>
    <t>Households generally have some physical access to health facilities, but rural distance, weak infrastructure and transport barriers make access difficult.</t>
  </si>
  <si>
    <t>Access to actual health services is constrained by staff shortages, medicine stock-outs, weak facilities and uneven service quality in rural areas.</t>
  </si>
  <si>
    <t>Health services are financially burdensome for many households, which often use scarce cocoa income to pay for care.</t>
  </si>
  <si>
    <t>Access to good-quality housing is mixed and limited; housing is one of major uses of cocoa income, showing needs are significant and only gradually addressed.</t>
  </si>
  <si>
    <t>Access to good-quality water and sanitation is poor, especially in rural areas, and remains a clear development gap.</t>
  </si>
  <si>
    <t>Primary education is generally available and valued, but access is still financially constrained by school-related costs.</t>
  </si>
  <si>
    <t>Secondary and vocational education are less accessible than primary education, with weak rural pathways and limited cocoa-relevant skills options.</t>
  </si>
  <si>
    <t>In-service vocational training exists mainly through projects, certification and extension, but coverage and long-term quality remain uneven.</t>
  </si>
  <si>
    <t>Poor roads and scarce transport strongly constrain access to markets and services, especially during the rainy season.</t>
  </si>
  <si>
    <t>Mobility constraints reinforce inequalities and weaken resilience, undermining the overall social sustainability of cocoa-producing households.</t>
  </si>
  <si>
    <t>6.4.1  To what extent do road conditions and transport availability enhance household access to essential services and markets, particularly during the rainy season?</t>
  </si>
  <si>
    <t>6.4.2 To what extent does mobility reduce farmers’ dependence, strengthen their bargaining power, market choice, and use of services?</t>
  </si>
  <si>
    <t>Mobility is limited and costly, thereby increasing dependence on local agents and reducing bargaining power, market choice, and service use.</t>
  </si>
  <si>
    <t>6.4.3 To what extent does improved mobility contribute to greater equality, resilience, and overall social sustainability among cocoa-producing households?</t>
  </si>
  <si>
    <t>09 / 04 / 20 26</t>
  </si>
  <si>
    <t xml:space="preserve">Strengthen decentralised labour inspection systems; promote formalisation through cooperatives and certification schemes; introduce simplified, low-literacy contract models; build awareness among farmers and workers about labour rights; integrate labour compliance into value chain governance mechanisms </t>
  </si>
  <si>
    <t xml:space="preserve">Risk: Labour rights are weakly enforced due to the dominance of informal, smallholder-based production systems, where employment relationships are not formalised and largely escape regulatory oversight 
Consequences: The absence of written contracts and formal employment arrangements results in labour standards that are legally established but not effectively implemented in practice. Workers and farmers are exposed to uncertain working conditions, a lack of protection against unfair treatment, and no access to formal grievance mechanisms. Informality also limits traceability and compliance monitoring, particularly in upstream segments of the value chain, creating uneven application of labour standards between exporters and smallholders </t>
  </si>
  <si>
    <t xml:space="preserve">Risk: Child labour persists as part of household labour strategies, particularly during peak cocoa periods and in response to labour shortages and financial constraints
Consequences: Children’s involvement in cocoa production, although often framed as “light work”, can reduce time available for schooling, negatively affect learning outcomes, and expose them to physically demanding or hazardous tasks without protective equipment. This reinforces intergenerational poverty cycles and poses compliance risks for international markets. While awareness has improved and school attendance increased, child labour remains embedded as a coping mechanism under conditions of poverty and labour scarcity </t>
  </si>
  <si>
    <t xml:space="preserve">Strengthen and scale Child Labour Monitoring and Remediation Systems (CLMRS); expand school support programmes (fees, feeding, materials); increase household income stability to reduce reliance on child labour; reinforce community awareness and bylaws; integrate child protection into cooperative governance systems </t>
  </si>
  <si>
    <t xml:space="preserve">Risk: Cocoa farming involves hazardous manual labour with limited access to protective equipment, safety training, and occupational health services 
Consequences: Farmers and labourers are exposed to frequent injuries and long-term health risks from repetitive physical labour and unsafe working conditions. The lack of PPE and limited access to healthcare exacerbate these risks. Injuries reduce productivity and income, while also increasing vulnerability due to the absence of social protection systems </t>
  </si>
  <si>
    <t xml:space="preserve">Promote widespread access to PPE through cooperatives and projects; integrate occupational safety into extension services; provide training on safe agricultural practices; include safety compliance in certification standards; improve access to rural healthcare services </t>
  </si>
  <si>
    <t xml:space="preserve">Risk: Cocoa farming is perceived as economically unattractive due to low profitability, high labour intensity, and delayed returns 
Consequences: Young people are discouraged from entering the sector, preferring alternative livelihoods such as mining or urban employment. This contributes to an ageing farmer population, labour shortages, and reduced innovation. The long-term sustainability of the cocoa sector is at risk if generational renewal does not occur </t>
  </si>
  <si>
    <t xml:space="preserve">Improve income levels through productivity gains and price improvements; promote youth-targeted programmes and entrepreneurship opportunities; develop vocational training linked to cocoa; introduce mechanisation and digital tools to reduce labour burden </t>
  </si>
  <si>
    <t xml:space="preserve">Risk: Land governance remains largely customary and informal, with limited formalisation despite alignment of national laws with VGGT principles 
Consequences: While tenure security is perceived as high, the lack of formal documentation reduces transparency, accountability, and legal certainty. This creates risks of exclusion, particularly for women and vulnerable groups, and complicates land-related investments and due diligence processes </t>
  </si>
  <si>
    <t xml:space="preserve">Strengthen land registration and documentation systems; improve awareness of land rights laws; support mapping and traceability initiatives; align customary practices with formal legal frameworks </t>
  </si>
  <si>
    <t xml:space="preserve">Risk: Participation in land governance and decision-making processes is uneven and often excludes women and youth 
Consequences: Limited awareness of legal rights and processes reduces meaningful participation, while decision-making may be dominated by traditional authorities or local elites. This can lead to inequitable outcomes and reduced legitimacy of land governance systems </t>
  </si>
  <si>
    <t xml:space="preserve">Promote inclusive consultation processes; strengthen community awareness of rights; ensure representation of women and youth in decision-making; improve transparency in land allocation and governance </t>
  </si>
  <si>
    <t>Risk: Land governance is largely customary and weakly formalised, with gender inequality, limited documentation, and weak implementation of compensation and grievance systems
Consequences: Access to land is not fully equitable, especially for women, limiting investment and benefits. Compensation and livelihood restoration are not consistently implemented, and grievance mechanisms are mainly informal, reducing transparency and trust</t>
  </si>
  <si>
    <t>Strengthen land rights implementation and documentation; ensure inclusive and transparent compensation procedures; establish accessible grievance mechanisms; support structured livelihood diversification</t>
  </si>
  <si>
    <t xml:space="preserve">Risk: Women are concentrated in labour-intensive, low-value segments of the value chain 
Consequences: Despite high participation in production, women have limited access to higher-value roles such as trading or price negotiation. This reduces income opportunities and limits their economic empowerment </t>
  </si>
  <si>
    <t xml:space="preserve">Promote women’s entry into higher-value activities; provide targeted training and business support; improve access to markets and finance </t>
  </si>
  <si>
    <t xml:space="preserve">Risk: Women face structural barriers in accessing land, finance, extension services, and information 
Consequences: Limited access reduces productivity and adoption of improved practices, constrains income generation, and reinforces gender inequality </t>
  </si>
  <si>
    <t xml:space="preserve">Expand financial inclusion initiatives; provide gender-sensitive extension services; improve access to inputs and credit </t>
  </si>
  <si>
    <t xml:space="preserve">Risk: Women participate in decision-making processes but lack control over final outcomes 
Consequences: This creates a gap between participation and empowerment, where women contribute labour and input but do not control income or resource allocation, reducing household efficiency and equity </t>
  </si>
  <si>
    <t xml:space="preserve">Promote joint decision-making frameworks; empower women through training and awareness; address intra-household power dynamics </t>
  </si>
  <si>
    <t xml:space="preserve">Risk: Women are underrepresented in leadership positions within cooperatives and community structures 
Consequences: Women’s interests are insufficiently represented in decision-making, limiting inclusive governance and reducing the effectiveness of interventions </t>
  </si>
  <si>
    <t xml:space="preserve">Enforce leadership quotas; provide leadership training; strengthen women’s participation in governance </t>
  </si>
  <si>
    <t xml:space="preserve">Risk: Unequal division of labour results in disproportionate workloads for women 
Consequences: Women combine productive and domestic responsibilities, leading to time poverty, reduced well-being, and limited participation in economic and social activities </t>
  </si>
  <si>
    <t xml:space="preserve">Promote labour-saving technologies; support redistribution of household tasks; provide targeted support to women farmers </t>
  </si>
  <si>
    <t xml:space="preserve">Risk: Limited own food production and reliance on purchased food 
Consequences: Food availability depends on cocoa income, making households vulnerable to market shocks and income fluctuations </t>
  </si>
  <si>
    <t xml:space="preserve">Promote food crop production and diversification; support agroforestry systems </t>
  </si>
  <si>
    <t xml:space="preserve">Risk: Economic and seasonal constraints limit access to food 
Consequences: Households face food shortages for several months annually and rely on loans to meet basic needs </t>
  </si>
  <si>
    <t xml:space="preserve">Improve income stability; expand access to credit; strengthen social safety nets </t>
  </si>
  <si>
    <t xml:space="preserve">Risk: Diets lack diversity and nutritional balance 
Consequences: Heavy reliance on staple foods leads to poor nutrition outcomes and health risks </t>
  </si>
  <si>
    <t xml:space="preserve">Promote nutrition education; improve access to diverse foods; integrate nutrition into programmes </t>
  </si>
  <si>
    <t xml:space="preserve">Risk: Seasonal fluctuations in food security 
Consequences: Consumption improves post-harvest but deteriorates during lean periods, leading to unstable nutrition </t>
  </si>
  <si>
    <t xml:space="preserve">Improve storage; promote income smoothing; enhance resilience strategies </t>
  </si>
  <si>
    <t xml:space="preserve">Risk: Cooperatives lack capacity and coordination; the legal and national governance environment for cooperative strengthening is rather unfavourable
Consequences: Limited influence on markets; weak service provision; dependence on external actors </t>
  </si>
  <si>
    <t>Strengthen governance and financial capacity; support coordination and scaling; strengthen legal and national governance capacities</t>
  </si>
  <si>
    <t xml:space="preserve">Risk: Limited access to reliable market information 
Consequences: Farmers cannot negotiate prices effectively; trust in value chain actors remains low </t>
  </si>
  <si>
    <t xml:space="preserve">Improve information systems; strengthen extension; enhance transparency </t>
  </si>
  <si>
    <t xml:space="preserve">Risk: Unequal and limited participation in community processes 
Consequences: Marginalisation of women and youth; reduced effectiveness of collective action </t>
  </si>
  <si>
    <t xml:space="preserve">Promote inclusive participation; strengthen community engagement structures </t>
  </si>
  <si>
    <t xml:space="preserve">Risk: Limited access to quality healthcare 
Consequences: Poor health outcomes; high costs; reduced productivity </t>
  </si>
  <si>
    <t xml:space="preserve">Improve rural health systems in rural areas; reduce financial barriers </t>
  </si>
  <si>
    <t xml:space="preserve">Risk: Poor housing conditions 
Consequences: Low living standards; slow improvement due to income constraints </t>
  </si>
  <si>
    <t xml:space="preserve">Support income growth; improve access to housing finance </t>
  </si>
  <si>
    <t xml:space="preserve">Risk: Low literacy and limited training access 
Consequences: Reduced productivity; limited adoption of innovations; weak market engagement </t>
  </si>
  <si>
    <t>Improve education access; expand vocational training and informal training</t>
  </si>
  <si>
    <t xml:space="preserve">Risk: Poor infrastructure and transport constraints 
Consequences: Limited access to services and markets; higher costs; higher dependency on agents and hence, lower bargaining power over cocoa price; reduced welfare </t>
  </si>
  <si>
    <t>Invest in roads; improve transport systems; decentralise services; strengthen the role of cooperatives as aggregators with fair prices and share costs on cocoa transport</t>
  </si>
  <si>
    <t xml:space="preserve">Prioritise a combined approach that improves producer income, reduces seasonal food and debt vulnerability, and strengthens rural services and governance. At the macro level, focus on sector coordination, price transparency, enabling environment for cooperative strengthening, infrastructure, and the implementation of land/labour laws. At the micro level, address low farm-gate prices, weak bargaining power, unsafe work, gender inequality, and limited access to services through stronger cooperatives, fairer market arrangements, livelihood diversification, and targeted support to women and youth. </t>
  </si>
  <si>
    <t>At the sector level, invest in feeder roads, extension, and rural services, and establish transparent grievance and compensation systems while better integrating customary and formal governance. At the CVC level, strengthen cooperatives, improve price transparency, and expand fair access to credit (VSLAs), alongside improving occupational safety and child labour monitoring. At the household level, promote food crop diversification and livelihood resilience, and enhance women’s access to land, finance, and leadership while supporting youth engagement.</t>
  </si>
  <si>
    <t>The CVC is characterised by high informality, low and unstable incomes, and weak market transparency. Households face seasonal food shortages (≈4.8 months gap), reduced meal frequency, rely on debt, and have limited resilience. Gender inequality persists in land, income control, and workload, while child labour and unsafe working conditions remain coping strategies. Cooperatives are present but weak, and poor infrastructure and services (health, education, mobility) constrain overall living conditions.</t>
  </si>
  <si>
    <t xml:space="preserve">Without intervention, the sector will remain low-income, informal, and vulnerable, with persistent food insecurity, debt dependence, gender inequality, and child labour risks. Weak competitiveness and limited compliance with international standards will persist, or further deteriorate, as in the case of meeting the organic standards. Interventions can improve income stability, strengthen cooperatives, provide better services, and enhance inclusion, thereby increasing productivity, resilience, food security, and the long-term. sustainability of households and the CVC itself. </t>
  </si>
  <si>
    <t>Primary data: VCA4D fieldwork (27 KIIs; 11 FGDs, n=133; farmer/mini-survey data, 2025–2026). Literature: Government of Sierra Leone. (2023). Employment Act, 2023. https://sierralii.gov.sl/akn/sl/act/2023/15/eng@2023-05-11
Ministry of Employment, Labour and Social Security. (2023). The Sierra Leone Decent Work Country Programme 2023–2027. https://www.ilo.org/resource/other/decent-work-country-programme-sierra-leone-sl-dwcp-ii-2023-2027
Office of the United Nations High Commissioner for Human Rights. (n.d.). Ratification status for Sierra Leone. https://indicators.ohchr.org/
International Labour Organization. (n.d.). Ratifications for Sierra Leone. NORMLEX. https://www.ilo.org/dyn/normlex/en/f?p=1000:11200:0::NO:11200:P11200_COUNTRY_ID:103269
Ministry of Agriculture and Food Security. (2024). National Cocoa Policy: Towards a Transformative Cocoa Industry. Government of Sierra Leone.
World Bank. (2023). Sierra Leone: Pathways to a transformation of the agri-food sector. https://documents.worldbank.org/pt/publication/documents-reports/docu</t>
  </si>
  <si>
    <t>Primary data: FGDs, mini-survey and cooperative interviews, VCA4D fieldwork (2025–2026).
Literature:Government of Sierra Leone. (2019). National Cocoa Value Chain Policy. Ministry of Agriculture. https://faolex.fao.org/docs/pdf/sie216571.pdf
Ministry of Agriculture and Food Security. (2024). National Cocoa Policy: Towards a Transformative Cocoa Industry. Government of Sierra Leone.
Ministry of Employment, Labour and Social Security. (2023). The Sierra Leone Decent Work Country Programme 2023–2027. https://www.ilo.org/resource/other/decent-work-country-programme-sierra-leone-sl-dwcp-ii-2023-2027</t>
  </si>
  <si>
    <t>Primary data: KIIs with exporters, cooperatives, agents and farmers, VCA4D fieldwork (2025–2026).
Literature:
Government of Sierra Leone. (2023). Employment Act, 2023. https://sierralii.gov.sl/akn/sl/act/2023/15/eng@2023-05-11
Ministry of Agriculture and Food Security. (2024). National Cocoa Policy: Towards a Transformative Cocoa Industry. Government of Sierra Leone.
World Bank. (2023). Sierra Leone: Pathways to a transformation of the agri-food sector. https://documents.worldbank.org/pt/publication/documents-reports/documentdetail/099444004282527285</t>
  </si>
  <si>
    <t>Primary data: farmer FGDs and aggregated farmer data (n=165), VCA4D fieldwork (2025–2026).
Literature:
Government of Sierra Leone. (2023). Employment Act, 2023. https://sierralii.gov.sl/akn/sl/act/2023/15/eng@2023-05-11
Ministry of Agriculture and Food Security. (2024). National Cocoa Policy: Towards a Transformative Cocoa Industry. Government of Sierra Leone.
U.S. Department of Labor. (2024). Findings on the worst forms of child labor: Sierra Leone. https://www.dol.gov/sites/dolgov/files/ILAB/child_labor_reports/tda2024/Sierra-Leone.pdf</t>
  </si>
  <si>
    <t>Primary data: farmer data and FGDs (n=149 for gendered resource/control indicators), VCA4D fieldwork (2025–2026).
Literature:
Government of Sierra Leone. (2022a). Customary Land Rights Act, 2022. https://sierralii.gov.sl/akn/sl/act/2022/20/eng@2022-09-23
Government of Sierra Leone. (2022b). Gender Equality and Women’s Empowerment Act, 2022. https://www.policyvault.africa/policy/the-gender-equality-and-womens-empowerment-act-2022/
Statistics Sierra Leone &amp; Ministry of Agriculture and Food Security. (2024). Sierra Leone 2024 women’s empowerment and nutrition survey report. https://www.statistics.sl/images/StatisticsSL/Documents/Womens_Empowerment_Nutrition_Survey_Report_2024.pdf
Osorio, M., Laven, A., Morahan, R., Gallina, A., Jaskiewicz, K., &amp; Oonk, L. (2019). Changing the terms of women’s engagement in cocoa and coffee supply chains. FAO, KIT and Twin.</t>
  </si>
  <si>
    <t>Primary data: FGDs and KIIs with farmers, cooperatives and NGOs, VCA4D fieldwork (2025–2026).
Literature: U.S. Department of Labor. (2024). Findings on the worst forms of child labor: Sierra Leone. https://www.dol.gov/sites/dolgov/files/ILAB/child_labor_reports/tda2024/Sierra-Leone.pdf
Pirkle, L., Zimmerman, C., Sadhu, S., Kysia, K., &amp; Ranganathan, M. (2024). Child labour in cocoa growing regions of Ghana and Côte d’Ivoire: An analysis of academic attainment in children engaged in hazardous labour. Global Public Health, 19(1). https://doi.org/10.1080/17441692.2024.2320860
Mboma, J. C. A., Vonu, O. S., &amp; Bockarie, V. M. (2022). Assessment of child labour and its related dangers and hazards on children in cocoa producing communities in Malema Chiefdom, Eastern Sierra Leone. International Journal of Innovation Scientific Research and Review.https://journalijisr.com/issue/assessment-child-labour-and-its-related-dangers-and-hazards-children-cocoa-producing</t>
  </si>
  <si>
    <t>Primary data: FGDs and KIIs with farmers, cooperatives and NGOs, VCA4D fieldwork (2025–2026).
Literature:
U.S. Department of Labor. (2024). Findings on the worst forms of child labor: Sierra Leone. https://www.dol.gov/sites/dolgov/files/ILAB/child_labor_reports/tda2024/Sierra-Leone.pdf
Pirkle, L., Zimmerman, C., Sadhu, S., Kysia, K., &amp; Ranganathan, M. (2024). Child labour in cocoa growing regions of Ghana and Côte d’Ivoire: An analysis of academic attainment in children engaged in hazardous labour. Global Public Health, 19(1). https://doi.org/10.1080/17441692.2024.2320860
Mboma, J. C. A., Vonu, O. S., &amp; Bockarie, V. M. (2022). Assessment of child labour and its related dangers and hazards on children in cocoa producing communities in Malema Chiefdom, Eastern Sierra Leone. International Journal of Innovation Scientific Research and Review. https://journalijisr.com/issue/assessment-child-labour-and-its-related-dangers-and-hazards-children-cocoa-producing</t>
  </si>
  <si>
    <t>Primary data: mini-survey/aggregated farmers (n=86; women 65, men 21) and field observation of PPE/injuries, VCA4D fieldwork (2025–2026).
Literature:
Government of Sierra Leone. (2023). Employment Act, 2023. https://sierralii.gov.sl/akn/sl/act/2023/15/eng@2023-05-11
Ministry of Agriculture and Food Security. (2024). National Cocoa Policy: Towards a Transformative Cocoa Industry. Government of Sierra Leone.</t>
  </si>
  <si>
    <t>Primary data: farmer mini-survey, FGDs and wage interviews with exporters/labourers, VCA4D fieldwork (2025–2026).
Literature:
Diallo, O., Habraken, R., &amp; Smits, E. (2025). Living Income Benchmark for the Eastern Province and Living Income Reference Price for the cocoa sector in Sierra Leone (2024). KIT Institute.
Ministry of Employment, Labour and Social Security. (2023). The Sierra Leone Decent Work Country Programme 2023–2027. https://www.ilo.org/resource/other/decent-work-country-programme-sierra-leone-sl-dwcp-ii-2023-2027
Ministry of Agriculture and Food Security. (2024). National Cocoa Policy: Towards a Transformative Cocoa Industry. Government of Sierra Leone.</t>
  </si>
  <si>
    <t>Primary data: FGDs/KIIs on youth perceptions and alternative livelihoods, VCA4D fieldwork (2025–2026).
Literature:
Ministry of Agriculture and Food Security. (2024). National Cocoa Policy: Towards a Transformative Cocoa Industry. Government of Sierra Leone.
World Bank. (2023). Sierra Leone: Pathways to a transformation of the agri-food sector. https://documents.worldbank.org/pt/publication/documents-reports/documentdetail/099444004282527285</t>
  </si>
  <si>
    <t>Primary data: KIIs with government, cooperatives and exporters, VCA4D fieldwork (2025–2026).
Literature:
Government of Sierra Leone. (2022a). Customary Land Rights Act, 2022. https://sierralii.gov.sl/akn/sl/act/2022/20/eng@2022-09-23
Statistics Sierra Leone &amp; Ministry of Agriculture and Food Security. (2024). Sierra Leone 2024 women’s empowerment and nutrition survey report. https://www.statistics.sl/images/StatisticsSL/Documents/Womens_Empowerment_Nutrition_Survey_Report_2024.pdf
World Bank. (2024a). Sierra Leone agricultural sector risk assessment. World Bank. https://documents1.worldbank.org/curated/en/099056204242594495/pdf/IDU-22b98c27-246b-4502-ab9f-d91afa3ced82.pdf</t>
  </si>
  <si>
    <t>Primary data: no cocoa-sector large-scale land acquisition case identified during VCA4D fieldwork (2025–2026).
Literature:
Government of Sierra Leone. (2022a). Customary Land Rights Act, 2022. https://sierralii.gov.sl/akn/sl/act/2022/20/eng@2022-09-23
Business &amp; Human Rights Resource Centre. (2020). Socfin lawsuits (re defamation by Green Scenery, Sierra Leone). https://www.business-humanrights.org/en/latest-news/socfin-lawsuits-re-defamation-by-green-scenery-sierra-leone/
Land for Life. (2023). Land governance and agricultural investment in Sierra Leone: Country assessment report. https://landforlife.org.sl/wp-content/uploads/2023/02/SLE_LfL_Country-Assessment-Report.pdf</t>
  </si>
  <si>
    <t>Primary data: farmer FGDs and institutional KIIs on local awareness/consultation, VCA4D fieldwork (2025–2026).
Literature:
Government of Sierra Leone. (2022a). Customary Land Rights Act, 2022. https://sierralii.gov.sl/akn/sl/act/2022/20/eng@2022-09-23
Statistics Sierra Leone &amp; Ministry of Agriculture and Food Security. (2024). Sierra Leone 2024 women’s empowerment and nutrition survey report. https://www.statistics.sl/images/StatisticsSL/Documents/Womens_Empowerment_Nutrition_Survey_Report_2024.pdf
World Bank. (2024a). Sierra Leone agricultural sector risk assessment. World Bank. https://documents1.worldbank.org/curated/en/099056204242594495/pdf/IDU-22b98c27-246b-4502-ab9f-d91afa3ced82.pdf</t>
  </si>
  <si>
    <t>Primary data: FGDs/KIIs on awareness and accessibility of policies/procedures, VCA4D fieldwork (2025–2026).
Literature:
Government of Sierra Leone. (2022a). Customary Land Rights Act, 2022. https://sierralii.gov.sl/akn/sl/act/2022/20/eng@2022-09-23
Statistics Sierra Leone &amp; Ministry of Agriculture and Food Security. (2024). Sierra Leone 2024 women’s empowerment and nutrition survey report. https://www.statistics.sl/images/StatisticsSL/Documents/Womens_Empowerment_Nutrition_Survey_Report_2024.pdf
World Bank. (2024a). Sierra Leone agricultural sector risk assessment. World Bank. https://documents1.worldbank.org/curated/en/099056204242594495/pdf/IDU-22b98c27-246b-4502-ab9f-d91afa3ced82.pdf</t>
  </si>
  <si>
    <t>Primary data: FGDs/mini-survey and cooperative interviews on women/youth participation, VCA4D fieldwork (2025–2026).
Literature:
Government of Sierra Leone. (2022a). Customary Land Rights Act, 2022. https://sierralii.gov.sl/akn/sl/act/2022/20/eng@2022-09-23
Government of Sierra Leone. (2022b). Gender Equality and Women’s Empowerment Act, 2022. https://www.policyvault.africa/policy/the-gender-equality-and-womens-empowerment-act-2022/
Statistics Sierra Leone &amp; Ministry of Agriculture and Food Security. (2024). Sierra Leone 2024 women’s empowerment and nutrition survey report. https://www.statistics.sl/images/StatisticsSL/Documents/Womens_Empowerment_Nutrition_Survey_Report_2024.pdf</t>
  </si>
  <si>
    <t>Primary data: KIIs/FGDs on consent and customary governance, VCA4D fieldwork (2025–2026).
Literature:
Government of Sierra Leone. (2022a). Customary Land Rights Act, 2022. https://sierralii.gov.sl/akn/sl/act/2022/20/eng@2022-09-23
Guyot, L. (2023, June 2). Sierra Leone enacts land laws that allow communities to protect their lands and empower women. Pathfinders / SDG16.plus. https://www.sdg16.plus/policies/sierra-leone-enacts-land-laws-that-allow-communities-to-protect-their-lands-and-empower-women
World Bank. (2024a). Sierra Leone agricultural sector risk assessment. World Bank. https://documents1.worldbank.org/curated/en/099056204242594495/pdf/IDU-22b98c27-246b-4502-ab9f-d91afa3ced82.pdf</t>
  </si>
  <si>
    <t>Primary data: farmer data (n=165; 94% high tenure security; 97% no formal title), VCA4D fieldwork (2025–2026).
Literature:
Government of Sierra Leone. (2022a). Customary Land Rights Act, 2022. https://sierralii.gov.sl/akn/sl/act/2022/20/eng@2022-09-23
Statistics Sierra Leone &amp; Ministry of Agriculture and Food Security. (2024). Sierra Leone 2024 women’s empowerment and nutrition survey report. https://www.statistics.sl/images/StatisticsSL/Documents/Womens_Empowerment_Nutrition_Survey_Report_2024.pdf
World Bank. (2024a). Sierra Leone agricultural sector risk assessment. World Bank. https://documents1.worldbank.org/curated/en/099056204242594495/pdf/IDU-22b98c27-246b-4502-ab9f-d91afa3ced82.pdf</t>
  </si>
  <si>
    <t>Primary data: FGDs on livelihood diversification (rice, cassava, oil palm, vegetables, petty trade), VCA4D fieldwork (2025–2026).
Literature:
Ministry of Agriculture and Food Security. (2024). National Cocoa Policy: Towards a Transformative Cocoa Industry. Government of Sierra Leone.
World Bank. (2024a). Sierra Leone agricultural sector risk assessment. World Bank. https://documents1.worldbank.org/curated/en/099056204242594495/pdf/IDU-22b98c27-246b-4502-ab9f-d91afa3ced82.pdf</t>
  </si>
  <si>
    <t>Primary data: KIIs/FGDs; no active cocoa expropriation case assessed in fieldwork.
Literature:
Government of Sierra Leone. (2022a). Customary Land Rights Act, 2022. https://sierralii.gov.sl/akn/sl/act/2022/20/eng@2022-09-23
Business &amp; Human Rights Resource Centre. (2020). Socfin lawsuits (re defamation by Green Scenery, Sierra Leone). https://www.business-humanrights.org/en/latest-news/socfin-lawsuits-re-defamation-by-green-scenery-sierra-leone/
Land for Life. (2023). Land governance and agricultural investment in Sierra Leone: Country assessment report. https://landforlife.org.sl/wp-content/uploads/2023/02/SLE_LfL_Country-Assessment-Report.pdf</t>
  </si>
  <si>
    <t>Primary data: FGDs/KIIs on chief-led dispute resolution and cooperative channels, VCA4D fieldwork (2025–2026).
Literature:
Government of Sierra Leone. (2022a). Customary Land Rights Act, 2022. https://sierralii.gov.sl/akn/sl/act/2022/20/eng@2022-09-23
Land for Life. (2023). Land governance and agricultural investment in Sierra Leone: Country assessment report. https://landforlife.org.sl/wp-content/uploads/2023/02/SLE_LfL_Country-Assessment-Report.pdf
World Bank. (2024a). Sierra Leone agricultural sector risk assessment. World Bank. https://documents1.worldbank.org/curated/en/099056204242594495/pdf/IDU-22b98c27-246b-4502-ab9f-d91afa3ced82.pdf</t>
  </si>
  <si>
    <t>Primary data: FGDs/mini-survey on roles by value-chain segment, VCA4D fieldwork (2025–2026).
Literature:
Ministry of Agriculture and Food Security. (2024). National Cocoa Policy: Towards a Transformative Cocoa Industry. Government of Sierra Leone.
Osorio, M., Laven, A., Morahan, R., Gallina, A., Jaskiewicz, K., &amp; Oonk, L. (2019). Changing the terms of women’s engagement in cocoa and coffee supply chains. FAO, KIT and Twin.
Statistics Sierra Leone &amp; Ministry of Agriculture and Food Security. (2024). Sierra Leone 2024 women’s empowerment and nutrition survey report. https://www.statistics.sl/images/StatisticsSL/Documents/Womens_Empowerment_Nutrition_Survey_Report_2024.pdf</t>
  </si>
  <si>
    <t>Primary data: FGDs and farmer data on women’s roles in production and post-harvest work, VCA4D fieldwork (2025–2026).
Literature:
Ministry of Agriculture and Food Security. (2024). National Cocoa Policy: Towards a Transformative Cocoa Industry. Government of Sierra Leone.
Osorio, M., Laven, A., Morahan, R., Gallina, A., Jaskiewicz, K., &amp; Oonk, L. (2019). Changing the terms of women’s engagement in cocoa and coffee supply chains. FAO, KIT and Twin.
Statistics Sierra Leone &amp; Ministry of Agriculture and Food Security. (2024). Sierra Leone 2024 women’s empowerment and nutrition survey report. https://www.statistics.sl/images/StatisticsSL/Documents/Womens_Empowerment_Nutrition_Survey_Report_2024.pdf</t>
  </si>
  <si>
    <t>Primary data: farmer data on farm sizes/resources and FGDs (n=149 for gender indicators), VCA4D fieldwork (2025–2026).
Literature:
Government of Sierra Leone. (2022b). Gender Equality and Women’s Empowerment Act, 2022. https://www.policyvault.africa/policy/the-gender-equality-and-womens-empowerment-act-2022/
Osorio, M., Laven, A., Morahan, R., Gallina, A., Jaskiewicz, K., &amp; Oonk, L. (2019). Changing the terms of women’s engagement in cocoa and coffee supply chains. FAO, KIT and Twin.
Statistics Sierra Leone &amp; Ministry of Agriculture and Food Security. (2024). Sierra Leone 2024 women’s empowerment and nutrition survey report. https://www.statistics.sl/images/StatisticsSL/Documents/Womens_Empowerment_Nutrition_Survey_Report_2024.pdf</t>
  </si>
  <si>
    <t>Primary data: farmer data (women’s average farm size 6.0 acres vs men 9.7 acres; n=165), VCA4D fieldwork.
Literature:
Government of Sierra Leone. (2022a). Customary Land Rights Act, 2022. https://sierralii.gov.sl/akn/sl/act/2022/20/eng@2022-09-23
Statistics Sierra Leone &amp; Ministry of Agriculture and Food Security. (2024). Sierra Leone 2024 women’s empowerment and nutrition survey report. https://www.statistics.sl/images/StatisticsSL/Documents/Womens_Empowerment_Nutrition_Survey_Report_2024.pdf</t>
  </si>
  <si>
    <t>Primary data: FGDs/mini-survey on VSLAs, informal credit and loan use, VCA4D fieldwork (2025–2026).
Literature: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Makieu, P., Kanu, M. S., Koroma, I., &amp; Sheriff, A. (2025). Assessing the challenges faced by cocoa farmers in accessing credit from community banks in Kailahun District. Biosys Journal Biotechnology &amp; Bioengineering, 1(2).
Statistics Sierra Leone &amp; Ministry of Agriculture and Food Security. (2024). Sierra Leone 2024 women’s empowerment and nutrition survey report. https://www.statistics.sl/images/StatisticsSL/Documents/Womens_Empowerment_Nutrition_Survey_Report_2024.pdf</t>
  </si>
  <si>
    <t>Primary data: FGDs/KIIs on extension, inputs and training access, VCA4D fieldwork (2025–2026).
Literature:
Fairtrade International. (2024). West Africa cocoa programme monitoring report (4th ed.). https://www.fairtrade.net/content/dam/fairtrade/fairtrade-international/library/2024/fairtrade-west-africa-cocoa-programme-monitoring-report,-fourth-edition/Fairtrade-WACP-MR-4th-Ed-2024-EN.pdf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Ministry of Agriculture and Food Security. (2024). National Cocoa Policy: Towards a Transformative Cocoa Industry. Government of Sierra Leone.
Osorio, M., Laven, A., Morahan, R., Gallina, A., Jaskiewicz, K., &amp; Oonk, L. (2019). Changing the terms of women’s engagement in cocoa and coffee supply chains. FAO, KIT and Twin.https://www.kit.nl/wp-content/uploads/2019/11/Changing-the-terms-of-women%E2%80%99s-engagement-in-cocoa-and-coffee-supply-chains.pdf</t>
  </si>
  <si>
    <t>Primary data: farmer data (decision-making score: women 0.92, men 0.94; n=86) and FGDs, VCA4D fieldwork.
Literature:
Osorio, M., Laven, A., Morahan, R., Gallina, A., Jaskiewicz, K., &amp; Oonk, L. (2019). Changing the terms of women’s engagement in cocoa and coffee supply chains. FAO, KIT and Twin.https://www.kit.nl/wp-content/uploads/2019/11/Changing-the-terms-of-women%E2%80%99s-engagement-in-cocoa-and-coffee-supply-chains.pdf
Statistics Sierra Leone &amp; Ministry of Agriculture and Food Security. (2024). Sierra Leone 2024 women’s empowerment and nutrition survey report. https://www.statistics.sl/images/StatisticsSL/Documents/Womens_Empowerment_Nutrition_Survey_Report_2024.pdf</t>
  </si>
  <si>
    <t>Primary data: FGDs on household norms, plot management and labour hiring, VCA4D fieldwork (2025–2026).
Literature:
Ministry of Agriculture and Food Security. (2024). National Cocoa Policy: Towards a Transformative Cocoa Industry. Government of Sierra Leone.
Osorio, M., Laven, A., Morahan, R., Gallina, A., Jaskiewicz, K., &amp; Oonk, L. (2019). Changing the terms of women’s engagement in cocoa and coffee supply chains. FAO, KIT and Twin.https://www.kit.nl/wp-content/uploads/2019/11/Changing-the-terms-of-women%E2%80%99s-engagement-in-cocoa-and-coffee-supply-chains.pdf</t>
  </si>
  <si>
    <t>Primary data: farmer data (women’s control score 0.39 vs men’s 0.73; n=86) and FGDs, VCA4D fieldwork.
Literature:
Osorio, M., Laven, A., Morahan, R., Gallina, A., Jaskiewicz, K., &amp; Oonk, L. (2019). Changing the terms of women’s engagement in cocoa and coffee supply chains. FAO, KIT and Twin.https://www.kit.nl/wp-content/uploads/2019/11/Changing-the-terms-of-women%E2%80%99s-engagement-in-cocoa-and-coffee-supply-chains.pdf
Statistics Sierra Leone &amp; Ministry of Agriculture and Food Security. (2024). Sierra Leone 2024 women’s empowerment and nutrition survey report. https://www.statistics.sl/images/StatisticsSL/Documents/Womens_Empowerment_Nutrition_Survey_Report_2024.pdf</t>
  </si>
  <si>
    <t>Primary data: FGDs/mini-survey on women’s plots, petty trade and income control, VCA4D fieldwork (2025–2026).
Literature:
Mokuwa, E. (2024, September 17). Hiding the cocoa: Women farmers anticipating old age. https://africanarguments.org/2024/09/hiding-the-coco-women-farmers-anticipating-old-age/
Osorio, M., Laven, A., Morahan, R., Gallina, A., Jaskiewicz, K., &amp; Oonk, L. (2019). Changing the terms of women’s engagement in cocoa and coffee supply chains. FAO, KIT and Twin. https://www.kit.nl/wp-content/uploads/2019/11/Changing-the-terms-of-women%E2%80%99s-engagement-in-cocoa-and-coffee-supply-chains.pdf
UN Women. (2017, June 5). Sierra Leonean women in agribusiness are critical for inclusive economic growth. https://africa.unwomen.org/en/news-and-events/stories/2017/06/women-in-agribusiness-in-sierra-leone</t>
  </si>
  <si>
    <t>Primary data: FGDs on asset-related decisions, VCA4D fieldwork (2025–2026).
Literature:
Government of Sierra Leone. (2022a). Customary Land Rights Act, 2022. https://sierralii.gov.sl/akn/sl/act/2022/20/eng@2022-09-23
Government of Sierra Leone. (2022b). Gender Equality and Women’s Empowerment Act, 2022. https://www.policyvault.africa/policy/the-gender-equality-and-womens-empowerment-act-2022/
Osorio, M., Laven, A., Morahan, R., Gallina, A., Jaskiewicz, K., &amp; Oonk, L. (2019). Changing the terms of women’s engagement in cocoa and coffee supply chains. FAO, KIT and Twin.https://www.kit.nl/wp-content/uploads/2019/11/Changing-the-terms-of-women%E2%80%99s-engagement-in-cocoa-and-coffee-supply-chains.pdf
Statistics Sierra Leone &amp; Ministry of Agriculture and Food Security. (2024). Sierra Leone 2024 women’s empowerment and nutrition survey report. https://www.statistics.sl/images/StatisticsSL/Documents/Womens_Empowerment_Nutrition_Survey_Report_2024.pdf</t>
  </si>
  <si>
    <t>Primary data: cooperative FGDs/KIIs; ten visited cooperatives apply a minimum 30% female board quota, VCA4D fieldwork.
Literature:
Fairtrade International. (2024). West Africa cocoa programme monitoring report (4th ed.). https://www.fairtrade.net/content/dam/fairtrade/fairtrade-international/library/2024/fairtrade-west-africa-cocoa-programme-monitoring-report,-fourth-edition/Fairtrade-WACP-MR-4th-Ed-2024-EN.pdf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Ministry of Agriculture and Food Security. (2024). National Cocoa Policy: Towards a Transformative Cocoa Industry. Government of Sierra Leone.</t>
  </si>
  <si>
    <t>Primary data: cooperative KIIs (2 chairwomen identified among visited cooperatives), VCA4D fieldwork (2025–2026).
Literature:
Fairtrade International. (2024). West Africa cocoa programme monitoring report (4th ed.). https://www.fairtrade.net/content/dam/fairtrade/fairtrade-international/library/2024/fairtrade-west-africa-cocoa-programme-monitoring-report,-fourth-edition/Fairtrade-WACP-MR-4th-Ed-2024-EN.pdf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Osorio, M., Laven, A., Morahan, R., Gallina, A., Jaskiewicz, K., &amp; Oonk, L. (2019). Changing the terms of women’s engagement in cocoa and coffee supply chains. FAO, KIT and Twin. https://www.kit.nl/wp-content/uploads/2019/11/Changing-the-terms-of-women%E2%80%99s-engagement-in-cocoa-and-coffee-supply-chains.pdf</t>
  </si>
  <si>
    <t>Primary data: FGDs/KIIs on women’s limited influence in services, land and policy spaces, VCA4D fieldwork (2025–2026).
Literature:
Government of Sierra Leone. (2022b). Gender Equality and Women’s Empowerment Act, 2022. https://www.policyvault.africa/policy/the-gender-equality-and-womens-empowerment-act-2022/
Osorio, M., Laven, A., Morahan, R., Gallina, A., Jaskiewicz, K., &amp; Oonk, L. (2019). Changing the terms of women’s engagement in cocoa and coffee supply chains. FAO, KIT and Twin. https://www.kit.nl/wp-content/uploads/2019/11/Changing-the-terms-of-women%E2%80%99s-engagement-in-cocoa-and-coffee-supply-chains.pdf
Statistics Sierra Leone &amp; Ministry of Agriculture and Food Security. (2024). Sierra Leone 2024 women’s empowerment and nutrition survey report. https://www.statistics.sl/images/StatisticsSL/Documents/Womens_Empowerment_Nutrition_Survey_Report_2024.pdf</t>
  </si>
  <si>
    <t>Primary data: FGDs and cooperative meetings on women’s public voice, VCA4D fieldwork (2025–2026).
Literature:
Fairtrade International. (2024). West Africa cocoa programme monitoring report (4th ed.). https://www.fairtrade.net/content/dam/fairtrade/fairtrade-international/library/2024/fairtrade-west-africa-cocoa-programme-monitoring-report,-fourth-edition/Fairtrade-WACP-MR-4th-Ed-2024-EN.pdf
Osorio, M., Laven, A., Morahan, R., Gallina, A., Jaskiewicz, K., &amp; Oonk, L. (2019). Changing the terms of women’s engagement in cocoa and coffee supply chains. FAO, KIT and Twin. https://www.kit.nl/wp-content/uploads/2019/11/Changing-the-terms-of-women%E2%80%99s-engagement-in-cocoa-and-coffee-supply-chains.pdf
UN Women. (2017, June 5). Sierra Leonean women in agribusiness are critical for inclusive economic growth. https://africa.unwomen.org/en/news-and-events/stories/2017/06/women-in-agribusiness-in-sierra-leone</t>
  </si>
  <si>
    <t>Primary data: labour/workload data (n=107; women’s workload index 0.85 incl. domestic work) and FGDs, VCA4D fieldwork.
Literature:
Osorio, M., Laven, A., Morahan, R., Gallina, A., Jaskiewicz, K., &amp; Oonk, L. (2019). Changing the terms of women’s engagement in cocoa and coffee supply chains. FAO, KIT and Twin. https://www.kit.nl/wp-content/uploads/2019/11/Changing-the-terms-of-women%E2%80%99s-engagement-in-cocoa-and-coffee-supply-chains.pdf
Statistics Sierra Leone &amp; Ministry of Agriculture and Food Security. (2024). Sierra Leone 2024 women’s empowerment and nutrition survey report. https://www.statistics.sl/images/StatisticsSL/Documents/Womens_Empowerment_Nutrition_Survey_Report_2024.pdf</t>
  </si>
  <si>
    <t>Primary data: FGDs/mini-survey on labour-intensive tasks and lack of labour-saving support, VCA4D fieldwork (2025–2026).
Literature: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Ministry of Agriculture and Food Security. (2024). National Cocoa Policy: Towards a Transformative Cocoa Industry. Government of Sierra Leone.
Osorio, M., Laven, A., Morahan, R., Gallina, A., Jaskiewicz, K., &amp; Oonk, L. (2019). Changing the terms of women’s engagement in cocoa and coffee supply chains. FAO, KIT and Twin. https://www.kit.nl/wp-content/uploads/2019/11/Changing-the-terms-of-women%E2%80%99s-engagement-in-cocoa-and-coffee-supply-chains.pdf</t>
  </si>
  <si>
    <t>Primary data: FGDs/farmer data on cocoa-food crop balance and seasonal reliance on cocoa income (n=165), VCA4D fieldwork.
Literature: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Ministry of Agriculture and Food Security. (2024). National Cocoa Policy: Towards a Transformative Cocoa Industry. Government of Sierra Leone.
World Food Programme. (2024). Food Security Monitoring System (FSMS) Report: Sierra Leone, February 2024. https://wfp.tind.io/record/129867/files/ELR%202950.pdf</t>
  </si>
  <si>
    <t>Primary data: FGDs/KIIs; no clear evidence of increased local food supply from cocoa expansion, VCA4D fieldwork.
Literature:
Ministry of Agriculture and Food Security. (2024). National Cocoa Policy: Towards a Transformative Cocoa Industry. Government of Sierra Leone.
World Food Programme. (2024). Food Security Monitoring System (FSMS) Report: Sierra Leone, February 2024. https://wfp.tind.io/record/129867/files/ELR%202950.pdf
World Bank. (2024a). Sierra Leone agricultural sector risk assessment. World Bank. https://documents1.worldbank.org/curated/en/099056204242594495/pdf/IDU-22b98c27-246b-4502-ab9f-d91afa3ced82.pdf</t>
  </si>
  <si>
    <t>Primary data: farmer data (cocoa income used for food for avg. 4.8 months; loan use n=165) and FGDs, VCA4D fieldwork.
Literature: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World Food Programme. (2024). Food Security Monitoring System (FSMS) Report: Sierra Leone, February 2024. https://wfp.tind.io/record/129867/files/ELR%202950.pdf</t>
  </si>
  <si>
    <t>Primary data: FGDs on rice-price vulnerability and household purchasing power, VCA4D fieldwork.
Literature:
United Nations Sierra Leone. (2024). Common country analysis 2023. https://sierraleone.un.org/sites/default/files/2024-05/UNCT%20CCA%202023.pdf
World Food Programme. (2024). Food Security Monitoring System (FSMS) Report: Sierra Leone, February 2024. https://wfp.tind.io/record/129867/files/ELR%202950.pdf</t>
  </si>
  <si>
    <t>Primary data: FGDs/mini-survey on harvest-period dietary improvement and lean-season deterioration, VCA4D fieldwork.
Literature: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United Nations Sierra Leone. (2024). Common country analysis 2023. https://sierraleone.un.org/sites/default/files/2024-05/UNCT%20CCA%202023.pdf
World Food Programme. (2024). Food Security Monitoring System (FSMS) Report: Sierra Leone, February 2024. https://wfp.tind.io/record/129867/files/ELR%202950.pdf</t>
  </si>
  <si>
    <t>Primary data: FGDs on household food practices and utilisation constraints, VCA4D fieldwork (2025–2026).
Literature: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United Nations Sierra Leone. (2024). Common country analysis 2023. https://sierraleone.un.org/sites/default/files/2024-05/UNCT%20CCA%202023.pdf
World Food Programme. (2024). Food Security Monitoring System (FSMS) Report: Sierra Leone, February 2024. https://wfp.tind.io/record/129867/files/ELR%202950.pdf</t>
  </si>
  <si>
    <t>Primary data: farmer data (83% rice as main daily food; 39% occasional fish/meat; 56% improved diversity after harvest), VCA4D fieldwork.
Literature:
International Fund for Agricultural Development. (2024). Sierra Leone Agricultural Value Chain Development Project: Supervision report. https://www.ifad.org/documents/48415603/50525134/SLE_2000001544_SUPERVISION_REPORT_OCT_2024_0024-1871414904-2795.pdf/4597d7a2-786e-6f8b-4dda-99161322b0ce?t=1736952739781
World Food Programme. (2024). Food Security Monitoring System (FSMS) Report: Sierra Leone, February 2024. https://wfp.tind.io/record/129867/files/ELR%202950.pdf</t>
  </si>
  <si>
    <t>Primary data: farmer data (avg. food shortage 4.8 months; 84% loans in July–September; 28% reduce to one meal), VCA4D fieldwork (n=165).
Literature:
World Food Programme. (2024). Food Security Monitoring System (FSMS) Report: Sierra Leone, February 2024. https://wfp.tind.io/record/129867/files/ELR%202950.pdf</t>
  </si>
  <si>
    <t>Primary data: FGDs on rice-price vulnerability and credit during the hungry month, VCA4D fieldwork.
Literature:
United Nations Sierra Leone. (2024). Common country analysis 2023. https://sierraleone.un.org/sites/default/files/2024-05/UNCT%20CCA%202023.pdf
World Food Programme. (2024). Food Security Monitoring System (FSMS) Report: Sierra Leone, February 2024. https://wfp.tind.io/record/129867/files/ELR%202950.pdf</t>
  </si>
  <si>
    <t>Primary data: KIIs/FGDs with cooperatives, farmers, agents and exporters, VCA4D fieldwork.
Literature:
Department of Cooperatives, Ministry of Trade and Industry, Government of Sierra Leone. (2025). Names of active agricultural cooperatives in Kenema, Kailahun, Kono. Internal document received 28 November 2025.
Government of Sierra Leone. (2019). National Cocoa Value Chain Policy. Ministry of Agriculture. https://faolex.fao.org/docs/pdf/sie216571.pdf
Ministry of Agriculture and Food Security. (2024). National Cocoa Policy: Towards a Transformative Cocoa Industry. Government of Sierra Leone.</t>
  </si>
  <si>
    <t>Primary data: mini-survey/FGDs on women/youth membership and influence, VCA4D fieldwork.
Literature:
Fairtrade International. (2024). West Africa cocoa programme monitoring report (4th ed.). https://www.fairtrade.net/content/dam/fairtrade/fairtrade-international/library/2024/fairtrade-west-africa-cocoa-programme-monitoring-report,-fourth-edition/Fairtrade-WACP-MR-4th-Ed-2024-EN.pdf
Ministry of Agriculture and Food Security. (2024). National Cocoa Policy: Towards a Transformative Cocoa Industry. Government of Sierra Leone.
Welthungerhilfe &amp; Solidaridad. (2025). Cocoa value chain stakeholder consultation findings. Internal document.</t>
  </si>
  <si>
    <t>Primary data: mini-survey (73% high transparency/trust rating) and FGDs on communication gaps, VCA4D fieldwork.
Literature:
Government of Sierra Leone. (2019). National Cocoa Value Chain Policy. Ministry of Agriculture. https://faolex.fao.org/docs/pdf/sie216571.pdf
Welthungerhilfe &amp; Solidaridad. (2025). Cocoa value chain stakeholder consultation findings. Internal document.</t>
  </si>
  <si>
    <t>Primary data: FGDs/KIIs on buyer-driven prices, side-selling and weak cooperative bargaining, VCA4D fieldwork.
Literature:
Ministry of Agriculture and Food Security. (2024). National Cocoa Policy: Towards a Transformative Cocoa Industry. Government of Sierra Leone.
TrustAfrica. (2024). Assessing cocoa pricing mechanisms and cost of production of cocoa: A cross-country comparison in Côte d’Ivoire, Ghana and Sierra Leone. https://trustafrica.org/publication/assessing-cocoa-pricing-mechanisms-and-cost-of-production-of-cocoa-a-cross-country-comparison-in-cote-divoire-ghana-and-sierra-leone/
Government of Sierra Leone. (2019). National Cocoa Value Chain Policy. Ministry of Agriculture. https://faolex.fao.org/docs/pdf/sie216571.pdf</t>
  </si>
  <si>
    <t>Primary data: mini-survey (74% medium information access; low access reported only by women) and FGDs, VCA4D fieldwork.
Literature:
Ministry of Agriculture and Food Security. (2024). National Cocoa Policy: Towards a Transformative Cocoa Industry. Government of Sierra Leone.
TrustAfrica. (2024). Assessing cocoa pricing mechanisms and cost of production of cocoa: A cross-country comparison in Côte d’Ivoire, Ghana and Sierra Leone. https://trustafrica.org/publication/assessing-cocoa-pricing-mechanisms-and-cost-of-production-of-cocoa-a-cross-country-comparison-in-cote-divoire-ghana-and-sierra-leone/</t>
  </si>
  <si>
    <t>Primary data: mini-survey (79% medium trust, 21% low, 3% high) and FGDs on weighing/pricing concerns, VCA4D fieldwork.
Literature:
Government of Sierra Leone. (2019). National Cocoa Value Chain Policy. Ministry of Agriculture. https://faolex.fao.org/docs/pdf/sie216571.pdf
Welthungerhilfe &amp; Solidaridad. (2025). Cocoa value chain stakeholder consultation findings. Internal document.</t>
  </si>
  <si>
    <t>Primary data: FGDs/KIIs on community meetings, FBOs and VSLAs, VCA4D fieldwork.
Literature:
Government of Sierra Leone. (2019). National Cocoa Value Chain Policy. Ministry of Agriculture. https://faolex.fao.org/docs/pdf/sie216571.pdf
MoPADA-SL. (2025). Cocoa value chain project implementation presentation. Internal document.
Welthungerhilfe. (2024). Capacity building and EUDR compliance project concept. Internal document.</t>
  </si>
  <si>
    <t>Primary data: farmer interviews on agroforestry, intercropping and traditional ecological practices, VCA4D fieldwork.
Literature:
Ministry of Agriculture and Food Security. (2024). National Cocoa Policy: Towards a Transformative Cocoa Industry. Government of Sierra Leone.
van Noordwijk, M. (2019). Sustainable development through trees on farms: Agroforestry in its fifth decade. World Agroforestry (ICRAF).
Welthungerhilfe. (2024). Capacity building and EUDR compliance project concept. Internal document.</t>
  </si>
  <si>
    <t>Primary data: FGDs on labour sharing, group farming, VSLAs and mutual support, VCA4D fieldwork.
Literature:
Michel, B., Kumar, R., Benoist, A., Bangura, S., &amp; Desclee, D. (2018). Cashew value chain analysis in Sierra Leone. European Commission, Directorate-General for International Cooperation and Development (DEVCO), VCA4D.
MoPADA-SL. (2025). Cocoa value chain project implementation presentation. Internal document.
Welthungerhilfe &amp; Solidaridad. (2025). Cocoa value chain stakeholder consultation findings. Internal document.</t>
  </si>
  <si>
    <t>Primary data: mini-survey/FGDs on physical health-facility access and distance, VCA4D fieldwork.
Literature:
Ministry of Agriculture and Food Security. (2024). National Cocoa Policy: Towards a Transformative Cocoa Industry. Government of Sierra Leone.
United Nations Sierra Leone. (2024). Common country analysis 2023. https://sierraleone.un.org/sites/default/files/2024-05/UNCT%20CCA%202023.pdf</t>
  </si>
  <si>
    <t>Primary data: mini-survey (60% low access to healthcare) and FGDs on costs/medicine/staff shortages, VCA4D fieldwork.
Literature:
United Nations Sierra Leone. (2024). Common country analysis 2023. https://sierraleone.un.org/sites/default/files/2024-05/UNCT%20CCA%202023.pdf
World Bank. (2024b). Sierra Leone water supply, sanitation and hygiene (WASH) poverty diagnostic. https://documents.worldbank.org/en/publication/documents-reports/documentdetail/099146408282412861</t>
  </si>
  <si>
    <t>Primary data: FGDs showing cocoa income used for healthcare and health shocks, VCA4D fieldwork.
Literature:
Ministry of Agriculture and Food Security. (2024). National Cocoa Policy: Towards a Transformative Cocoa Industry. Government of Sierra Leone.
United Nations Sierra Leone. (2024). Common country analysis 2023. https://sierraleone.un.org/sites/default/files/2024-05/UNCT%20CCA%202023.pdf
World Bank. (2024b). Sierra Leone water supply, sanitation and hygiene (WASH) poverty diagnostic. https://documents.worldbank.org/en/publication/documents-reports/documentdetail/099146408282412861</t>
  </si>
  <si>
    <t>Primary data: FGDs on housing as a major cocoa-income use and basic improvements, VCA4D fieldwork.
Literature:
Ministry of Agriculture and Food Security. (2024). National Cocoa Policy: Towards a Transformative Cocoa Industry. Government of Sierra Leone.
United Nations Sierra Leone. (2024). Common country analysis 2023. https://sierraleone.un.org/sites/default/files/2024-05/UNCT%20CCA%202023.pdf</t>
  </si>
  <si>
    <t>Primary data: FGDs on uneven access to clean water/sanitation in cocoa communities, VCA4D fieldwork.
Literature:
United Nations Sierra Leone. (2024). Common country analysis 2023. https://sierraleone.un.org/sites/default/files/2024-05/UNCT%20CCA%202023.pdf
World Bank. (2024b). Sierra Leone water supply, sanitation and hygiene (WASH) poverty diagnostic. https://documents.worldbank.org/en/publication/documents-reports/documentdetail/099146408282412861</t>
  </si>
  <si>
    <t>Primary data: FGDs on school fees, education priority and attendance, VCA4D fieldwork.
Literature:
Ministry of Agriculture and Food Security. (2024). National Cocoa Policy: Towards a Transformative Cocoa Industry. Government of Sierra Leone.
Moinina, A., Lahlali, R., &amp; Boulif, M. (2023). Management practices to improve the cocoa bean value chain in Sierra Leone. Moroccan Journal of Agricultural Sciences, 4(2), 45–52.
United Nations Sierra Leone. (2024). Common country analysis 2023. https://sierraleone.un.org/sites/default/files/2024-05/UNCT%20CCA%202023.pdf</t>
  </si>
  <si>
    <t>Primary data: FGDs/KIIs on limited rural secondary/vocational access, VCA4D fieldwork.
Literature:
Ministry of Agriculture and Food Security. (2024). National Cocoa Policy: Towards a Transformative Cocoa Industry. Government of Sierra Leone.
Moinina, A., Lahlali, R., &amp; Boulif, M. (2023). Management practices to improve the cocoa bean value chain in Sierra Leone. Moroccan Journal of Agricultural Sciences, 4(2), 45–52.
United Nations Sierra Leone. (2024). Common country analysis 2023. https://sierraleone.un.org/sites/default/files/2024-05/UNCT%20CCA%202023.pdf</t>
  </si>
  <si>
    <t>Primary data: KIIs/FGDs on project-, certification- and cooperative-led training, VCA4D fieldwork.
Literature:
Ministry of Agriculture and Food Security. (2024). National Cocoa Policy: Towards a Transformative Cocoa Industry. Government of Sierra Leone.
Moinina, A., Lahlali, R., &amp; Boulif, M. (2023). Management practices to improve the cocoa bean value chain in Sierra Leone. Moroccan Journal of Agricultural Sciences, 4(2), 45–52.
Welthungerhilfe. (2024). Capacity building and EUDR compliance project concept. Internal document.</t>
  </si>
  <si>
    <t>Primary data: farmer FGDs/KIIs on poor feeder roads, rainy-season access and motorbike transport, VCA4D fieldwork.
Literature:
Kamara, P. M., Tuffour, Y. A., Baffour-Ata, F., &amp; Obeng, D. A. (2025). Assessing local community perspectives on climate change and variability: Implications for unpaved secondary roads in Sierra Leone. Sustainable Futures, 10, 100785.
Ministry of Agriculture and Food Security. (2024). National Cocoa Policy: Towards a Transformative Cocoa Industry. Government of Sierra Leone.
TrustAfrica. (2024). Assessing cocoa pricing mechanisms and cost of production of cocoa: A cross-country comparison in Côte d’Ivoire, Ghana and Sierra Leone. https://trustafrica.org/publication/assessing-cocoa-pricing-mechanisms-and-cost-of-production-of-cocoa-a-cross-country-comparison-in-cote-divoire-ghana-and-sierra-leone/</t>
  </si>
  <si>
    <t>Primary data: FGDs/KIIs on dependence on local agents and reduced market choice due to transport constraints, VCA4D fieldwork.
Literature:
Ministry of Agriculture and Food Security. (2024). National Cocoa Policy: Towards a Transformative Cocoa Industry. Government of Sierra Leone.
TrustAfrica. (2024). Assessing cocoa pricing mechanisms and cost of production of cocoa: A cross-country comparison in Côte d’Ivoire, Ghana and Sierra Leone. https://trustafrica.org/publication/assessing-cocoa-pricing-mechanisms-and-cost-of-production-of-cocoa-a-cross-country-comparison-in-cote-divoire-ghana-and-sierra-leone/
World Bank. (2024a). Sierra Leone agricultural sector risk assessment. World Bank. https://documents1.worldbank.org/curated/en/099056204242594495/pdf/IDU-22b98c27-246b-4502-ab9f-d91afa3ced82.pdf</t>
  </si>
  <si>
    <t>Primary data: FGDs/KIIs on mobility constraints reinforcing inequalities and reducing service access, VCA4D fieldwork.
Literature:
Ministry of Agriculture and Food Security. (2024). National Cocoa Policy: Towards a Transformative Cocoa Industry. Government of Sierra Leone.
United Nations Sierra Leone. (2024). Common country analysis 2023. https://sierraleone.un.org/sites/default/files/2024-05/UNCT%20CCA%202023.pdf
World Bank. (2024a). Sierra Leone agricultural sector risk assessment. World Bank. https://documents1.worldbank.org/curated/en/099056204242594495/pdf/IDU-22b98c27-246b-4502-ab9f-d91afa3ced82.pdf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</si>
</sst>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
      <sz val="10"/>
      <name val="Arial"/>
      <family val="2"/>
      <charset val="238"/>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7" fillId="0" borderId="10" xfId="0" applyFont="1" applyBorder="1" applyAlignment="1" applyProtection="1">
      <alignment vertical="center" wrapText="1"/>
      <protection locked="0"/>
    </xf>
    <xf numFmtId="0" fontId="7" fillId="0" borderId="60" xfId="0" applyFont="1" applyBorder="1" applyAlignment="1" applyProtection="1">
      <alignment vertical="center" wrapText="1"/>
      <protection locked="0"/>
    </xf>
    <xf numFmtId="0" fontId="7" fillId="0" borderId="13" xfId="0" applyFont="1" applyBorder="1" applyAlignment="1" applyProtection="1">
      <alignment vertical="center" wrapText="1"/>
      <protection locked="0"/>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36" fillId="0" borderId="23" xfId="0" applyFont="1"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10" fillId="0" borderId="71" xfId="0" applyFont="1" applyBorder="1" applyAlignment="1" applyProtection="1">
      <alignment horizontal="left" vertical="top" wrapText="1"/>
      <protection locked="0"/>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ální"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1.5249999999999999</c:v>
                </c:pt>
                <c:pt idx="1">
                  <c:v>2</c:v>
                </c:pt>
                <c:pt idx="2">
                  <c:v>2.19</c:v>
                </c:pt>
                <c:pt idx="3">
                  <c:v>1.5</c:v>
                </c:pt>
                <c:pt idx="4">
                  <c:v>2.2777777777777781</c:v>
                </c:pt>
                <c:pt idx="5">
                  <c:v>1.625</c:v>
                </c:pt>
              </c:numCache>
            </c:numRef>
          </c:val>
          <c:extLst>
            <c:ext xmlns:c16="http://schemas.microsoft.com/office/drawing/2014/chart" uri="{C3380CC4-5D6E-409C-BE32-E72D297353CC}">
              <c16:uniqueId val="{00000000-2AD5-4017-B3E8-27A53D7AD516}"/>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AD5-4017-B3E8-27A53D7AD516}"/>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zoomScale="80" zoomScaleNormal="100" zoomScaleSheetLayoutView="80" workbookViewId="0">
      <pane ySplit="3" topLeftCell="A4" activePane="bottomLeft" state="frozen"/>
      <selection pane="bottomLeft" activeCell="S25" sqref="S25"/>
    </sheetView>
  </sheetViews>
  <sheetFormatPr defaultColWidth="8.81640625" defaultRowHeight="12.5" x14ac:dyDescent="0.25"/>
  <cols>
    <col min="1" max="1" width="20" customWidth="1"/>
    <col min="2" max="2" width="13.26953125" customWidth="1"/>
    <col min="3" max="3" width="14.26953125" customWidth="1"/>
    <col min="4" max="4" width="10.453125" customWidth="1"/>
    <col min="5" max="5" width="8.453125" customWidth="1"/>
    <col min="6" max="6" width="13.453125" customWidth="1"/>
    <col min="7" max="7" width="11.26953125" customWidth="1"/>
    <col min="9" max="9" width="10.81640625" hidden="1" customWidth="1"/>
  </cols>
  <sheetData>
    <row r="1" spans="1:10" ht="22.5" customHeight="1" thickBot="1" x14ac:dyDescent="0.35">
      <c r="A1" s="440" t="s">
        <v>208</v>
      </c>
      <c r="B1" s="441"/>
      <c r="C1" s="442"/>
      <c r="D1" s="398" t="s">
        <v>26</v>
      </c>
      <c r="E1" s="328"/>
      <c r="F1" s="411" t="s">
        <v>217</v>
      </c>
      <c r="G1" s="412"/>
      <c r="I1" s="218"/>
    </row>
    <row r="2" spans="1:10" ht="16.5" customHeight="1" thickBot="1" x14ac:dyDescent="0.35">
      <c r="A2" s="400"/>
      <c r="B2" s="113"/>
      <c r="C2" s="113"/>
      <c r="D2" s="329" t="s">
        <v>123</v>
      </c>
      <c r="E2" s="413" t="s">
        <v>218</v>
      </c>
      <c r="F2" s="413"/>
      <c r="G2" s="414"/>
    </row>
    <row r="3" spans="1:10" ht="18" customHeight="1" thickBot="1" x14ac:dyDescent="0.35">
      <c r="A3" s="15" t="s">
        <v>24</v>
      </c>
      <c r="B3" s="415" t="s">
        <v>288</v>
      </c>
      <c r="C3" s="416"/>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 hidden="1" thickBot="1" x14ac:dyDescent="0.3">
      <c r="A11" s="13"/>
      <c r="G11" s="14"/>
    </row>
    <row r="12" spans="1:10" ht="13.5" thickBot="1" x14ac:dyDescent="0.35">
      <c r="A12" s="432" t="s">
        <v>82</v>
      </c>
      <c r="B12" s="433"/>
      <c r="C12" s="436" t="s">
        <v>83</v>
      </c>
      <c r="D12" s="437"/>
      <c r="E12" s="417" t="s">
        <v>7</v>
      </c>
      <c r="F12" s="17" t="s">
        <v>84</v>
      </c>
      <c r="G12" s="18" t="str">
        <f>Register!H3</f>
        <v>../../20..</v>
      </c>
    </row>
    <row r="13" spans="1:10" ht="13.5" thickBot="1" x14ac:dyDescent="0.35">
      <c r="A13" s="434"/>
      <c r="B13" s="435"/>
      <c r="C13" s="86" t="s">
        <v>86</v>
      </c>
      <c r="D13" s="87" t="s">
        <v>87</v>
      </c>
      <c r="E13" s="418"/>
      <c r="F13" s="19" t="s">
        <v>86</v>
      </c>
      <c r="G13" s="20" t="s">
        <v>87</v>
      </c>
      <c r="I13" s="219" t="s">
        <v>15</v>
      </c>
    </row>
    <row r="14" spans="1:10" ht="14" x14ac:dyDescent="0.25">
      <c r="A14" s="422" t="str">
        <f>Register!A5</f>
        <v>1. WORKING CONDITIONS</v>
      </c>
      <c r="B14" s="423"/>
      <c r="C14" s="330" t="str">
        <f>Register!C10</f>
        <v>Moderate/Low</v>
      </c>
      <c r="D14" s="314">
        <f>Register!B10</f>
        <v>1.5249999999999999</v>
      </c>
      <c r="E14" s="315" t="str">
        <f>Register!D10</f>
        <v>↑</v>
      </c>
      <c r="F14" s="21" t="str">
        <f>Register!I10</f>
        <v>Not at all</v>
      </c>
      <c r="G14" s="321">
        <f>Register!H10</f>
        <v>0</v>
      </c>
      <c r="I14" s="220" t="e">
        <f>Register!#REF!</f>
        <v>#REF!</v>
      </c>
    </row>
    <row r="15" spans="1:10" ht="14" x14ac:dyDescent="0.25">
      <c r="A15" s="424" t="str">
        <f>Register!A11</f>
        <v>2. LAND &amp; WATER RIGHTS</v>
      </c>
      <c r="B15" s="425"/>
      <c r="C15" s="331" t="str">
        <f>Register!C15</f>
        <v>Moderate/Low</v>
      </c>
      <c r="D15" s="316">
        <f>Register!B15</f>
        <v>2</v>
      </c>
      <c r="E15" s="317" t="str">
        <f>Register!D15</f>
        <v>↑</v>
      </c>
      <c r="F15" s="22" t="str">
        <f>Register!I15</f>
        <v>Not at all</v>
      </c>
      <c r="G15" s="322">
        <f>Register!H15</f>
        <v>0</v>
      </c>
      <c r="I15" s="221" t="e">
        <f>Register!#REF!</f>
        <v>#REF!</v>
      </c>
    </row>
    <row r="16" spans="1:10" ht="14" x14ac:dyDescent="0.25">
      <c r="A16" s="426" t="str">
        <f>Register!A16</f>
        <v>3. GENDER EQUALITY</v>
      </c>
      <c r="B16" s="427"/>
      <c r="C16" s="331" t="str">
        <f>Register!C22</f>
        <v>Moderate/Low</v>
      </c>
      <c r="D16" s="316">
        <f>Register!B22</f>
        <v>2.19</v>
      </c>
      <c r="E16" s="317" t="str">
        <f>Register!D22</f>
        <v>↑</v>
      </c>
      <c r="F16" s="22" t="str">
        <f>Register!I22</f>
        <v>Not at all</v>
      </c>
      <c r="G16" s="322">
        <f>Register!H22</f>
        <v>0</v>
      </c>
      <c r="I16" s="221" t="e">
        <f>Register!#REF!</f>
        <v>#REF!</v>
      </c>
    </row>
    <row r="17" spans="1:9" ht="14" x14ac:dyDescent="0.25">
      <c r="A17" s="428" t="str">
        <f>Register!A23</f>
        <v>4. FOOD AND NUTRITION SECURITY</v>
      </c>
      <c r="B17" s="429"/>
      <c r="C17" s="331" t="str">
        <f>Register!C28</f>
        <v>Moderate/Low</v>
      </c>
      <c r="D17" s="316">
        <f>Register!B28</f>
        <v>1.5</v>
      </c>
      <c r="E17" s="317" t="str">
        <f>Register!D28</f>
        <v>↑</v>
      </c>
      <c r="F17" s="22" t="str">
        <f>Register!I28</f>
        <v>Not at all</v>
      </c>
      <c r="G17" s="322">
        <f>Register!H28</f>
        <v>0</v>
      </c>
      <c r="I17" s="221" t="e">
        <f>Register!#REF!</f>
        <v>#REF!</v>
      </c>
    </row>
    <row r="18" spans="1:9" ht="14" x14ac:dyDescent="0.25">
      <c r="A18" s="438" t="str">
        <f>Register!A29</f>
        <v>5. SOCIAL CAPITAL</v>
      </c>
      <c r="B18" s="439"/>
      <c r="C18" s="331" t="str">
        <f>Register!C33</f>
        <v>Moderate/Low</v>
      </c>
      <c r="D18" s="318">
        <f>Register!B33</f>
        <v>2.2777777777777781</v>
      </c>
      <c r="E18" s="317" t="str">
        <f>Register!D33</f>
        <v>↑</v>
      </c>
      <c r="F18" s="308" t="str">
        <f>Register!I33</f>
        <v>Not at all</v>
      </c>
      <c r="G18" s="322">
        <f>Register!H33</f>
        <v>0</v>
      </c>
      <c r="I18" s="307"/>
    </row>
    <row r="19" spans="1:9" ht="14.5" thickBot="1" x14ac:dyDescent="0.3">
      <c r="A19" s="430" t="str">
        <f>Register!A34</f>
        <v>6. LIVING CONDITIONS</v>
      </c>
      <c r="B19" s="431"/>
      <c r="C19" s="332" t="str">
        <f>Register!C39</f>
        <v>Moderate/Low</v>
      </c>
      <c r="D19" s="319">
        <f>Register!B39</f>
        <v>1.625</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5" thickBot="1" x14ac:dyDescent="0.35">
      <c r="A21" s="419" t="s">
        <v>8</v>
      </c>
      <c r="B21" s="420"/>
      <c r="C21" s="420"/>
      <c r="D21" s="420"/>
      <c r="E21" s="420"/>
      <c r="F21" s="420"/>
      <c r="G21" s="421"/>
    </row>
    <row r="22" spans="1:9" ht="107.25" customHeight="1" thickBot="1" x14ac:dyDescent="0.3">
      <c r="A22" s="443" t="s">
        <v>335</v>
      </c>
      <c r="B22" s="444"/>
      <c r="C22" s="444"/>
      <c r="D22" s="444"/>
      <c r="E22" s="444"/>
      <c r="F22" s="444"/>
      <c r="G22" s="445"/>
    </row>
    <row r="23" spans="1:9" ht="7.5" customHeight="1" thickBot="1" x14ac:dyDescent="0.3">
      <c r="A23" s="13"/>
      <c r="G23" s="14"/>
    </row>
    <row r="24" spans="1:9" ht="13.5" thickBot="1" x14ac:dyDescent="0.35">
      <c r="A24" s="446" t="s">
        <v>88</v>
      </c>
      <c r="B24" s="447"/>
      <c r="C24" s="447"/>
      <c r="D24" s="454"/>
      <c r="E24" s="454"/>
      <c r="F24" s="454"/>
      <c r="G24" s="455"/>
    </row>
    <row r="25" spans="1:9" ht="105.75" customHeight="1" thickBot="1" x14ac:dyDescent="0.3">
      <c r="A25" s="443" t="s">
        <v>337</v>
      </c>
      <c r="B25" s="449"/>
      <c r="C25" s="449"/>
      <c r="D25" s="449"/>
      <c r="E25" s="449"/>
      <c r="F25" s="449"/>
      <c r="G25" s="450"/>
    </row>
    <row r="26" spans="1:9" ht="13.5" thickBot="1" x14ac:dyDescent="0.35">
      <c r="A26" s="446" t="s">
        <v>89</v>
      </c>
      <c r="B26" s="447"/>
      <c r="C26" s="447"/>
      <c r="D26" s="447"/>
      <c r="E26" s="447"/>
      <c r="F26" s="447"/>
      <c r="G26" s="448"/>
    </row>
    <row r="27" spans="1:9" ht="83.25" customHeight="1" thickBot="1" x14ac:dyDescent="0.3">
      <c r="A27" s="451" t="s">
        <v>338</v>
      </c>
      <c r="B27" s="452"/>
      <c r="C27" s="452"/>
      <c r="D27" s="452"/>
      <c r="E27" s="452"/>
      <c r="F27" s="452"/>
      <c r="G27" s="453"/>
    </row>
    <row r="28" spans="1:9" ht="13.5" thickBot="1" x14ac:dyDescent="0.35">
      <c r="A28" s="446" t="s">
        <v>16</v>
      </c>
      <c r="B28" s="447"/>
      <c r="C28" s="447"/>
      <c r="D28" s="447"/>
      <c r="E28" s="447"/>
      <c r="F28" s="447"/>
      <c r="G28" s="448"/>
    </row>
    <row r="29" spans="1:9" ht="83.25" customHeight="1" thickBot="1" x14ac:dyDescent="0.3">
      <c r="A29" s="443" t="s">
        <v>336</v>
      </c>
      <c r="B29" s="444"/>
      <c r="C29" s="444"/>
      <c r="D29" s="444"/>
      <c r="E29" s="444"/>
      <c r="F29" s="444"/>
      <c r="G29" s="445"/>
    </row>
  </sheetData>
  <sheetProtection password="CC15" sheet="1" objects="1" scenarios="1"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5" activePane="bottomLeft" state="frozen"/>
      <selection pane="bottomLeft" activeCell="E41" sqref="E41"/>
    </sheetView>
  </sheetViews>
  <sheetFormatPr defaultColWidth="8.81640625" defaultRowHeight="12.5" x14ac:dyDescent="0.25"/>
  <cols>
    <col min="1" max="1" width="36.7265625" customWidth="1"/>
    <col min="2" max="2" width="10.26953125" style="275" customWidth="1"/>
    <col min="3" max="3" width="15.1796875" style="25" customWidth="1"/>
    <col min="4" max="4" width="6.26953125" style="25" customWidth="1"/>
    <col min="5" max="5" width="66.453125" customWidth="1"/>
    <col min="6" max="7" width="39.26953125" customWidth="1"/>
    <col min="8" max="8" width="6" style="275" customWidth="1"/>
    <col min="9" max="9" width="14.1796875" style="25" customWidth="1"/>
    <col min="10" max="10" width="8.81640625" hidden="1" customWidth="1"/>
    <col min="11" max="11" width="9.1796875" hidden="1" customWidth="1"/>
    <col min="12" max="12" width="14.81640625" hidden="1" customWidth="1"/>
    <col min="13" max="13" width="9.1796875" hidden="1" customWidth="1"/>
    <col min="14" max="14" width="9.1796875" customWidth="1"/>
  </cols>
  <sheetData>
    <row r="1" spans="1:15" s="105" customFormat="1" ht="27.75" customHeight="1" thickBot="1" x14ac:dyDescent="0.4">
      <c r="A1" s="460" t="str">
        <f>Profile!F1</f>
        <v>Cocoa</v>
      </c>
      <c r="B1" s="461"/>
      <c r="C1" s="367" t="s">
        <v>21</v>
      </c>
      <c r="D1" s="456" t="str">
        <f>Profile!E2</f>
        <v>Sierra Leone</v>
      </c>
      <c r="E1" s="457"/>
      <c r="F1" s="365" t="s">
        <v>25</v>
      </c>
      <c r="G1" s="366" t="str">
        <f>Profile!B3</f>
        <v>09 / 04 / 20 26</v>
      </c>
      <c r="H1" s="458" t="s">
        <v>79</v>
      </c>
      <c r="I1" s="459"/>
      <c r="M1" s="106"/>
    </row>
    <row r="2" spans="1:15" s="105" customFormat="1" ht="10.5" customHeight="1" x14ac:dyDescent="0.25">
      <c r="A2" s="464" t="s">
        <v>9</v>
      </c>
      <c r="B2" s="476" t="s">
        <v>87</v>
      </c>
      <c r="C2" s="479" t="s">
        <v>86</v>
      </c>
      <c r="D2" s="467" t="s">
        <v>7</v>
      </c>
      <c r="E2" s="473" t="s">
        <v>10</v>
      </c>
      <c r="F2" s="467" t="s">
        <v>17</v>
      </c>
      <c r="G2" s="470" t="s">
        <v>85</v>
      </c>
      <c r="H2" s="458" t="s">
        <v>81</v>
      </c>
      <c r="I2" s="459"/>
      <c r="M2" s="106"/>
    </row>
    <row r="3" spans="1:15" s="106" customFormat="1" ht="13.5" customHeight="1" thickBot="1" x14ac:dyDescent="0.3">
      <c r="A3" s="465"/>
      <c r="B3" s="477"/>
      <c r="C3" s="480"/>
      <c r="D3" s="468"/>
      <c r="E3" s="474"/>
      <c r="F3" s="468"/>
      <c r="G3" s="471"/>
      <c r="H3" s="462" t="s">
        <v>80</v>
      </c>
      <c r="I3" s="463"/>
      <c r="L3" s="107" t="str">
        <f>Questionnaire!$N$3</f>
        <v>High</v>
      </c>
      <c r="M3" s="106" t="s">
        <v>19</v>
      </c>
    </row>
    <row r="4" spans="1:15" s="108" customFormat="1" ht="13.5" thickBot="1" x14ac:dyDescent="0.3">
      <c r="A4" s="466"/>
      <c r="B4" s="478"/>
      <c r="C4" s="481"/>
      <c r="D4" s="469"/>
      <c r="E4" s="475"/>
      <c r="F4" s="469"/>
      <c r="G4" s="472"/>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20</v>
      </c>
    </row>
    <row r="6" spans="1:15" s="109" customFormat="1" ht="165.5" customHeight="1" x14ac:dyDescent="0.25">
      <c r="A6" s="56" t="str">
        <f>Questionnaire!$A$4</f>
        <v>1.1 Respect of labour rights</v>
      </c>
      <c r="B6" s="333">
        <f>Questionnaire!J10</f>
        <v>1.6</v>
      </c>
      <c r="C6" s="334" t="str">
        <f>IF(B6&lt;1.5,$L$6,IF(B6&lt;2.5,$L$5,IF(B6&lt;3.5,$L$4,IF(B6&lt;4.5,$L$3,"n/a"))))</f>
        <v>Moderate/Low</v>
      </c>
      <c r="D6" s="335" t="str">
        <f>IF(H6&lt;B6,"↑",IF(H6&gt;B6,"↓","↔"))</f>
        <v>↑</v>
      </c>
      <c r="E6" s="2" t="s">
        <v>290</v>
      </c>
      <c r="F6" s="1" t="s">
        <v>289</v>
      </c>
      <c r="G6" s="1"/>
      <c r="H6" s="236">
        <v>0</v>
      </c>
      <c r="I6" s="278" t="str">
        <f>IF(H6&lt;1.5,$L$6,IF(H6&lt;2.5,$L$5,IF(H6&lt;3.5,$L$4,IF(H6&lt;4.5,$L$3,"n/a"))))</f>
        <v>Not at all</v>
      </c>
      <c r="K6" s="109" t="s">
        <v>11</v>
      </c>
      <c r="L6" s="107" t="str">
        <f>Questionnaire!$N$6</f>
        <v>Not at all</v>
      </c>
      <c r="M6" s="109" t="s">
        <v>4</v>
      </c>
    </row>
    <row r="7" spans="1:15" s="109" customFormat="1" ht="164.5" customHeight="1" x14ac:dyDescent="0.25">
      <c r="A7" s="57" t="str">
        <f>Questionnaire!$A$11</f>
        <v>1.2 Child Labour</v>
      </c>
      <c r="B7" s="336">
        <f>Questionnaire!J14</f>
        <v>2</v>
      </c>
      <c r="C7" s="337" t="str">
        <f>IF(B7&lt;1.5,$L$6,IF(B7&lt;2.5,$L$5,IF(B7&lt;3.5,$L$4,IF(B7&lt;4.5,$L$3,"n/a"))))</f>
        <v>Moderate/Low</v>
      </c>
      <c r="D7" s="338" t="str">
        <f>IF(H7&lt;B7,"↑",IF(H7&gt;B7,"↓","↔"))</f>
        <v>↑</v>
      </c>
      <c r="E7" s="3" t="s">
        <v>291</v>
      </c>
      <c r="F7" s="3" t="s">
        <v>292</v>
      </c>
      <c r="G7" s="3"/>
      <c r="H7" s="237">
        <v>0</v>
      </c>
      <c r="I7" s="278" t="str">
        <f>IF(H7&lt;1.5,$L$6,IF(H7&lt;2.5,$L$5,IF(H7&lt;3.5,$L$4,IF(H7&lt;4.5,$L$3,"n/a"))))</f>
        <v>Not at all</v>
      </c>
      <c r="K7" s="109" t="s">
        <v>12</v>
      </c>
      <c r="L7" s="107" t="str">
        <f>Questionnaire!$N$7</f>
        <v>n/a</v>
      </c>
    </row>
    <row r="8" spans="1:15" s="109" customFormat="1" ht="112" x14ac:dyDescent="0.25">
      <c r="A8" s="57" t="str">
        <f>Questionnaire!$A$15</f>
        <v>1.3 Job safety</v>
      </c>
      <c r="B8" s="336">
        <f>Questionnaire!J17</f>
        <v>1</v>
      </c>
      <c r="C8" s="339" t="str">
        <f>IF(B8&lt;1.5,$L$6,IF(B8&lt;2.5,$L$5,IF(B8&lt;3.5,$L$4,IF(B8&lt;4.5,$L$3,"n/a"))))</f>
        <v>Not at all</v>
      </c>
      <c r="D8" s="338" t="str">
        <f>IF(H8&lt;B8,"↑",IF(H8&gt;B8,"↓","↔"))</f>
        <v>↑</v>
      </c>
      <c r="E8" s="3" t="s">
        <v>293</v>
      </c>
      <c r="F8" s="3" t="s">
        <v>294</v>
      </c>
      <c r="G8" s="3"/>
      <c r="H8" s="237">
        <v>0</v>
      </c>
      <c r="I8" s="278" t="str">
        <f>IF(H8&lt;1.5,$L$6,IF(H8&lt;2.5,$L$5,IF(H8&lt;3.5,$L$4,IF(H8&lt;4.5,$L$3,"n/a"))))</f>
        <v>Not at all</v>
      </c>
      <c r="K8" s="109" t="s">
        <v>13</v>
      </c>
      <c r="L8" s="107"/>
    </row>
    <row r="9" spans="1:15" s="109" customFormat="1" ht="107.5" customHeight="1" thickBot="1" x14ac:dyDescent="0.3">
      <c r="A9" s="58" t="str">
        <f>Questionnaire!$A$18</f>
        <v>1.4 Attractiveness</v>
      </c>
      <c r="B9" s="340">
        <f>Questionnaire!J21</f>
        <v>1.5</v>
      </c>
      <c r="C9" s="337" t="str">
        <f>IF(B9&lt;1.5,$L$6,IF(B9&lt;2.5,$L$5,IF(B9&lt;3.5,$L$4,IF(B9&lt;4.5,$L$3,"n/a"))))</f>
        <v>Moderate/Low</v>
      </c>
      <c r="D9" s="341" t="str">
        <f>IF(H9&lt;B9,"↑",IF(H9&gt;B9,"↓","↔"))</f>
        <v>↑</v>
      </c>
      <c r="E9" s="4" t="s">
        <v>295</v>
      </c>
      <c r="F9" s="4" t="s">
        <v>296</v>
      </c>
      <c r="G9" s="4"/>
      <c r="H9" s="238">
        <v>0</v>
      </c>
      <c r="I9" s="249" t="str">
        <f>IF(H9&lt;1.5,$L$6,IF(H9&lt;2.5,$L$5,IF(H9&lt;3.5,$L$4,IF(H9&lt;4.5,$L$3,"n/a"))))</f>
        <v>Not at all</v>
      </c>
      <c r="L9" s="107"/>
    </row>
    <row r="10" spans="1:15" s="109" customFormat="1" ht="18" customHeight="1" thickTop="1" thickBot="1" x14ac:dyDescent="0.35">
      <c r="A10" s="59" t="s">
        <v>14</v>
      </c>
      <c r="B10" s="342">
        <f>IF(COUNT(B6:B9)=0,"n/a",(AVERAGE(B6:B9)))</f>
        <v>1.5249999999999999</v>
      </c>
      <c r="C10" s="399" t="str">
        <f>IF(B10&lt;1.5,$L$6,IF(B10&lt;2.5,$L$5,IF(B10&lt;3.5,$L$4,IF(B10&lt;4.5,$L$3,"n/a"))))</f>
        <v>Moderate/Low</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23.5" customHeight="1" x14ac:dyDescent="0.25">
      <c r="A12" s="62" t="str">
        <f>Questionnaire!$A$23</f>
        <v xml:space="preserve">2.1 Adherence to VGGT </v>
      </c>
      <c r="B12" s="346">
        <f>Questionnaire!J26</f>
        <v>2</v>
      </c>
      <c r="C12" s="347" t="str">
        <f>IF(B12&lt;1.5,$L$6,IF(B12&lt;2.5,$L$5,IF(B12&lt;3.5,$L$4,IF(B12&lt;4.5,$L$3,"n/a"))))</f>
        <v>Moderate/Low</v>
      </c>
      <c r="D12" s="338" t="str">
        <f>IF(H12&lt;B12,"↑",IF(H12&gt;B12,"↓","↔"))</f>
        <v>↑</v>
      </c>
      <c r="E12" s="5" t="s">
        <v>297</v>
      </c>
      <c r="F12" s="1" t="s">
        <v>298</v>
      </c>
      <c r="G12" s="1"/>
      <c r="H12" s="236">
        <v>0</v>
      </c>
      <c r="I12" s="278" t="str">
        <f>IF(H12&lt;1.5,$L$6,IF(H12&lt;2.5,$L$5,IF(H12&lt;3.5,$L$4,IF(H12&lt;4.5,$L$3,"n/a"))))</f>
        <v>Not at all</v>
      </c>
    </row>
    <row r="13" spans="1:15" s="109" customFormat="1" ht="100" customHeight="1" x14ac:dyDescent="0.25">
      <c r="A13" s="63" t="str">
        <f>Questionnaire!$A$27</f>
        <v>2.2 Transparency, participation and consultation</v>
      </c>
      <c r="B13" s="348">
        <f>Questionnaire!J32</f>
        <v>2</v>
      </c>
      <c r="C13" s="339" t="str">
        <f>IF(B13&lt;1.5,$L$6,IF(B13&lt;2.5,$L$5,IF(B13&lt;3.5,$L$4,IF(B13&lt;4.5,$L$3,"n/a"))))</f>
        <v>Moderate/Low</v>
      </c>
      <c r="D13" s="338" t="str">
        <f>IF(H13&lt;B13,"↑",IF(H13&gt;B13,"↓","↔"))</f>
        <v>↑</v>
      </c>
      <c r="E13" s="6" t="s">
        <v>299</v>
      </c>
      <c r="F13" s="3" t="s">
        <v>300</v>
      </c>
      <c r="G13" s="3"/>
      <c r="H13" s="237">
        <v>0</v>
      </c>
      <c r="I13" s="278" t="str">
        <f>IF(H13&lt;1.5,$L$6,IF(H13&lt;2.5,$L$5,IF(H13&lt;3.5,$L$4,IF(H13&lt;4.5,$L$3,"n/a"))))</f>
        <v>Not at all</v>
      </c>
    </row>
    <row r="14" spans="1:15" s="109" customFormat="1" ht="134" customHeight="1" thickBot="1" x14ac:dyDescent="0.3">
      <c r="A14" s="64" t="str">
        <f>Questionnaire!$A$33</f>
        <v>2.3  Equity,compensation and justice</v>
      </c>
      <c r="B14" s="349">
        <f>Questionnaire!J38</f>
        <v>2</v>
      </c>
      <c r="C14" s="337" t="str">
        <f>IF(B14&lt;1.5,$L$6,IF(B14&lt;2.5,$L$5,IF(B14&lt;3.5,$L$4,IF(B14&lt;4.5,$L$3,"n/a"))))</f>
        <v>Moderate/Low</v>
      </c>
      <c r="D14" s="341" t="str">
        <f>IF(H14&lt;B14,"↑",IF(H14&gt;B14,"↓","↔"))</f>
        <v>↑</v>
      </c>
      <c r="E14" s="7" t="s">
        <v>301</v>
      </c>
      <c r="F14" s="4" t="s">
        <v>302</v>
      </c>
      <c r="G14" s="4"/>
      <c r="H14" s="238">
        <v>0</v>
      </c>
      <c r="I14" s="249" t="str">
        <f>IF(H14&lt;1.5,$L$6,IF(H14&lt;2.5,$L$5,IF(H14&lt;3.5,$L$4,IF(H14&lt;4.5,$L$3,"n/a"))))</f>
        <v>Not at all</v>
      </c>
    </row>
    <row r="15" spans="1:15" s="106" customFormat="1" ht="13.5" thickTop="1" thickBot="1" x14ac:dyDescent="0.3">
      <c r="A15" s="65" t="s">
        <v>14</v>
      </c>
      <c r="B15" s="350">
        <f>IF(COUNT(B12:B14)=0,"n/a",(AVERAGE(B12:B14)))</f>
        <v>2</v>
      </c>
      <c r="C15" s="351" t="str">
        <f>IF(B15&lt;1.5,$L$6,IF(B15&lt;2.5,$L$5,IF(B15&lt;3.5,$L$4,IF(B15&lt;4.5,$L$3,"n/a"))))</f>
        <v>Moderate/Low</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84" x14ac:dyDescent="0.25">
      <c r="A17" s="68" t="str">
        <f>Questionnaire!$A$40</f>
        <v>3.1 Economic activities</v>
      </c>
      <c r="B17" s="346">
        <f>Questionnaire!J43</f>
        <v>3</v>
      </c>
      <c r="C17" s="347" t="str">
        <f t="shared" ref="C17:C22" si="0">IF(B17&lt;1.5,$L$6,IF(B17&lt;2.5,$L$5,IF(B17&lt;3.5,$L$4,IF(B17&lt;4.5,$L$3,"n/a"))))</f>
        <v>Substantial</v>
      </c>
      <c r="D17" s="338" t="str">
        <f>IF(H17&lt;B17,"↑",IF(H17&gt;B17,"↓","↔"))</f>
        <v>↑</v>
      </c>
      <c r="E17" s="5" t="s">
        <v>303</v>
      </c>
      <c r="F17" s="1" t="s">
        <v>304</v>
      </c>
      <c r="G17" s="1"/>
      <c r="H17" s="236">
        <v>0</v>
      </c>
      <c r="I17" s="278" t="str">
        <f t="shared" ref="I17:I22" si="1">IF(H17&lt;1.5,$L$6,IF(H17&lt;2.5,$L$5,IF(H17&lt;3.5,$L$4,IF(H17&lt;4.5,$L$3,"n/a"))))</f>
        <v>Not at all</v>
      </c>
    </row>
    <row r="18" spans="1:9" s="109" customFormat="1" ht="70" x14ac:dyDescent="0.25">
      <c r="A18" s="68" t="str">
        <f>Questionnaire!$A$44</f>
        <v>3.2 Access to resources and services</v>
      </c>
      <c r="B18" s="348">
        <f>Questionnaire!J49</f>
        <v>2</v>
      </c>
      <c r="C18" s="352" t="str">
        <f t="shared" si="0"/>
        <v>Moderate/Low</v>
      </c>
      <c r="D18" s="338" t="str">
        <f t="shared" ref="D18:D20" si="2">IF(H18&lt;B18,"↑",IF(H18&gt;B18,"↓","↔"))</f>
        <v>↑</v>
      </c>
      <c r="E18" s="6" t="s">
        <v>305</v>
      </c>
      <c r="F18" s="3" t="s">
        <v>306</v>
      </c>
      <c r="G18" s="3"/>
      <c r="H18" s="237">
        <v>0</v>
      </c>
      <c r="I18" s="278" t="str">
        <f t="shared" si="1"/>
        <v>Not at all</v>
      </c>
    </row>
    <row r="19" spans="1:9" s="109" customFormat="1" ht="84" x14ac:dyDescent="0.25">
      <c r="A19" s="68" t="str">
        <f>Questionnaire!$A$50</f>
        <v>3.3 Decision making</v>
      </c>
      <c r="B19" s="348">
        <f>Questionnaire!J56</f>
        <v>2.2000000000000002</v>
      </c>
      <c r="C19" s="339" t="str">
        <f t="shared" si="0"/>
        <v>Moderate/Low</v>
      </c>
      <c r="D19" s="353" t="str">
        <f t="shared" si="2"/>
        <v>↑</v>
      </c>
      <c r="E19" s="241" t="s">
        <v>307</v>
      </c>
      <c r="F19" s="3" t="s">
        <v>308</v>
      </c>
      <c r="G19" s="242"/>
      <c r="H19" s="240">
        <v>0</v>
      </c>
      <c r="I19" s="278" t="str">
        <f t="shared" si="1"/>
        <v>Not at all</v>
      </c>
    </row>
    <row r="20" spans="1:9" s="109" customFormat="1" ht="70" x14ac:dyDescent="0.25">
      <c r="A20" s="68" t="str">
        <f>Questionnaire!$A$57</f>
        <v>3.4 Leadership and empowerment</v>
      </c>
      <c r="B20" s="348">
        <f>Questionnaire!J62</f>
        <v>2.25</v>
      </c>
      <c r="C20" s="337" t="str">
        <f t="shared" si="0"/>
        <v>Moderate/Low</v>
      </c>
      <c r="D20" s="338" t="str">
        <f t="shared" si="2"/>
        <v>↑</v>
      </c>
      <c r="E20" s="82" t="s">
        <v>309</v>
      </c>
      <c r="F20" s="83" t="s">
        <v>310</v>
      </c>
      <c r="G20" s="83"/>
      <c r="H20" s="237">
        <v>0</v>
      </c>
      <c r="I20" s="278" t="str">
        <f t="shared" si="1"/>
        <v>Not at all</v>
      </c>
    </row>
    <row r="21" spans="1:9" s="109" customFormat="1" ht="70.5" thickBot="1" x14ac:dyDescent="0.3">
      <c r="A21" s="69" t="str">
        <f>Questionnaire!$A$63</f>
        <v>3.5 Hardship and division of labour</v>
      </c>
      <c r="B21" s="349">
        <f>Questionnaire!J66</f>
        <v>1.5</v>
      </c>
      <c r="C21" s="354" t="str">
        <f t="shared" si="0"/>
        <v>Moderate/Low</v>
      </c>
      <c r="D21" s="341" t="str">
        <f>IF(H21&lt;B21,"↑",IF(H21&gt;B21,"↓","↔"))</f>
        <v>↑</v>
      </c>
      <c r="E21" s="7" t="s">
        <v>311</v>
      </c>
      <c r="F21" s="4" t="s">
        <v>312</v>
      </c>
      <c r="G21" s="4"/>
      <c r="H21" s="238">
        <v>0</v>
      </c>
      <c r="I21" s="249" t="str">
        <f t="shared" si="1"/>
        <v>Not at all</v>
      </c>
    </row>
    <row r="22" spans="1:9" s="106" customFormat="1" ht="13.5" thickTop="1" thickBot="1" x14ac:dyDescent="0.3">
      <c r="A22" s="81" t="s">
        <v>14</v>
      </c>
      <c r="B22" s="350">
        <f>IF(COUNT(B17:B21)=0,"n/a",(AVERAGE(B17:B21)))</f>
        <v>2.19</v>
      </c>
      <c r="C22" s="355" t="str">
        <f t="shared" si="0"/>
        <v>Moderate/Low</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53" customHeight="1" x14ac:dyDescent="0.25">
      <c r="A24" s="71" t="str">
        <f>Questionnaire!$A$68</f>
        <v xml:space="preserve">4.1 Availability of food </v>
      </c>
      <c r="B24" s="346">
        <f>Questionnaire!J71</f>
        <v>1</v>
      </c>
      <c r="C24" s="347" t="str">
        <f>IF(B24&lt;1.5,$L$6,IF(B24&lt;2.5,$L$5,IF(B24&lt;3.5,$L$4,IF(B24&lt;4.5,$L$3,"n/a"))))</f>
        <v>Not at all</v>
      </c>
      <c r="D24" s="335" t="str">
        <f>IF(H24&lt;B24,"↑",IF(H24&gt;B24,"↓","↔"))</f>
        <v>↑</v>
      </c>
      <c r="E24" s="5" t="s">
        <v>313</v>
      </c>
      <c r="F24" s="1" t="s">
        <v>314</v>
      </c>
      <c r="G24" s="1"/>
      <c r="H24" s="236">
        <v>0</v>
      </c>
      <c r="I24" s="278" t="str">
        <f>IF(H24&lt;1.5,$L$6,IF(H24&lt;2.5,$L$5,IF(H24&lt;3.5,$L$4,IF(H24&lt;4.5,$L$3,"n/a"))))</f>
        <v>Not at all</v>
      </c>
    </row>
    <row r="25" spans="1:9" s="109" customFormat="1" ht="50.5" customHeight="1" x14ac:dyDescent="0.25">
      <c r="A25" s="72" t="str">
        <f>Questionnaire!$A$72</f>
        <v xml:space="preserve">4.2 Accessibility of food </v>
      </c>
      <c r="B25" s="348">
        <f>Questionnaire!J75</f>
        <v>2</v>
      </c>
      <c r="C25" s="339" t="str">
        <f>IF(B25&lt;1.5,$L$6,IF(B25&lt;2.5,$L$5,IF(B25&lt;3.5,$L$4,IF(B25&lt;4.5,$L$3,"n/a"))))</f>
        <v>Moderate/Low</v>
      </c>
      <c r="D25" s="338" t="str">
        <f>IF(H25&lt;B25,"↑",IF(H25&gt;B25,"↓","↔"))</f>
        <v>↑</v>
      </c>
      <c r="E25" s="6" t="s">
        <v>315</v>
      </c>
      <c r="F25" s="3" t="s">
        <v>316</v>
      </c>
      <c r="G25" s="3"/>
      <c r="H25" s="237">
        <v>0</v>
      </c>
      <c r="I25" s="278" t="str">
        <f>IF(H25&lt;1.5,$L$6,IF(H25&lt;2.5,$L$5,IF(H25&lt;3.5,$L$4,IF(H25&lt;4.5,$L$3,"n/a"))))</f>
        <v>Not at all</v>
      </c>
    </row>
    <row r="26" spans="1:9" s="109" customFormat="1" ht="42" x14ac:dyDescent="0.25">
      <c r="A26" s="73" t="str">
        <f>Questionnaire!$A$76</f>
        <v xml:space="preserve">4.3 Utilisation and nutritional adequacy </v>
      </c>
      <c r="B26" s="348">
        <f>Questionnaire!J80</f>
        <v>2</v>
      </c>
      <c r="C26" s="339" t="str">
        <f>IF(B26&lt;1.5,$L$6,IF(B26&lt;2.5,$L$5,IF(B26&lt;3.5,$L$4,IF(B26&lt;4.5,$L$3,"n/a"))))</f>
        <v>Moderate/Low</v>
      </c>
      <c r="D26" s="338" t="str">
        <f>IF(H26&lt;B26,"↑",IF(H26&gt;B26,"↓","↔"))</f>
        <v>↑</v>
      </c>
      <c r="E26" s="6" t="s">
        <v>317</v>
      </c>
      <c r="F26" s="3" t="s">
        <v>318</v>
      </c>
      <c r="G26" s="3"/>
      <c r="H26" s="237">
        <v>0</v>
      </c>
      <c r="I26" s="278" t="str">
        <f>IF(H26&lt;1.5,$L$6,IF(H26&lt;2.5,$L$5,IF(H26&lt;3.5,$L$4,IF(H26&lt;4.5,$L$3,"n/a"))))</f>
        <v>Not at all</v>
      </c>
    </row>
    <row r="27" spans="1:9" s="109" customFormat="1" ht="42.5" thickBot="1" x14ac:dyDescent="0.3">
      <c r="A27" s="74" t="str">
        <f>Questionnaire!$A$81</f>
        <v xml:space="preserve">4.4 Stability </v>
      </c>
      <c r="B27" s="349">
        <f>Questionnaire!J84</f>
        <v>1</v>
      </c>
      <c r="C27" s="337" t="str">
        <f>IF(B27&lt;1.5,$L$6,IF(B27&lt;2.5,$L$5,IF(B27&lt;3.5,$L$4,IF(B27&lt;4.5,$L$3,"n/a"))))</f>
        <v>Not at all</v>
      </c>
      <c r="D27" s="341" t="str">
        <f>IF(H27&lt;B27,"↑",IF(H27&gt;B27,"↓","↔"))</f>
        <v>↑</v>
      </c>
      <c r="E27" s="7" t="s">
        <v>319</v>
      </c>
      <c r="F27" s="4" t="s">
        <v>320</v>
      </c>
      <c r="G27" s="4"/>
      <c r="H27" s="238">
        <v>0</v>
      </c>
      <c r="I27" s="249" t="str">
        <f>IF(H27&lt;1.5,$L$6,IF(H27&lt;2.5,$L$5,IF(H27&lt;3.5,$L$4,IF(H27&lt;4.5,$L$3,"n/a"))))</f>
        <v>Not at all</v>
      </c>
    </row>
    <row r="28" spans="1:9" s="106" customFormat="1" ht="13.5" thickTop="1" thickBot="1" x14ac:dyDescent="0.3">
      <c r="A28" s="75" t="s">
        <v>14</v>
      </c>
      <c r="B28" s="350">
        <f>IF(COUNT(B24:B27)=0,"n/a",(AVERAGE(B24:B27)))</f>
        <v>1.5</v>
      </c>
      <c r="C28" s="351" t="str">
        <f>IF(B28&lt;1.5,$L$6,IF(B28&lt;2.5,$L$5,IF(B28&lt;3.5,$L$4,IF(B28&lt;4.5,$L$3,"n/a"))))</f>
        <v>Moderate/Low</v>
      </c>
      <c r="D28" s="343" t="str">
        <f>IF(H28&lt;B28,"↑",IF(H28&gt;B28,"↓","↔"))</f>
        <v>↑</v>
      </c>
      <c r="E28" s="110"/>
      <c r="F28" s="110"/>
      <c r="G28" s="110"/>
      <c r="H28" s="10">
        <f>AVERAGE(H24:H27)</f>
        <v>0</v>
      </c>
      <c r="I28" s="277" t="str">
        <f>IF(H28&lt;1.5,$L$6,IF(H28&lt;2.5,$L$5,IF(H28&lt;3.5,$L$4,IF(H28&lt;4.5,$L$3,"n/a"))))</f>
        <v>Not at all</v>
      </c>
    </row>
    <row r="29" spans="1:9" s="106" customFormat="1" ht="13.5" thickBot="1" x14ac:dyDescent="0.3">
      <c r="A29" s="306" t="str">
        <f>Questionnaire!$A$85</f>
        <v>5. SOCIAL CAPITAL</v>
      </c>
      <c r="B29" s="356"/>
      <c r="C29" s="357"/>
      <c r="D29" s="357"/>
      <c r="E29" s="298"/>
      <c r="F29" s="298"/>
      <c r="G29" s="298"/>
      <c r="H29" s="299"/>
      <c r="I29" s="300"/>
    </row>
    <row r="30" spans="1:9" s="106" customFormat="1" ht="63.5" customHeight="1" x14ac:dyDescent="0.25">
      <c r="A30" s="303" t="str">
        <f>Questionnaire!$A$86</f>
        <v>5.1 Strength of producer organisations</v>
      </c>
      <c r="B30" s="358">
        <f>Questionnaire!J91</f>
        <v>2.5</v>
      </c>
      <c r="C30" s="334" t="str">
        <f>IF(B30&lt;1.5,$L$6,IF(B30&lt;2.5,$L$5,IF(B30&lt;3.5,$L$4,IF(B30&lt;4.5,$L$3,"n/a"))))</f>
        <v>Substantial</v>
      </c>
      <c r="D30" s="335" t="str">
        <f t="shared" ref="D30:D32" si="3">IF(H30&lt;B30,"↑",IF(H30&gt;B30,"↓","↔"))</f>
        <v>↑</v>
      </c>
      <c r="E30" s="408" t="s">
        <v>321</v>
      </c>
      <c r="F30" s="401" t="s">
        <v>322</v>
      </c>
      <c r="G30" s="402"/>
      <c r="H30" s="236">
        <v>0</v>
      </c>
      <c r="I30" s="278" t="str">
        <f>IF(H30&lt;1.5,$L$6,IF(H30&lt;2.5,$L$5,IF(H30&lt;3.5,$L$4,IF(H30&lt;4.5,$L$3,"n/a"))))</f>
        <v>Not at all</v>
      </c>
    </row>
    <row r="31" spans="1:9" s="106" customFormat="1" ht="37.5" x14ac:dyDescent="0.25">
      <c r="A31" s="304" t="str">
        <f>Questionnaire!$A$92</f>
        <v>5.2 Information and confidence</v>
      </c>
      <c r="B31" s="359">
        <f>Questionnaire!J95</f>
        <v>2</v>
      </c>
      <c r="C31" s="339" t="str">
        <f>IF(B31&lt;1.5,$L$6,IF(B31&lt;2.5,$L$5,IF(B31&lt;3.5,$L$4,IF(B31&lt;4.5,$L$3,"n/a"))))</f>
        <v>Moderate/Low</v>
      </c>
      <c r="D31" s="352" t="str">
        <f t="shared" si="3"/>
        <v>↑</v>
      </c>
      <c r="E31" s="409" t="s">
        <v>323</v>
      </c>
      <c r="F31" s="403" t="s">
        <v>324</v>
      </c>
      <c r="G31" s="404"/>
      <c r="H31" s="236">
        <v>0</v>
      </c>
      <c r="I31" s="278" t="str">
        <f>IF(H31&lt;1.5,$L$6,IF(H31&lt;2.5,$L$5,IF(H31&lt;3.5,$L$4,IF(H31&lt;4.5,$L$3,"n/a"))))</f>
        <v>Not at all</v>
      </c>
    </row>
    <row r="32" spans="1:9" s="106" customFormat="1" ht="38" thickBot="1" x14ac:dyDescent="0.3">
      <c r="A32" s="305" t="str">
        <f>Questionnaire!$A$96</f>
        <v>5.3 Social involvement</v>
      </c>
      <c r="B32" s="360">
        <f>Questionnaire!J100</f>
        <v>2.3333333333333335</v>
      </c>
      <c r="C32" s="337" t="str">
        <f>IF(B32&lt;1.5,$L$6,IF(B32&lt;2.5,$L$5,IF(B32&lt;3.5,$L$4,IF(B32&lt;4.5,$L$3,"n/a"))))</f>
        <v>Moderate/Low</v>
      </c>
      <c r="D32" s="354" t="str">
        <f t="shared" si="3"/>
        <v>↑</v>
      </c>
      <c r="E32" s="410" t="s">
        <v>325</v>
      </c>
      <c r="F32" s="405" t="s">
        <v>326</v>
      </c>
      <c r="G32" s="406"/>
      <c r="H32" s="238">
        <v>0</v>
      </c>
      <c r="I32" s="245" t="str">
        <f>IF(H32&lt;1.5,$L$6,IF(H32&lt;2.5,$L$5,IF(H32&lt;3.5,$L$4,IF(H32&lt;4.5,$L$3,"n/a"))))</f>
        <v>Not at all</v>
      </c>
    </row>
    <row r="33" spans="1:9" s="106" customFormat="1" ht="13.5" thickTop="1" thickBot="1" x14ac:dyDescent="0.3">
      <c r="A33" s="301" t="s">
        <v>14</v>
      </c>
      <c r="B33" s="350">
        <f>IF(COUNT(B30:B32)=0,"n/a",(AVERAGE(B30:B32)))</f>
        <v>2.2777777777777781</v>
      </c>
      <c r="C33" s="351" t="str">
        <f>IF(B33&lt;1.5,$L$6,IF(B33&lt;2.5,$L$5,IF(B33&lt;3.5,$L$4,IF(B33&lt;4.5,$L$3,"n/a"))))</f>
        <v>Moderate/Low</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42" customHeight="1" thickBot="1" x14ac:dyDescent="0.3">
      <c r="A35" s="246" t="str">
        <f>Questionnaire!$A$102</f>
        <v>6.1 Health services</v>
      </c>
      <c r="B35" s="363">
        <f>Questionnaire!J106</f>
        <v>1.6666666666666667</v>
      </c>
      <c r="C35" s="347" t="str">
        <f>IF(B35&lt;1.5,$L$6,IF(B35&lt;2.5,$L$5,IF(B35&lt;3.5,$L$4,IF(B35&lt;4.5,$L$3,"n/a"))))</f>
        <v>Moderate/Low</v>
      </c>
      <c r="D35" s="364" t="str">
        <f>IF(H35&lt;B35,"↑",IF(H35&gt;B35,"↓","↔"))</f>
        <v>↑</v>
      </c>
      <c r="E35" s="5" t="s">
        <v>327</v>
      </c>
      <c r="F35" s="243" t="s">
        <v>328</v>
      </c>
      <c r="G35" s="5"/>
      <c r="H35" s="239">
        <v>0</v>
      </c>
      <c r="I35" s="278" t="str">
        <f>IF(H35&lt;1.5,$L$6,IF(H35&lt;2.5,$L$5,IF(H35&lt;3.5,$L$4,IF(H35&lt;4.5,$L$3,"n/a"))))</f>
        <v>Not at all</v>
      </c>
    </row>
    <row r="36" spans="1:9" s="109" customFormat="1" ht="45" customHeight="1" thickTop="1" thickBot="1" x14ac:dyDescent="0.3">
      <c r="A36" s="79" t="str">
        <f>Questionnaire!$A$107</f>
        <v>6.2 Housing</v>
      </c>
      <c r="B36" s="348">
        <f>Questionnaire!J110</f>
        <v>1.5</v>
      </c>
      <c r="C36" s="339" t="str">
        <f>IF(B36&lt;1.5,$L$6,IF(B36&lt;2.5,$L$5,IF(B36&lt;3.5,$L$4,IF(B36&lt;4.5,$L$3,"n/a"))))</f>
        <v>Moderate/Low</v>
      </c>
      <c r="D36" s="339" t="str">
        <f>IF(H36&lt;B36,"↑",IF(H36&gt;B36,"↓","↔"))</f>
        <v>↑</v>
      </c>
      <c r="E36" s="6" t="s">
        <v>329</v>
      </c>
      <c r="F36" s="244" t="s">
        <v>330</v>
      </c>
      <c r="G36" s="6"/>
      <c r="H36" s="239">
        <v>0</v>
      </c>
      <c r="I36" s="278" t="str">
        <f>IF(H36&lt;1.5,$L$6,IF(H36&lt;2.5,$L$5,IF(H36&lt;3.5,$L$4,IF(H36&lt;4.5,$L$3,"n/a"))))</f>
        <v>Not at all</v>
      </c>
    </row>
    <row r="37" spans="1:9" s="109" customFormat="1" ht="50.5" customHeight="1" thickTop="1" thickBot="1" x14ac:dyDescent="0.3">
      <c r="A37" s="247" t="str">
        <f>Questionnaire!$A$111</f>
        <v>6.3 Education and training</v>
      </c>
      <c r="B37" s="363">
        <f>Questionnaire!J115</f>
        <v>2.3333333333333335</v>
      </c>
      <c r="C37" s="339" t="str">
        <f>IF(B37&lt;1.5,$L$6,IF(B37&lt;2.5,$L$5,IF(B37&lt;3.5,$L$4,IF(B37&lt;4.5,$L$3,"n/a"))))</f>
        <v>Moderate/Low</v>
      </c>
      <c r="D37" s="364" t="str">
        <f>IF(H37&lt;B37,"↑",IF(H37&gt;B37,"↓","↔"))</f>
        <v>↑</v>
      </c>
      <c r="E37" s="6" t="s">
        <v>331</v>
      </c>
      <c r="F37" s="244" t="s">
        <v>332</v>
      </c>
      <c r="G37" s="6"/>
      <c r="H37" s="239">
        <v>0</v>
      </c>
      <c r="I37" s="278" t="str">
        <f>IF(H37&lt;1.5,$L$6,IF(H37&lt;2.5,$L$5,IF(H37&lt;3.5,$L$4,IF(H37&lt;4.5,$L$3,"n/a"))))</f>
        <v>Not at all</v>
      </c>
    </row>
    <row r="38" spans="1:9" s="109" customFormat="1" ht="76" customHeight="1" thickTop="1" thickBot="1" x14ac:dyDescent="0.3">
      <c r="A38" s="248" t="str">
        <f>Questionnaire!$A$116</f>
        <v>6.4 Mobility ??????</v>
      </c>
      <c r="B38" s="349">
        <f>Questionnaire!J120</f>
        <v>1</v>
      </c>
      <c r="C38" s="337" t="str">
        <f>IF(B38&lt;1.5,$L$6,IF(B38&lt;2.5,$L$5,IF(B38&lt;3.5,$L$4,IF(B38&lt;4.5,$L$3,"n/a"))))</f>
        <v>Not at all</v>
      </c>
      <c r="D38" s="354" t="str">
        <f>IF(H38&lt;B38,"↑",IF(H38&gt;B38,"↓","↔"))</f>
        <v>↑</v>
      </c>
      <c r="E38" s="8" t="s">
        <v>333</v>
      </c>
      <c r="F38" s="9" t="s">
        <v>334</v>
      </c>
      <c r="G38" s="9"/>
      <c r="H38" s="239">
        <v>0</v>
      </c>
      <c r="I38" s="249" t="str">
        <f>IF(H38&lt;1.5,$L$6,IF(H38&lt;2.5,$L$5,IF(H38&lt;3.5,$L$4,IF(H38&lt;4.5,$L$3,"n/a"))))</f>
        <v>Not at all</v>
      </c>
    </row>
    <row r="39" spans="1:9" s="106" customFormat="1" ht="13.5" thickTop="1" thickBot="1" x14ac:dyDescent="0.3">
      <c r="A39" s="80" t="s">
        <v>14</v>
      </c>
      <c r="B39" s="342">
        <f>IF(COUNT(B35:B38)=0,"n/a",(AVERAGE(B35:B38)))</f>
        <v>1.625</v>
      </c>
      <c r="C39" s="351" t="str">
        <f>IF(B39&lt;1.5,$L$6,IF(B39&lt;2.5,$L$5,IF(B39&lt;3.5,$L$4,IF(B39&lt;4.5,$L$3,"n/a"))))</f>
        <v>Moderate/Low</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tabSelected="1" zoomScale="80" zoomScaleNormal="80" zoomScaleSheetLayoutView="100" workbookViewId="0">
      <pane ySplit="2" topLeftCell="A117" activePane="bottomLeft" state="frozen"/>
      <selection pane="bottomLeft" activeCell="B124" sqref="B124"/>
    </sheetView>
  </sheetViews>
  <sheetFormatPr defaultColWidth="8.81640625" defaultRowHeight="12.5" x14ac:dyDescent="0.25"/>
  <cols>
    <col min="1" max="1" width="18" customWidth="1"/>
    <col min="2" max="2" width="29" customWidth="1"/>
    <col min="3" max="3" width="30.54296875" style="160" customWidth="1"/>
    <col min="4" max="4" width="14.453125" style="161" customWidth="1"/>
    <col min="5" max="6" width="7.453125" style="25" customWidth="1"/>
    <col min="7" max="7" width="1.1796875" style="25" customWidth="1"/>
    <col min="8" max="8" width="7.453125" style="25" customWidth="1"/>
    <col min="9" max="9" width="12.54296875" style="25" customWidth="1"/>
    <col min="10" max="10" width="12.26953125" style="25" customWidth="1"/>
    <col min="11" max="11" width="65.81640625" customWidth="1"/>
    <col min="12" max="12" width="15.54296875" style="160" customWidth="1"/>
    <col min="13" max="13" width="13.453125" hidden="1" customWidth="1"/>
    <col min="14" max="14" width="14.81640625" hidden="1" customWidth="1"/>
    <col min="15" max="15" width="11.1796875" hidden="1" customWidth="1"/>
    <col min="16" max="16" width="13.81640625" customWidth="1"/>
  </cols>
  <sheetData>
    <row r="1" spans="1:15" ht="21" customHeight="1" thickBot="1" x14ac:dyDescent="0.4">
      <c r="A1" s="368" t="s">
        <v>26</v>
      </c>
      <c r="B1" s="369" t="str">
        <f>Profile!F1</f>
        <v>Cocoa</v>
      </c>
      <c r="C1" s="367" t="s">
        <v>21</v>
      </c>
      <c r="D1" s="456" t="str">
        <f>Profile!E2</f>
        <v>Sierra Leone</v>
      </c>
      <c r="E1" s="457"/>
      <c r="F1" s="365" t="s">
        <v>25</v>
      </c>
      <c r="G1" s="370"/>
      <c r="H1" s="371"/>
      <c r="I1" s="372"/>
      <c r="J1" s="366" t="str">
        <f>Profile!B3</f>
        <v>09 / 04 / 20 26</v>
      </c>
      <c r="K1" s="113"/>
      <c r="L1" s="373" t="s">
        <v>176</v>
      </c>
    </row>
    <row r="2" spans="1:15" s="105" customFormat="1" ht="15" customHeight="1" thickBot="1" x14ac:dyDescent="0.3">
      <c r="A2" s="540" t="s">
        <v>0</v>
      </c>
      <c r="B2" s="541"/>
      <c r="C2" s="374" t="s">
        <v>2</v>
      </c>
      <c r="D2" s="374" t="s">
        <v>86</v>
      </c>
      <c r="E2" s="374" t="s">
        <v>87</v>
      </c>
      <c r="F2" s="540" t="s">
        <v>85</v>
      </c>
      <c r="G2" s="541"/>
      <c r="H2" s="541"/>
      <c r="I2" s="541"/>
      <c r="J2" s="541"/>
      <c r="K2" s="541"/>
      <c r="L2" s="375"/>
      <c r="M2" s="107"/>
    </row>
    <row r="3" spans="1:15" s="105" customFormat="1" ht="24.75" customHeight="1" thickBot="1" x14ac:dyDescent="0.35">
      <c r="A3" s="114" t="s">
        <v>211</v>
      </c>
      <c r="B3" s="115"/>
      <c r="C3" s="115"/>
      <c r="D3" s="115"/>
      <c r="E3" s="115"/>
      <c r="F3" s="115"/>
      <c r="G3" s="115"/>
      <c r="H3" s="115"/>
      <c r="I3" s="115"/>
      <c r="J3" s="115"/>
      <c r="K3" s="115"/>
      <c r="L3" s="376"/>
      <c r="N3" s="16" t="s">
        <v>4</v>
      </c>
      <c r="O3" s="105">
        <v>4.5</v>
      </c>
    </row>
    <row r="4" spans="1:15" s="105" customFormat="1" ht="21" customHeight="1" x14ac:dyDescent="0.3">
      <c r="A4" s="116" t="s">
        <v>28</v>
      </c>
      <c r="B4" s="117"/>
      <c r="C4" s="117"/>
      <c r="D4" s="117"/>
      <c r="E4" s="117"/>
      <c r="F4" s="117"/>
      <c r="G4" s="117"/>
      <c r="H4" s="117"/>
      <c r="I4" s="117"/>
      <c r="J4" s="117"/>
      <c r="K4" s="117"/>
      <c r="L4" s="376"/>
      <c r="N4" s="16" t="s">
        <v>5</v>
      </c>
      <c r="O4" s="105">
        <v>3.5</v>
      </c>
    </row>
    <row r="5" spans="1:15" s="105" customFormat="1" ht="156.5" customHeight="1" x14ac:dyDescent="0.25">
      <c r="A5" s="516" t="s">
        <v>70</v>
      </c>
      <c r="B5" s="516"/>
      <c r="C5" s="37" t="s">
        <v>339</v>
      </c>
      <c r="D5" s="48" t="s">
        <v>41</v>
      </c>
      <c r="E5" s="118">
        <f>IF(D5=$N$6,1,IF(D5=$N$5,2,IF(D5=$N$4,3,IF(D5=$N$3,4,"n/a"))))</f>
        <v>2</v>
      </c>
      <c r="F5" s="517" t="s">
        <v>219</v>
      </c>
      <c r="G5" s="517"/>
      <c r="H5" s="517"/>
      <c r="I5" s="517"/>
      <c r="J5" s="517"/>
      <c r="K5" s="517"/>
      <c r="L5" s="376"/>
      <c r="N5" s="107" t="s">
        <v>41</v>
      </c>
      <c r="O5" s="106">
        <v>2.5</v>
      </c>
    </row>
    <row r="6" spans="1:15" s="105" customFormat="1" ht="153" customHeight="1" x14ac:dyDescent="0.25">
      <c r="A6" s="516" t="s">
        <v>29</v>
      </c>
      <c r="B6" s="516"/>
      <c r="C6" s="37" t="s">
        <v>340</v>
      </c>
      <c r="D6" s="48" t="s">
        <v>41</v>
      </c>
      <c r="E6" s="118">
        <f>IF(D6=$N$6,1,IF(D6=$N$5,2,IF(D6=$N$4,3,IF(D6=$N$3,4,"n/a"))))</f>
        <v>2</v>
      </c>
      <c r="F6" s="517" t="s">
        <v>220</v>
      </c>
      <c r="G6" s="517"/>
      <c r="H6" s="517"/>
      <c r="I6" s="517"/>
      <c r="J6" s="517"/>
      <c r="K6" s="517"/>
      <c r="L6" s="376"/>
      <c r="N6" s="107" t="s">
        <v>78</v>
      </c>
      <c r="O6" s="106">
        <v>1.5</v>
      </c>
    </row>
    <row r="7" spans="1:15" s="105" customFormat="1" ht="228.5" customHeight="1" x14ac:dyDescent="0.3">
      <c r="A7" s="516" t="s">
        <v>185</v>
      </c>
      <c r="B7" s="516"/>
      <c r="C7" s="37" t="s">
        <v>341</v>
      </c>
      <c r="D7" s="48" t="s">
        <v>78</v>
      </c>
      <c r="E7" s="118">
        <f>IF(D7=$N$6,1,IF(D7=$N$5,2,IF(D7=$N$4,3,IF(D7=$N$3,4,"n/a"))))</f>
        <v>1</v>
      </c>
      <c r="F7" s="517" t="s">
        <v>221</v>
      </c>
      <c r="G7" s="517"/>
      <c r="H7" s="517"/>
      <c r="I7" s="517"/>
      <c r="J7" s="517"/>
      <c r="K7" s="517"/>
      <c r="L7" s="376"/>
      <c r="N7" s="16" t="s">
        <v>18</v>
      </c>
    </row>
    <row r="8" spans="1:15" s="105" customFormat="1" ht="224" customHeight="1" x14ac:dyDescent="0.25">
      <c r="A8" s="516" t="s">
        <v>39</v>
      </c>
      <c r="B8" s="516"/>
      <c r="C8" s="37" t="s">
        <v>342</v>
      </c>
      <c r="D8" s="48" t="s">
        <v>41</v>
      </c>
      <c r="E8" s="118">
        <f>IF(D8=$N$6,1,IF(D8=$N$5,2,IF(D8=$N$4,3,IF(D8=$N$3,4,"n/a"))))</f>
        <v>2</v>
      </c>
      <c r="F8" s="517" t="s">
        <v>222</v>
      </c>
      <c r="G8" s="517"/>
      <c r="H8" s="517"/>
      <c r="I8" s="517"/>
      <c r="J8" s="517"/>
      <c r="K8" s="517"/>
      <c r="L8" s="376"/>
      <c r="N8" s="107"/>
    </row>
    <row r="9" spans="1:15" s="105" customFormat="1" ht="329.5" customHeight="1" thickBot="1" x14ac:dyDescent="0.3">
      <c r="A9" s="518" t="s">
        <v>58</v>
      </c>
      <c r="B9" s="518"/>
      <c r="C9" s="179" t="s">
        <v>343</v>
      </c>
      <c r="D9" s="167" t="s">
        <v>78</v>
      </c>
      <c r="E9" s="175">
        <f>IF(D9=$N$6,1,IF(D9=$N$5,2,IF(D9=$N$4,3,IF(D9=$N$3,4,"n/a"))))</f>
        <v>1</v>
      </c>
      <c r="F9" s="573" t="s">
        <v>223</v>
      </c>
      <c r="G9" s="574"/>
      <c r="H9" s="573"/>
      <c r="I9" s="573"/>
      <c r="J9" s="573"/>
      <c r="K9" s="573"/>
      <c r="L9" s="376"/>
      <c r="N9" s="119"/>
    </row>
    <row r="10" spans="1:15" s="105" customFormat="1" ht="28.5" customHeight="1" thickBot="1" x14ac:dyDescent="0.35">
      <c r="A10" s="545"/>
      <c r="B10" s="546"/>
      <c r="C10" s="183" t="s">
        <v>23</v>
      </c>
      <c r="D10" s="90" t="str">
        <f>IF(E10&lt;1.5,$N$6,IF(E10&lt;2.5,$N$5,IF(E10&lt;3.5,$N$4,IF(E10&lt;4.5,$N$3,"n/a"))))</f>
        <v>Moderate/Low</v>
      </c>
      <c r="E10" s="250">
        <f>IF(COUNT(E5:E9)=0,"n/a",AVERAGE(E5:E9))</f>
        <v>1.6</v>
      </c>
      <c r="F10" s="49">
        <f>E10</f>
        <v>1.6</v>
      </c>
      <c r="G10" s="216"/>
      <c r="H10" s="50" t="s">
        <v>22</v>
      </c>
      <c r="I10" s="26" t="str">
        <f>D10</f>
        <v>Moderate/Low</v>
      </c>
      <c r="J10" s="91">
        <f>IF(I10=$N$7,"n/a",IF(AND(I10=$N$5,D10=$N$6),1.5,IF(AND(I10=$N$4,D10=$N$5),2.5,IF(AND(I10=$N$3,D10=$N$4),3.5,IF(AND(I10=$N$6,D10=$N$5),1.49,IF(AND(I10=$N$5,D10=$N$4),2.49,IF(AND(I10=$N$4,D10=$N$3),3.49,E10)))))))</f>
        <v>1.6</v>
      </c>
      <c r="K10" s="92" t="s">
        <v>90</v>
      </c>
      <c r="L10" s="377"/>
      <c r="N10" s="16"/>
    </row>
    <row r="11" spans="1:15" s="105" customFormat="1" ht="20.25" customHeight="1" thickBot="1" x14ac:dyDescent="0.35">
      <c r="A11" s="121" t="s">
        <v>27</v>
      </c>
      <c r="B11" s="122"/>
      <c r="C11" s="180"/>
      <c r="D11" s="123"/>
      <c r="E11" s="123"/>
      <c r="F11" s="123"/>
      <c r="G11" s="123"/>
      <c r="H11" s="123"/>
      <c r="I11" s="123"/>
      <c r="J11" s="123"/>
      <c r="K11" s="123"/>
      <c r="L11" s="376"/>
      <c r="N11" s="16"/>
    </row>
    <row r="12" spans="1:15" ht="297" customHeight="1" x14ac:dyDescent="0.3">
      <c r="A12" s="516" t="s">
        <v>186</v>
      </c>
      <c r="B12" s="516"/>
      <c r="C12" s="37" t="s">
        <v>344</v>
      </c>
      <c r="D12" s="166" t="s">
        <v>41</v>
      </c>
      <c r="E12" s="177">
        <f>IF(D12=$N$6,1,IF(D12=$N$5,2,IF(D12=$N$4,3,IF(D12=$N$3,4,"n/a"))))</f>
        <v>2</v>
      </c>
      <c r="F12" s="544" t="s">
        <v>225</v>
      </c>
      <c r="G12" s="544"/>
      <c r="H12" s="544"/>
      <c r="I12" s="544"/>
      <c r="J12" s="544"/>
      <c r="K12" s="544"/>
      <c r="L12" s="378" t="s">
        <v>95</v>
      </c>
      <c r="N12" s="16"/>
    </row>
    <row r="13" spans="1:15" ht="322" customHeight="1" thickBot="1" x14ac:dyDescent="0.3">
      <c r="A13" s="550" t="s">
        <v>187</v>
      </c>
      <c r="B13" s="550"/>
      <c r="C13" s="184" t="s">
        <v>345</v>
      </c>
      <c r="D13" s="182" t="s">
        <v>41</v>
      </c>
      <c r="E13" s="178">
        <f>IF(D13=$N$6,1,IF(D13=$N$5,2,IF(D13=$N$4,3,IF(D13=$N$3,4,"n/a"))))</f>
        <v>2</v>
      </c>
      <c r="F13" s="557" t="s">
        <v>226</v>
      </c>
      <c r="G13" s="551"/>
      <c r="H13" s="551"/>
      <c r="I13" s="551"/>
      <c r="J13" s="551"/>
      <c r="K13" s="535"/>
      <c r="L13" s="378" t="s">
        <v>95</v>
      </c>
    </row>
    <row r="14" spans="1:15" s="108" customFormat="1" ht="28.5" customHeight="1" thickBot="1" x14ac:dyDescent="0.35">
      <c r="A14" s="545"/>
      <c r="B14" s="547"/>
      <c r="C14" s="183" t="s">
        <v>23</v>
      </c>
      <c r="D14" s="27" t="str">
        <f>IF(E14&lt;1.5,$N$6,IF(E14&lt;2.5,$N$5,IF(E14&lt;3.5,$N$4,IF(E14&lt;4.5,$N$3,"n/a"))))</f>
        <v>Moderate/Low</v>
      </c>
      <c r="E14" s="145">
        <f>IF(COUNT(E12:E13)=0,"n/a",AVERAGE(E12:E13))</f>
        <v>2</v>
      </c>
      <c r="F14" s="28">
        <f>E14</f>
        <v>2</v>
      </c>
      <c r="G14" s="216"/>
      <c r="H14" s="29" t="s">
        <v>22</v>
      </c>
      <c r="I14" s="26" t="str">
        <f>D14</f>
        <v>Moderate/Low</v>
      </c>
      <c r="J14" s="30">
        <f>IF(I14=$N$7,"n/a",IF(AND(I14=$N$5,D14=$N$6),1.5,IF(AND(I14=$N$4,D14=$N$5),2.5,IF(AND(I14=$N$3,D14=$N$4),3.5,IF(AND(I14=$N$6,D14=$N$5),1.49,IF(AND(I14=$N$5,D14=$N$4),2.49,IF(AND(I14=$N$4,D14=$N$3),3.49,E14)))))))</f>
        <v>2</v>
      </c>
      <c r="K14" s="181" t="s">
        <v>90</v>
      </c>
      <c r="L14" s="379"/>
      <c r="N14" s="16"/>
    </row>
    <row r="15" spans="1:15" ht="21.75" customHeight="1" x14ac:dyDescent="0.3">
      <c r="A15" s="397" t="s">
        <v>30</v>
      </c>
      <c r="B15" s="121"/>
      <c r="C15" s="121"/>
      <c r="D15" s="121"/>
      <c r="E15" s="121"/>
      <c r="F15" s="121"/>
      <c r="G15" s="121"/>
      <c r="H15" s="121"/>
      <c r="I15" s="121"/>
      <c r="J15" s="121"/>
      <c r="K15" s="121"/>
      <c r="L15" s="380"/>
      <c r="N15" s="16"/>
    </row>
    <row r="16" spans="1:15" ht="151" customHeight="1" thickBot="1" x14ac:dyDescent="0.3">
      <c r="A16" s="518" t="s">
        <v>188</v>
      </c>
      <c r="B16" s="518"/>
      <c r="C16" s="184" t="s">
        <v>346</v>
      </c>
      <c r="D16" s="167" t="s">
        <v>78</v>
      </c>
      <c r="E16" s="171">
        <f>IF(D16=$N$6,1,IF(D16=$N$5,2,IF(D16=$N$4,3,IF(D16=$N$3,4,"n/a"))))</f>
        <v>1</v>
      </c>
      <c r="F16" s="533" t="s">
        <v>227</v>
      </c>
      <c r="G16" s="551"/>
      <c r="H16" s="534"/>
      <c r="I16" s="534"/>
      <c r="J16" s="551"/>
      <c r="K16" s="535"/>
      <c r="L16" s="380"/>
    </row>
    <row r="17" spans="1:14" s="105" customFormat="1" ht="24.75" customHeight="1" thickBot="1" x14ac:dyDescent="0.3">
      <c r="A17" s="555"/>
      <c r="B17" s="556"/>
      <c r="C17" s="183" t="s">
        <v>23</v>
      </c>
      <c r="D17" s="27" t="str">
        <f>IF(E17&lt;1.5,$N$6,IF(E17&lt;2.5,$N$5,IF(E17&lt;3.5,$N$4,IF(E17&lt;4.5,$N$3,"n/a"))))</f>
        <v>Not at all</v>
      </c>
      <c r="E17" s="145">
        <f>IF(COUNT(E16)=0,"n/a",AVERAGE(E16))</f>
        <v>1</v>
      </c>
      <c r="F17" s="28">
        <f>E17</f>
        <v>1</v>
      </c>
      <c r="G17" s="216"/>
      <c r="H17" s="29" t="s">
        <v>22</v>
      </c>
      <c r="I17" s="26" t="str">
        <f>D17</f>
        <v>Not at all</v>
      </c>
      <c r="J17" s="30">
        <f>IF(I17=$N$7,"n/a",IF(AND(I17=$N$5,D17=$N$6),1.5,IF(AND(I17=$N$4,D17=$N$5),2.5,IF(AND(I17=$N$3,D17=$N$4),3.5,IF(AND(I17=$N$6,D17=$N$5),1.49,IF(AND(I17=$N$5,D17=$N$4),2.49,IF(AND(I17=$N$4,D17=$N$3),3.49,E17)))))))</f>
        <v>1</v>
      </c>
      <c r="K17" s="181" t="s">
        <v>90</v>
      </c>
      <c r="L17" s="376"/>
      <c r="N17" s="107"/>
    </row>
    <row r="18" spans="1:14" s="124" customFormat="1" ht="21" customHeight="1" x14ac:dyDescent="0.3">
      <c r="A18" s="121" t="s">
        <v>68</v>
      </c>
      <c r="B18" s="121"/>
      <c r="C18" s="121"/>
      <c r="D18" s="121"/>
      <c r="E18" s="121"/>
      <c r="F18" s="121"/>
      <c r="G18" s="121"/>
      <c r="H18" s="121"/>
      <c r="I18" s="121"/>
      <c r="J18" s="121"/>
      <c r="K18" s="121"/>
      <c r="L18" s="380"/>
      <c r="N18" s="16"/>
    </row>
    <row r="19" spans="1:14" s="124" customFormat="1" ht="265.5" customHeight="1" x14ac:dyDescent="0.3">
      <c r="A19" s="516" t="s">
        <v>72</v>
      </c>
      <c r="B19" s="516"/>
      <c r="C19" s="37" t="s">
        <v>347</v>
      </c>
      <c r="D19" s="48" t="s">
        <v>41</v>
      </c>
      <c r="E19" s="163">
        <f>IF(D19=$N$6,1,IF(D19=$N$5,2,IF(D19=$N$4,3,IF(D19=$N$3,4,"n/a"))))</f>
        <v>2</v>
      </c>
      <c r="F19" s="533" t="s">
        <v>228</v>
      </c>
      <c r="G19" s="534"/>
      <c r="H19" s="534"/>
      <c r="I19" s="534"/>
      <c r="J19" s="534"/>
      <c r="K19" s="535"/>
      <c r="L19" s="378" t="s">
        <v>95</v>
      </c>
      <c r="N19" s="16"/>
    </row>
    <row r="20" spans="1:14" s="124" customFormat="1" ht="197" customHeight="1" thickBot="1" x14ac:dyDescent="0.35">
      <c r="A20" s="550" t="s">
        <v>69</v>
      </c>
      <c r="B20" s="550"/>
      <c r="C20" s="184" t="s">
        <v>348</v>
      </c>
      <c r="D20" s="176" t="s">
        <v>78</v>
      </c>
      <c r="E20" s="175">
        <f>IF(D20=$N$6,1,IF(D20=$N$5,2,IF(D20=$N$4,3,IF(D20=$N$3,4,"n/a"))))</f>
        <v>1</v>
      </c>
      <c r="F20" s="519" t="s">
        <v>224</v>
      </c>
      <c r="G20" s="551"/>
      <c r="H20" s="520"/>
      <c r="I20" s="520"/>
      <c r="J20" s="520"/>
      <c r="K20" s="521"/>
      <c r="L20" s="381"/>
      <c r="N20" s="16"/>
    </row>
    <row r="21" spans="1:14" s="105" customFormat="1" ht="29.25" customHeight="1" thickBot="1" x14ac:dyDescent="0.3">
      <c r="A21" s="545"/>
      <c r="B21" s="547"/>
      <c r="C21" s="183" t="s">
        <v>23</v>
      </c>
      <c r="D21" s="27" t="str">
        <f>IF(E21&lt;1.5,$N$6,IF(E21&lt;2.5,$N$5,IF(E21&lt;3.5,$N$4,IF(E21&lt;4.5,$N$3,"n/a"))))</f>
        <v>Moderate/Low</v>
      </c>
      <c r="E21" s="145">
        <f>IF(COUNT(E19:E20)=0,"n/a",AVERAGE(E19:E20))</f>
        <v>1.5</v>
      </c>
      <c r="F21" s="28">
        <f>E21</f>
        <v>1.5</v>
      </c>
      <c r="G21" s="216"/>
      <c r="H21" s="29" t="s">
        <v>22</v>
      </c>
      <c r="I21" s="26" t="str">
        <f>D21</f>
        <v>Moderate/Low</v>
      </c>
      <c r="J21" s="91">
        <f>IF(I21=$N$7,"n/a",IF(AND(I21=$N$5,D21=$N$6),1.5,IF(AND(I21=$N$4,D21=$N$5),2.5,IF(AND(I21=$N$3,D21=$N$4),3.5,IF(AND(I21=$N$6,D21=$N$5),1.49,IF(AND(I21=$N$5,D21=$N$4),2.49,IF(AND(I21=$N$4,D21=$N$3),3.49,E21)))))))</f>
        <v>1.5</v>
      </c>
      <c r="K21" s="89" t="s">
        <v>90</v>
      </c>
      <c r="L21" s="382"/>
    </row>
    <row r="22" spans="1:14" s="105" customFormat="1" ht="22.5" customHeight="1" thickBot="1" x14ac:dyDescent="0.3">
      <c r="A22" s="125" t="s">
        <v>212</v>
      </c>
      <c r="B22" s="126"/>
      <c r="C22" s="126"/>
      <c r="D22" s="127"/>
      <c r="E22" s="127"/>
      <c r="F22" s="127"/>
      <c r="G22" s="127"/>
      <c r="H22" s="127"/>
      <c r="I22" s="127"/>
      <c r="J22" s="127"/>
      <c r="K22" s="127"/>
      <c r="L22" s="376"/>
    </row>
    <row r="23" spans="1:14" ht="21.75" customHeight="1" thickBot="1" x14ac:dyDescent="0.3">
      <c r="A23" s="128" t="s">
        <v>43</v>
      </c>
      <c r="B23" s="129"/>
      <c r="C23" s="129"/>
      <c r="D23" s="129"/>
      <c r="E23" s="129"/>
      <c r="F23" s="129"/>
      <c r="G23" s="129"/>
      <c r="H23" s="129"/>
      <c r="I23" s="129"/>
      <c r="J23" s="129"/>
      <c r="K23" s="129"/>
      <c r="L23" s="378" t="s">
        <v>95</v>
      </c>
    </row>
    <row r="24" spans="1:14" ht="269" customHeight="1" x14ac:dyDescent="0.25">
      <c r="A24" s="542" t="s">
        <v>44</v>
      </c>
      <c r="B24" s="543"/>
      <c r="C24" s="173" t="s">
        <v>349</v>
      </c>
      <c r="D24" s="164" t="s">
        <v>41</v>
      </c>
      <c r="E24" s="174">
        <f>IF(D24=$N$6,1,IF(D24=$N$5,2,IF(D24=$N$4,3,IF(D24=$N$3,4,"n/a"))))</f>
        <v>2</v>
      </c>
      <c r="F24" s="544" t="s">
        <v>229</v>
      </c>
      <c r="G24" s="544"/>
      <c r="H24" s="544"/>
      <c r="I24" s="544"/>
      <c r="J24" s="544"/>
      <c r="K24" s="544"/>
      <c r="L24" s="378" t="s">
        <v>95</v>
      </c>
    </row>
    <row r="25" spans="1:14" ht="279.5" customHeight="1" thickBot="1" x14ac:dyDescent="0.3">
      <c r="A25" s="553" t="s">
        <v>61</v>
      </c>
      <c r="B25" s="554"/>
      <c r="C25" s="185" t="s">
        <v>350</v>
      </c>
      <c r="D25" s="165" t="s">
        <v>18</v>
      </c>
      <c r="E25" s="175" t="str">
        <f>IF(D25=$N$6,1,IF(D25=$N$5,2,IF(D25=$N$4,3,IF(D25=$N$3,4,"n/a"))))</f>
        <v>n/a</v>
      </c>
      <c r="F25" s="519" t="s">
        <v>230</v>
      </c>
      <c r="G25" s="520"/>
      <c r="H25" s="520"/>
      <c r="I25" s="520"/>
      <c r="J25" s="520"/>
      <c r="K25" s="521"/>
      <c r="L25" s="380"/>
    </row>
    <row r="26" spans="1:14" ht="35.25" customHeight="1" thickBot="1" x14ac:dyDescent="0.3">
      <c r="A26" s="578"/>
      <c r="B26" s="579"/>
      <c r="C26" s="40" t="s">
        <v>23</v>
      </c>
      <c r="D26" s="27" t="str">
        <f>IF(E26&lt;1.5,"Low",IF(E26&lt;2.5,"Moderate",IF(E26&lt;3.5,"Substantial",IF(E26&lt;4.5,"High","n/a"))))</f>
        <v>Moderate</v>
      </c>
      <c r="E26" s="145">
        <f>IF(COUNT(E24:E25)=0,"n/a",AVERAGE(E24:E25))</f>
        <v>2</v>
      </c>
      <c r="F26" s="49">
        <f>E26</f>
        <v>2</v>
      </c>
      <c r="G26" s="216"/>
      <c r="H26" s="50" t="s">
        <v>22</v>
      </c>
      <c r="I26" s="26" t="s">
        <v>41</v>
      </c>
      <c r="J26" s="91">
        <f>IF(I26=$N$7,"n/a",IF(AND(I26=$N$5,D26=$N$6),1.5,IF(AND(I26=$N$4,D26=$N$5),2.5,IF(AND(I26=$N$3,D26=$N$4),3.5,IF(AND(I26=$N$6,D26=$N$5),1.49,IF(AND(I26=$N$5,D26=$N$4),2.49,IF(AND(I26=$N$4,D26=$N$3),3.49,E26)))))))</f>
        <v>2</v>
      </c>
      <c r="K26" s="326" t="s">
        <v>90</v>
      </c>
      <c r="L26" s="380"/>
    </row>
    <row r="27" spans="1:14" ht="20.25" customHeight="1" thickBot="1" x14ac:dyDescent="0.3">
      <c r="A27" s="130" t="s">
        <v>47</v>
      </c>
      <c r="B27" s="131"/>
      <c r="C27" s="132"/>
      <c r="D27" s="133"/>
      <c r="E27" s="133"/>
      <c r="F27" s="133"/>
      <c r="G27" s="133"/>
      <c r="H27" s="133"/>
      <c r="I27" s="133"/>
      <c r="J27" s="133"/>
      <c r="K27" s="133"/>
      <c r="L27" s="380"/>
    </row>
    <row r="28" spans="1:14" ht="276.5" customHeight="1" x14ac:dyDescent="0.25">
      <c r="A28" s="565" t="s">
        <v>64</v>
      </c>
      <c r="B28" s="549"/>
      <c r="C28" s="41" t="s">
        <v>351</v>
      </c>
      <c r="D28" s="166" t="s">
        <v>41</v>
      </c>
      <c r="E28" s="177">
        <f>IF(D28=$N$6,1,IF(D28=$N$5,2,IF(D28=$N$4,3,IF(D28=$N$3,4,"n/a"))))</f>
        <v>2</v>
      </c>
      <c r="F28" s="566" t="s">
        <v>231</v>
      </c>
      <c r="G28" s="567"/>
      <c r="H28" s="567"/>
      <c r="I28" s="567"/>
      <c r="J28" s="567"/>
      <c r="K28" s="568"/>
      <c r="L28" s="380"/>
    </row>
    <row r="29" spans="1:14" ht="253.5" customHeight="1" x14ac:dyDescent="0.25">
      <c r="A29" s="565" t="s">
        <v>45</v>
      </c>
      <c r="B29" s="549"/>
      <c r="C29" s="41" t="s">
        <v>352</v>
      </c>
      <c r="D29" s="48" t="s">
        <v>41</v>
      </c>
      <c r="E29" s="163">
        <f>IF(D29=$N$6,1,IF(D29=$N$5,2,IF(D29=$N$4,3,IF(D29=$N$3,4,"n/a"))))</f>
        <v>2</v>
      </c>
      <c r="F29" s="533" t="s">
        <v>232</v>
      </c>
      <c r="G29" s="534"/>
      <c r="H29" s="534"/>
      <c r="I29" s="534"/>
      <c r="J29" s="534"/>
      <c r="K29" s="535"/>
      <c r="L29" s="380"/>
    </row>
    <row r="30" spans="1:14" s="134" customFormat="1" ht="263" customHeight="1" x14ac:dyDescent="0.25">
      <c r="A30" s="565" t="s">
        <v>59</v>
      </c>
      <c r="B30" s="549"/>
      <c r="C30" s="41" t="s">
        <v>353</v>
      </c>
      <c r="D30" s="48" t="s">
        <v>41</v>
      </c>
      <c r="E30" s="163">
        <f>IF(D30=$N$6,1,IF(D30=$N$5,2,IF(D30=$N$4,3,IF(D30=$N$3,4,"n/a"))))</f>
        <v>2</v>
      </c>
      <c r="F30" s="552" t="s">
        <v>233</v>
      </c>
      <c r="G30" s="552"/>
      <c r="H30" s="552"/>
      <c r="I30" s="552"/>
      <c r="J30" s="552"/>
      <c r="K30" s="552"/>
      <c r="L30" s="376"/>
    </row>
    <row r="31" spans="1:14" s="105" customFormat="1" ht="277.5" customHeight="1" thickBot="1" x14ac:dyDescent="0.3">
      <c r="A31" s="583" t="s">
        <v>60</v>
      </c>
      <c r="B31" s="584"/>
      <c r="C31" s="185" t="s">
        <v>354</v>
      </c>
      <c r="D31" s="167" t="s">
        <v>41</v>
      </c>
      <c r="E31" s="172">
        <f>IF(D31=$N$6,1,IF(D31=$N$5,2,IF(D31=$N$4,3,IF(D31=$N$3,4,"n/a"))))</f>
        <v>2</v>
      </c>
      <c r="F31" s="557" t="s">
        <v>234</v>
      </c>
      <c r="G31" s="551"/>
      <c r="H31" s="551"/>
      <c r="I31" s="551"/>
      <c r="J31" s="551"/>
      <c r="K31" s="558"/>
      <c r="L31" s="378" t="s">
        <v>95</v>
      </c>
    </row>
    <row r="32" spans="1:14" s="105" customFormat="1" ht="25.5" customHeight="1" thickBot="1" x14ac:dyDescent="0.3">
      <c r="A32" s="188"/>
      <c r="B32" s="189"/>
      <c r="C32" s="40" t="s">
        <v>23</v>
      </c>
      <c r="D32" s="27" t="str">
        <f>IF(E32&lt;1.5,"Low",IF(E32&lt;2.5,"Moderate",IF(E32&lt;3.5,"Substantial",IF(E32&lt;4.5,"High","n/a"))))</f>
        <v>Moderate</v>
      </c>
      <c r="E32" s="145">
        <f>IF(COUNT(E28:E31)=0,"n/a",AVERAGE(E28:E31))</f>
        <v>2</v>
      </c>
      <c r="F32" s="28">
        <f>E32</f>
        <v>2</v>
      </c>
      <c r="G32" s="216"/>
      <c r="H32" s="29" t="s">
        <v>22</v>
      </c>
      <c r="I32" s="26" t="str">
        <f>D32</f>
        <v>Moderate</v>
      </c>
      <c r="J32" s="30">
        <f>IF(I32=$N$7,"n/a",IF(AND(I32=$N$5,D32=$N$6),1.5,IF(AND(I32=$N$4,D32=$N$5),2.5,IF(AND(I32=$N$3,D32=$N$4),3.5,IF(AND(I32=$N$6,D32=$N$5),1.49,IF(AND(I32=$N$5,D32=$N$4),2.49,IF(AND(I32=$N$4,D32=$N$3),3.49,E32)))))))</f>
        <v>2</v>
      </c>
      <c r="K32" s="181" t="s">
        <v>90</v>
      </c>
      <c r="L32" s="376"/>
    </row>
    <row r="33" spans="1:12" s="105" customFormat="1" ht="25.5" customHeight="1" thickBot="1" x14ac:dyDescent="0.3">
      <c r="A33" s="186" t="s">
        <v>48</v>
      </c>
      <c r="B33" s="187"/>
      <c r="C33" s="187"/>
      <c r="D33" s="187"/>
      <c r="E33" s="187"/>
      <c r="F33" s="187"/>
      <c r="G33" s="187"/>
      <c r="H33" s="187"/>
      <c r="I33" s="187"/>
      <c r="J33" s="187"/>
      <c r="K33" s="187"/>
      <c r="L33" s="376"/>
    </row>
    <row r="34" spans="1:12" s="105" customFormat="1" ht="274.5" customHeight="1" x14ac:dyDescent="0.25">
      <c r="A34" s="538" t="s">
        <v>49</v>
      </c>
      <c r="B34" s="539"/>
      <c r="C34" s="47" t="s">
        <v>355</v>
      </c>
      <c r="D34" s="48" t="s">
        <v>41</v>
      </c>
      <c r="E34" s="118">
        <f>IF(D34=$N$6,1,IF(D34=$N$5,2,IF(D34=$N$4,3,IF(D34=$N$3,4,"n/a"))))</f>
        <v>2</v>
      </c>
      <c r="F34" s="544" t="s">
        <v>235</v>
      </c>
      <c r="G34" s="544"/>
      <c r="H34" s="544"/>
      <c r="I34" s="544"/>
      <c r="J34" s="544"/>
      <c r="K34" s="544"/>
      <c r="L34" s="378" t="s">
        <v>95</v>
      </c>
    </row>
    <row r="35" spans="1:12" s="105" customFormat="1" ht="215.5" customHeight="1" x14ac:dyDescent="0.25">
      <c r="A35" s="548" t="s">
        <v>50</v>
      </c>
      <c r="B35" s="549"/>
      <c r="C35" s="47" t="s">
        <v>356</v>
      </c>
      <c r="D35" s="168" t="s">
        <v>41</v>
      </c>
      <c r="E35" s="118">
        <f>IF(D35=$N$6,1,IF(D35=$N$5,2,IF(D35=$N$4,3,IF(D35=$N$3,4,"n/a"))))</f>
        <v>2</v>
      </c>
      <c r="F35" s="533" t="s">
        <v>236</v>
      </c>
      <c r="G35" s="534"/>
      <c r="H35" s="534"/>
      <c r="I35" s="534"/>
      <c r="J35" s="534"/>
      <c r="K35" s="535"/>
      <c r="L35" s="376"/>
    </row>
    <row r="36" spans="1:12" s="105" customFormat="1" ht="255" customHeight="1" x14ac:dyDescent="0.25">
      <c r="A36" s="538" t="s">
        <v>66</v>
      </c>
      <c r="B36" s="539"/>
      <c r="C36" s="47" t="s">
        <v>357</v>
      </c>
      <c r="D36" s="168" t="s">
        <v>41</v>
      </c>
      <c r="E36" s="118">
        <f>IF(D36=$N$6,1,IF(D36=$N$5,2,IF(D36=$N$4,3,IF(D36=$N$3,4,"n/a"))))</f>
        <v>2</v>
      </c>
      <c r="F36" s="533" t="s">
        <v>237</v>
      </c>
      <c r="G36" s="534"/>
      <c r="H36" s="534"/>
      <c r="I36" s="534"/>
      <c r="J36" s="534"/>
      <c r="K36" s="535"/>
      <c r="L36" s="376"/>
    </row>
    <row r="37" spans="1:12" s="105" customFormat="1" ht="249" customHeight="1" thickBot="1" x14ac:dyDescent="0.3">
      <c r="A37" s="569" t="s">
        <v>67</v>
      </c>
      <c r="B37" s="570"/>
      <c r="C37" s="190" t="s">
        <v>358</v>
      </c>
      <c r="D37" s="167" t="s">
        <v>41</v>
      </c>
      <c r="E37" s="171">
        <f>IF(D37=$N$6,1,IF(D37=$N$5,2,IF(D37=$N$4,3,IF(D37=$N$3,4,"n/a"))))</f>
        <v>2</v>
      </c>
      <c r="F37" s="571" t="s">
        <v>238</v>
      </c>
      <c r="G37" s="552"/>
      <c r="H37" s="552"/>
      <c r="I37" s="552"/>
      <c r="J37" s="552"/>
      <c r="K37" s="572"/>
      <c r="L37" s="376"/>
    </row>
    <row r="38" spans="1:12" s="105" customFormat="1" ht="25.5" customHeight="1" thickBot="1" x14ac:dyDescent="0.3">
      <c r="A38" s="42"/>
      <c r="B38" s="43"/>
      <c r="C38" s="44" t="s">
        <v>23</v>
      </c>
      <c r="D38" s="27" t="str">
        <f>IF(E38&lt;1.5,"Low",IF(E38&lt;2.5,"Moderate",IF(E38&lt;3.5,"Substantial",IF(E38&lt;4.5,"High","n/a"))))</f>
        <v>Moderate</v>
      </c>
      <c r="E38" s="145">
        <f>IF(COUNT(E34:E37)=0,"n/a",AVERAGE(E34:E37))</f>
        <v>2</v>
      </c>
      <c r="F38" s="28">
        <f>E38</f>
        <v>2</v>
      </c>
      <c r="G38" s="216"/>
      <c r="H38" s="29" t="s">
        <v>22</v>
      </c>
      <c r="I38" s="26" t="str">
        <f>D38</f>
        <v>Moderate</v>
      </c>
      <c r="J38" s="30">
        <f>IF(I38=$N$7,"n/a",IF(AND(I38=$N$5,D38=$N$6),1.5,IF(AND(I38=$N$4,D38=$N$5),2.5,IF(AND(I38=$N$3,D38=$N$4),3.5,IF(AND(I38=$N$6,D38=$N$5),1.49,IF(AND(I38=$N$5,D38=$N$4),2.49,IF(AND(I38=$N$4,D38=$N$3),3.49,E38)))))))</f>
        <v>2</v>
      </c>
      <c r="K38" s="181" t="s">
        <v>90</v>
      </c>
      <c r="L38" s="376"/>
    </row>
    <row r="39" spans="1:12" s="124" customFormat="1" ht="22.5" customHeight="1" thickBot="1" x14ac:dyDescent="0.35">
      <c r="A39" s="31" t="s">
        <v>213</v>
      </c>
      <c r="B39" s="32"/>
      <c r="C39" s="33"/>
      <c r="D39" s="35"/>
      <c r="E39" s="35"/>
      <c r="F39" s="34"/>
      <c r="G39" s="135"/>
      <c r="H39" s="35"/>
      <c r="I39" s="35"/>
      <c r="J39" s="34"/>
      <c r="K39" s="136"/>
      <c r="L39" s="380"/>
    </row>
    <row r="40" spans="1:12" s="124" customFormat="1" ht="22.5" customHeight="1" x14ac:dyDescent="0.3">
      <c r="A40" s="137" t="s">
        <v>32</v>
      </c>
      <c r="B40" s="138"/>
      <c r="C40" s="138"/>
      <c r="D40" s="138"/>
      <c r="E40" s="138"/>
      <c r="F40" s="138"/>
      <c r="G40" s="138"/>
      <c r="H40" s="138"/>
      <c r="I40" s="138"/>
      <c r="J40" s="138"/>
      <c r="K40" s="138"/>
      <c r="L40" s="380"/>
    </row>
    <row r="41" spans="1:12" s="105" customFormat="1" ht="231.5" customHeight="1" x14ac:dyDescent="0.25">
      <c r="A41" s="529" t="s">
        <v>40</v>
      </c>
      <c r="B41" s="529"/>
      <c r="C41" s="38" t="s">
        <v>359</v>
      </c>
      <c r="D41" s="48" t="s">
        <v>41</v>
      </c>
      <c r="E41" s="163">
        <f>IF(D41=$N$6,1,IF(D41=$N$5,2,IF(D41=$N$4,3,IF(D41=$N$3,4,"n/a"))))</f>
        <v>2</v>
      </c>
      <c r="F41" s="551" t="s">
        <v>239</v>
      </c>
      <c r="G41" s="551"/>
      <c r="H41" s="551"/>
      <c r="I41" s="551"/>
      <c r="J41" s="551"/>
      <c r="K41" s="551"/>
      <c r="L41" s="378" t="s">
        <v>95</v>
      </c>
    </row>
    <row r="42" spans="1:12" s="105" customFormat="1" ht="243" customHeight="1" thickBot="1" x14ac:dyDescent="0.3">
      <c r="A42" s="560" t="s">
        <v>138</v>
      </c>
      <c r="B42" s="561"/>
      <c r="C42" s="191" t="s">
        <v>360</v>
      </c>
      <c r="D42" s="48" t="s">
        <v>4</v>
      </c>
      <c r="E42" s="163">
        <f>IF(D42=$N$6,1,IF(D42=$N$5,2,IF(D42=$N$4,3,IF(D42=$N$3,4,"n/a"))))</f>
        <v>4</v>
      </c>
      <c r="F42" s="551" t="s">
        <v>240</v>
      </c>
      <c r="G42" s="551"/>
      <c r="H42" s="551"/>
      <c r="I42" s="551"/>
      <c r="J42" s="551"/>
      <c r="K42" s="558"/>
      <c r="L42" s="376"/>
    </row>
    <row r="43" spans="1:12" s="124" customFormat="1" ht="30" customHeight="1" thickBot="1" x14ac:dyDescent="0.35">
      <c r="A43" s="559"/>
      <c r="B43" s="531"/>
      <c r="C43" s="36" t="s">
        <v>23</v>
      </c>
      <c r="D43" s="27" t="str">
        <f>IF(E43&lt;1.5,"Low",IF(E43&lt;2.5,"Moderate",IF(E43&lt;3.5,"Substantial",IF(E43&lt;4.5,"High","n/a"))))</f>
        <v>Substantial</v>
      </c>
      <c r="E43" s="145">
        <f>IF(COUNT(E41:E42)=0,"n/a",AVERAGE(E41:E42))</f>
        <v>3</v>
      </c>
      <c r="F43" s="28">
        <f>E43</f>
        <v>3</v>
      </c>
      <c r="G43" s="216"/>
      <c r="H43" s="29" t="s">
        <v>22</v>
      </c>
      <c r="I43" s="26" t="str">
        <f>D43</f>
        <v>Substantial</v>
      </c>
      <c r="J43" s="30">
        <f>IF(I43=$N$7,"n/a",IF(AND(I43=$N$5,D43=$N$6),1.5,IF(AND(I43=$N$4,D43=$N$5),2.5,IF(AND(I43=$N$3,D43=$N$4),3.5,IF(AND(I43=$N$6,D43=$N$5),1.49,IF(AND(I43=$N$5,D43=$N$4),2.49,IF(AND(I43=$N$4,D43=$N$3),3.49,E43)))))))</f>
        <v>3</v>
      </c>
      <c r="K43" s="192" t="s">
        <v>90</v>
      </c>
      <c r="L43" s="383"/>
    </row>
    <row r="44" spans="1:12" s="124" customFormat="1" ht="18" customHeight="1" thickBot="1" x14ac:dyDescent="0.35">
      <c r="A44" s="139" t="s">
        <v>33</v>
      </c>
      <c r="B44" s="140"/>
      <c r="C44" s="140"/>
      <c r="D44" s="141"/>
      <c r="E44" s="141"/>
      <c r="F44" s="141"/>
      <c r="G44" s="141"/>
      <c r="H44" s="141"/>
      <c r="I44" s="141"/>
      <c r="J44" s="141"/>
      <c r="K44" s="141"/>
      <c r="L44" s="380"/>
    </row>
    <row r="45" spans="1:12" s="105" customFormat="1" ht="271" customHeight="1" x14ac:dyDescent="0.3">
      <c r="A45" s="529" t="s">
        <v>139</v>
      </c>
      <c r="B45" s="530"/>
      <c r="C45" s="38" t="s">
        <v>361</v>
      </c>
      <c r="D45" s="48" t="s">
        <v>41</v>
      </c>
      <c r="E45" s="163">
        <f>IF(D45=$N$6,1,IF(D45=$N$5,2,IF(D45=$N$4,3,IF(D45=$N$3,4,"n/a"))))</f>
        <v>2</v>
      </c>
      <c r="F45" s="566" t="s">
        <v>241</v>
      </c>
      <c r="G45" s="567"/>
      <c r="H45" s="567"/>
      <c r="I45" s="567"/>
      <c r="J45" s="567"/>
      <c r="K45" s="568"/>
      <c r="L45" s="376"/>
    </row>
    <row r="46" spans="1:12" s="105" customFormat="1" ht="223.5" customHeight="1" x14ac:dyDescent="0.25">
      <c r="A46" s="562" t="s">
        <v>38</v>
      </c>
      <c r="B46" s="563"/>
      <c r="C46" s="38" t="s">
        <v>362</v>
      </c>
      <c r="D46" s="48" t="s">
        <v>41</v>
      </c>
      <c r="E46" s="163">
        <f>IF(D46=$N$6,1,IF(D46=$N$5,2,IF(D46=$N$4,3,IF(D46=$N$3,4,"n/a"))))</f>
        <v>2</v>
      </c>
      <c r="F46" s="564" t="s">
        <v>242</v>
      </c>
      <c r="G46" s="564"/>
      <c r="H46" s="564"/>
      <c r="I46" s="564"/>
      <c r="J46" s="564"/>
      <c r="K46" s="564"/>
      <c r="L46" s="376"/>
    </row>
    <row r="47" spans="1:12" s="105" customFormat="1" ht="326.5" customHeight="1" x14ac:dyDescent="0.25">
      <c r="A47" s="562" t="s">
        <v>141</v>
      </c>
      <c r="B47" s="563"/>
      <c r="C47" s="38" t="s">
        <v>363</v>
      </c>
      <c r="D47" s="48" t="s">
        <v>41</v>
      </c>
      <c r="E47" s="163">
        <f>IF(D47=$N$6,1,IF(D47=$N$5,2,IF(D47=$N$4,3,IF(D47=$N$3,4,"n/a"))))</f>
        <v>2</v>
      </c>
      <c r="F47" s="534" t="s">
        <v>243</v>
      </c>
      <c r="G47" s="534"/>
      <c r="H47" s="534"/>
      <c r="I47" s="534"/>
      <c r="J47" s="534"/>
      <c r="K47" s="534"/>
      <c r="L47" s="376"/>
    </row>
    <row r="48" spans="1:12" s="105" customFormat="1" ht="409.5" customHeight="1" thickBot="1" x14ac:dyDescent="0.3">
      <c r="A48" s="560" t="s">
        <v>142</v>
      </c>
      <c r="B48" s="561"/>
      <c r="C48" s="193" t="s">
        <v>364</v>
      </c>
      <c r="D48" s="167" t="s">
        <v>41</v>
      </c>
      <c r="E48" s="163">
        <f>IF(D48=$N$6,1,IF(D48=$N$5,2,IF(D48=$N$4,3,IF(D48=$N$3,4,"n/a"))))</f>
        <v>2</v>
      </c>
      <c r="F48" s="519" t="s">
        <v>244</v>
      </c>
      <c r="G48" s="520"/>
      <c r="H48" s="520"/>
      <c r="I48" s="520"/>
      <c r="J48" s="520"/>
      <c r="K48" s="521"/>
      <c r="L48" s="376"/>
    </row>
    <row r="49" spans="1:19" s="124" customFormat="1" ht="32.25" customHeight="1" thickBot="1" x14ac:dyDescent="0.35">
      <c r="A49" s="531"/>
      <c r="B49" s="532"/>
      <c r="C49" s="36" t="s">
        <v>23</v>
      </c>
      <c r="D49" s="27" t="str">
        <f>IF(E49&lt;1.5,"Low",IF(E49&lt;2.5,"Moderate",IF(E49&lt;3.5,"Substantial",IF(E49&lt;4.5,"High","n/a"))))</f>
        <v>Moderate</v>
      </c>
      <c r="E49" s="145">
        <f>IF(COUNT(E45:E48)=0,"n/a",AVERAGE(E45:E48))</f>
        <v>2</v>
      </c>
      <c r="F49" s="49">
        <f>E49</f>
        <v>2</v>
      </c>
      <c r="G49" s="216"/>
      <c r="H49" s="50" t="s">
        <v>22</v>
      </c>
      <c r="I49" s="325" t="str">
        <f>D49</f>
        <v>Moderate</v>
      </c>
      <c r="J49" s="91">
        <f>IF(I49=$N$7,"n/a",IF(AND(I49=$N$5,D49=$N$6),1.5,IF(AND(I49=$N$4,D49=$N$5),2.5,IF(AND(I49=$N$3,D49=$N$4),3.5,IF(AND(I49=$N$6,D49=$N$5),1.49,IF(AND(I49=$N$5,D49=$N$4),2.49,IF(AND(I49=$N$4,D49=$N$3),3.49,E49)))))))</f>
        <v>2</v>
      </c>
      <c r="K49" s="92" t="s">
        <v>90</v>
      </c>
      <c r="L49" s="380"/>
    </row>
    <row r="50" spans="1:19" s="124" customFormat="1" ht="22.5" customHeight="1" thickBot="1" x14ac:dyDescent="0.35">
      <c r="A50" s="142" t="s">
        <v>145</v>
      </c>
      <c r="B50" s="143"/>
      <c r="C50" s="169"/>
      <c r="D50" s="169"/>
      <c r="E50" s="170"/>
      <c r="F50" s="144"/>
      <c r="G50" s="144"/>
      <c r="H50" s="144"/>
      <c r="I50" s="144"/>
      <c r="J50" s="144"/>
      <c r="K50" s="144"/>
      <c r="L50" s="380"/>
    </row>
    <row r="51" spans="1:19" s="124" customFormat="1" ht="278" customHeight="1" x14ac:dyDescent="0.3">
      <c r="A51" s="575" t="s">
        <v>144</v>
      </c>
      <c r="B51" s="575"/>
      <c r="C51" s="193" t="s">
        <v>365</v>
      </c>
      <c r="D51" s="168" t="s">
        <v>5</v>
      </c>
      <c r="E51" s="162">
        <f>IF(D51=$N$6,1,IF(D51=$N$5,2,IF(D51=$N$4,3,IF(D51=$N$3,4,"n/a"))))</f>
        <v>3</v>
      </c>
      <c r="F51" s="566" t="s">
        <v>245</v>
      </c>
      <c r="G51" s="567"/>
      <c r="H51" s="567"/>
      <c r="I51" s="567"/>
      <c r="J51" s="567"/>
      <c r="K51" s="568"/>
      <c r="L51" s="380"/>
    </row>
    <row r="52" spans="1:19" s="124" customFormat="1" ht="240.5" customHeight="1" x14ac:dyDescent="0.3">
      <c r="A52" s="575" t="s">
        <v>140</v>
      </c>
      <c r="B52" s="575"/>
      <c r="C52" s="193" t="s">
        <v>366</v>
      </c>
      <c r="D52" s="168" t="s">
        <v>41</v>
      </c>
      <c r="E52" s="162">
        <f>IF(D52=$N$6,1,IF(D52=$N$5,2,IF(D52=$N$4,3,IF(D52=$N$3,4,"n/a"))))</f>
        <v>2</v>
      </c>
      <c r="F52" s="533" t="s">
        <v>246</v>
      </c>
      <c r="G52" s="534"/>
      <c r="H52" s="534"/>
      <c r="I52" s="534"/>
      <c r="J52" s="534"/>
      <c r="K52" s="535"/>
      <c r="L52" s="380"/>
    </row>
    <row r="53" spans="1:19" s="124" customFormat="1" ht="255" customHeight="1" x14ac:dyDescent="0.3">
      <c r="A53" s="529" t="s">
        <v>143</v>
      </c>
      <c r="B53" s="529"/>
      <c r="C53" s="38" t="s">
        <v>367</v>
      </c>
      <c r="D53" s="168" t="s">
        <v>41</v>
      </c>
      <c r="E53" s="162">
        <f>IF(D53=$N$6,1,IF(D53=$N$5,2,IF(D53=$N$4,3,IF(D53=$N$3,4,"n/a"))))</f>
        <v>2</v>
      </c>
      <c r="F53" s="576" t="s">
        <v>247</v>
      </c>
      <c r="G53" s="564"/>
      <c r="H53" s="564"/>
      <c r="I53" s="564"/>
      <c r="J53" s="564"/>
      <c r="K53" s="577"/>
      <c r="L53" s="380"/>
    </row>
    <row r="54" spans="1:19" s="124" customFormat="1" ht="295" customHeight="1" x14ac:dyDescent="0.3">
      <c r="A54" s="575" t="s">
        <v>146</v>
      </c>
      <c r="B54" s="575"/>
      <c r="C54" s="193" t="s">
        <v>368</v>
      </c>
      <c r="D54" s="48" t="s">
        <v>41</v>
      </c>
      <c r="E54" s="171">
        <f>IF(D54=$N$6,1,IF(D54=$N$5,2,IF(D54=$N$4,3,IF(D54=$N$3,4,"n/a"))))</f>
        <v>2</v>
      </c>
      <c r="F54" s="533" t="s">
        <v>248</v>
      </c>
      <c r="G54" s="551"/>
      <c r="H54" s="534"/>
      <c r="I54" s="534"/>
      <c r="J54" s="534"/>
      <c r="K54" s="535"/>
      <c r="L54" s="380"/>
    </row>
    <row r="55" spans="1:19" s="124" customFormat="1" ht="390.5" customHeight="1" thickBot="1" x14ac:dyDescent="0.35">
      <c r="A55" s="529" t="s">
        <v>147</v>
      </c>
      <c r="B55" s="529"/>
      <c r="C55" s="38" t="s">
        <v>369</v>
      </c>
      <c r="D55" s="168" t="s">
        <v>41</v>
      </c>
      <c r="E55" s="163">
        <f>IF(D55=$N$6,1,IF(D55=$N$5,2,IF(D55=$N$4,3,IF(D55=$N$3,4,"n/a"))))</f>
        <v>2</v>
      </c>
      <c r="F55" s="534" t="s">
        <v>249</v>
      </c>
      <c r="G55" s="534"/>
      <c r="H55" s="534"/>
      <c r="I55" s="534"/>
      <c r="J55" s="551"/>
      <c r="K55" s="534"/>
      <c r="L55" s="380"/>
    </row>
    <row r="56" spans="1:19" s="105" customFormat="1" ht="28.5" customHeight="1" thickBot="1" x14ac:dyDescent="0.3">
      <c r="A56" s="585"/>
      <c r="B56" s="586"/>
      <c r="C56" s="36" t="s">
        <v>23</v>
      </c>
      <c r="D56" s="27" t="str">
        <f>IF(E56&lt;1.5,"Low",IF(E56&lt;2.5,"Moderate",IF(E56&lt;3.5,"Substantial",IF(E56&lt;4.5,"High","n/a"))))</f>
        <v>Moderate</v>
      </c>
      <c r="E56" s="145">
        <f>IF(COUNT(E51:E55)=0,"n/a",AVERAGE(E51:E55))</f>
        <v>2.2000000000000002</v>
      </c>
      <c r="F56" s="28">
        <f>E56</f>
        <v>2.2000000000000002</v>
      </c>
      <c r="G56" s="216"/>
      <c r="H56" s="29" t="s">
        <v>22</v>
      </c>
      <c r="I56" s="26" t="str">
        <f>D56</f>
        <v>Moderate</v>
      </c>
      <c r="J56" s="30">
        <f>IF(I56=$N$7,"n/a",IF(AND(I56=$N$5,D56=$N$6),1.5,IF(AND(I56=$N$4,D56=$N$5),2.5,IF(AND(I56=$N$3,D56=$N$4),3.5,IF(AND(I56=$N$6,D56=$N$5),1.49,IF(AND(I56=$N$5,D56=$N$4),2.49,IF(AND(I56=$N$4,D56=$N$3),3.49,E56)))))))</f>
        <v>2.2000000000000002</v>
      </c>
      <c r="K56" s="89" t="s">
        <v>90</v>
      </c>
      <c r="L56" s="376"/>
    </row>
    <row r="57" spans="1:19" s="105" customFormat="1" ht="19.5" customHeight="1" thickBot="1" x14ac:dyDescent="0.3">
      <c r="A57" s="139" t="s">
        <v>148</v>
      </c>
      <c r="B57" s="146"/>
      <c r="C57" s="194"/>
      <c r="D57" s="147"/>
      <c r="E57" s="147"/>
      <c r="F57" s="147"/>
      <c r="G57" s="147"/>
      <c r="H57" s="147"/>
      <c r="I57" s="147"/>
      <c r="J57" s="147"/>
      <c r="K57" s="147"/>
      <c r="L57" s="376"/>
    </row>
    <row r="58" spans="1:19" s="124" customFormat="1" ht="360.5" customHeight="1" x14ac:dyDescent="0.3">
      <c r="A58" s="529" t="s">
        <v>37</v>
      </c>
      <c r="B58" s="529"/>
      <c r="C58" s="38" t="s">
        <v>370</v>
      </c>
      <c r="D58" s="166" t="s">
        <v>5</v>
      </c>
      <c r="E58" s="171">
        <f>IF(D58=$N$6,1,IF(D58=$N$5,2,IF(D58=$N$4,3,IF(D58=$N$3,4,"n/a"))))</f>
        <v>3</v>
      </c>
      <c r="F58" s="580" t="s">
        <v>250</v>
      </c>
      <c r="G58" s="581"/>
      <c r="H58" s="581"/>
      <c r="I58" s="581"/>
      <c r="J58" s="581"/>
      <c r="K58" s="582"/>
      <c r="L58" s="380"/>
    </row>
    <row r="59" spans="1:19" s="124" customFormat="1" ht="363" customHeight="1" x14ac:dyDescent="0.3">
      <c r="A59" s="529" t="s">
        <v>34</v>
      </c>
      <c r="B59" s="529"/>
      <c r="C59" s="38" t="s">
        <v>371</v>
      </c>
      <c r="D59" s="48" t="s">
        <v>41</v>
      </c>
      <c r="E59" s="118">
        <f>IF(D59=$N$6,1,IF(D59=$N$5,2,IF(D59=$N$4,3,IF(D59=$N$3,4,"n/a"))))</f>
        <v>2</v>
      </c>
      <c r="F59" s="533" t="s">
        <v>251</v>
      </c>
      <c r="G59" s="534"/>
      <c r="H59" s="534"/>
      <c r="I59" s="534"/>
      <c r="J59" s="534"/>
      <c r="K59" s="535"/>
      <c r="L59" s="380"/>
    </row>
    <row r="60" spans="1:19" s="124" customFormat="1" ht="325.5" customHeight="1" x14ac:dyDescent="0.3">
      <c r="A60" s="529" t="s">
        <v>35</v>
      </c>
      <c r="B60" s="529"/>
      <c r="C60" s="38" t="s">
        <v>372</v>
      </c>
      <c r="D60" s="48" t="s">
        <v>41</v>
      </c>
      <c r="E60" s="118">
        <f>IF(D60=$N$6,1,IF(D60=$N$5,2,IF(D60=$N$4,3,IF(D60=$N$3,4,"n/a"))))</f>
        <v>2</v>
      </c>
      <c r="F60" s="533" t="s">
        <v>252</v>
      </c>
      <c r="G60" s="534"/>
      <c r="H60" s="534"/>
      <c r="I60" s="534"/>
      <c r="J60" s="534"/>
      <c r="K60" s="535"/>
      <c r="L60" s="384"/>
    </row>
    <row r="61" spans="1:19" s="124" customFormat="1" ht="375.5" customHeight="1" thickBot="1" x14ac:dyDescent="0.35">
      <c r="A61" s="575" t="s">
        <v>36</v>
      </c>
      <c r="B61" s="575"/>
      <c r="C61" s="193" t="s">
        <v>373</v>
      </c>
      <c r="D61" s="176" t="s">
        <v>41</v>
      </c>
      <c r="E61" s="175">
        <f>IF(D61=$N$6,1,IF(D61=$N$5,2,IF(D61=$N$4,3,IF(D61=$N$3,4,"n/a"))))</f>
        <v>2</v>
      </c>
      <c r="F61" s="519" t="s">
        <v>253</v>
      </c>
      <c r="G61" s="520"/>
      <c r="H61" s="520"/>
      <c r="I61" s="520"/>
      <c r="J61" s="520"/>
      <c r="K61" s="521"/>
      <c r="L61" s="380"/>
    </row>
    <row r="62" spans="1:19" s="105" customFormat="1" ht="28.5" customHeight="1" thickBot="1" x14ac:dyDescent="0.3">
      <c r="A62" s="605"/>
      <c r="B62" s="606"/>
      <c r="C62" s="36" t="s">
        <v>23</v>
      </c>
      <c r="D62" s="27" t="str">
        <f>IF(E62&lt;1.5,"Low",IF(E62&lt;2.5,"Moderate",IF(E62&lt;3.5,"Substantial",IF(E62&lt;4.5,"High","n/a"))))</f>
        <v>Moderate</v>
      </c>
      <c r="E62" s="145">
        <f>IF(COUNT(E58:E61)=0,"n/a",AVERAGE(E58:E61))</f>
        <v>2.25</v>
      </c>
      <c r="F62" s="49">
        <f>E62</f>
        <v>2.25</v>
      </c>
      <c r="G62" s="120"/>
      <c r="H62" s="50" t="s">
        <v>22</v>
      </c>
      <c r="I62" s="325" t="str">
        <f>D62</f>
        <v>Moderate</v>
      </c>
      <c r="J62" s="91">
        <f>IF(I62=$N$7,"n/a",IF(AND(I62=$N$5,D62=$N$6),1.5,IF(AND(I62=$N$4,D62=$N$5),2.5,IF(AND(I62=$N$3,D62=$N$4),3.5,IF(AND(I62=$N$6,D62=$N$5),1.49,IF(AND(I62=$N$5,D62=$N$4),2.49,IF(AND(I62=$N$4,D62=$N$3),3.49,E62)))))))</f>
        <v>2.25</v>
      </c>
      <c r="K62" s="326" t="s">
        <v>90</v>
      </c>
      <c r="L62" s="376"/>
    </row>
    <row r="63" spans="1:19" s="105" customFormat="1" ht="21.75" customHeight="1" x14ac:dyDescent="0.25">
      <c r="A63" s="198" t="s">
        <v>149</v>
      </c>
      <c r="B63" s="138"/>
      <c r="C63" s="146"/>
      <c r="D63" s="138"/>
      <c r="E63" s="194"/>
      <c r="F63" s="194"/>
      <c r="G63" s="194"/>
      <c r="H63" s="194"/>
      <c r="I63" s="194"/>
      <c r="J63" s="194"/>
      <c r="K63" s="197"/>
      <c r="L63" s="376"/>
    </row>
    <row r="64" spans="1:19" s="148" customFormat="1" ht="293.5" customHeight="1" x14ac:dyDescent="0.25">
      <c r="A64" s="598" t="s">
        <v>150</v>
      </c>
      <c r="B64" s="563"/>
      <c r="C64" s="38" t="s">
        <v>374</v>
      </c>
      <c r="D64" s="195" t="s">
        <v>78</v>
      </c>
      <c r="E64" s="196">
        <f>IF(D64=$N$6,1,IF(D64=$N$5,2,IF(D64=$N$4,3,IF(D64=$N$3,4,"n/a"))))</f>
        <v>1</v>
      </c>
      <c r="F64" s="552" t="s">
        <v>254</v>
      </c>
      <c r="G64" s="552"/>
      <c r="H64" s="552"/>
      <c r="I64" s="552"/>
      <c r="J64" s="552"/>
      <c r="K64" s="552"/>
      <c r="L64" s="385"/>
      <c r="S64" s="149"/>
    </row>
    <row r="65" spans="1:19" s="148" customFormat="1" ht="355.5" customHeight="1" thickBot="1" x14ac:dyDescent="0.3">
      <c r="A65" s="601" t="s">
        <v>151</v>
      </c>
      <c r="B65" s="602"/>
      <c r="C65" s="191" t="s">
        <v>375</v>
      </c>
      <c r="D65" s="165" t="s">
        <v>41</v>
      </c>
      <c r="E65" s="163">
        <f>IF(D65=$N$6,1,IF(D65=$N$5,2,IF(D65=$N$4,3,IF(D65=$N$3,4,"n/a"))))</f>
        <v>2</v>
      </c>
      <c r="F65" s="519" t="s">
        <v>255</v>
      </c>
      <c r="G65" s="520"/>
      <c r="H65" s="520"/>
      <c r="I65" s="520"/>
      <c r="J65" s="520"/>
      <c r="K65" s="521"/>
      <c r="L65" s="385"/>
      <c r="S65" s="149"/>
    </row>
    <row r="66" spans="1:19" s="148" customFormat="1" ht="30" customHeight="1" thickBot="1" x14ac:dyDescent="0.3">
      <c r="A66" s="599"/>
      <c r="B66" s="600"/>
      <c r="C66" s="36" t="s">
        <v>23</v>
      </c>
      <c r="D66" s="27" t="str">
        <f>IF(E66&lt;1.5,"Low",IF(E66&lt;2.5,"Moderate",IF(E66&lt;3.5,"Substantial",IF(E66&lt;4.5,"High","n/a"))))</f>
        <v>Moderate</v>
      </c>
      <c r="E66" s="145">
        <f>IF(COUNT(E64:E65)=0,"n/a",AVERAGE(E64:E65))</f>
        <v>1.5</v>
      </c>
      <c r="F66" s="49">
        <f>E66</f>
        <v>1.5</v>
      </c>
      <c r="G66" s="216"/>
      <c r="H66" s="50" t="s">
        <v>22</v>
      </c>
      <c r="I66" s="325" t="str">
        <f>D66</f>
        <v>Moderate</v>
      </c>
      <c r="J66" s="91">
        <f>IF(I66=$N$7,"n/a",IF(AND(I66=$N$5,D66=$N$6),1.5,IF(AND(I66=$N$4,D66=$N$5),2.5,IF(AND(I66=$N$3,D66=$N$4),3.5,IF(AND(I66=$N$6,D66=$N$5),1.49,IF(AND(I66=$N$5,D66=$N$4),2.49,IF(AND(I66=$N$4,D66=$N$3),3.49,E66)))))))</f>
        <v>1.5</v>
      </c>
      <c r="K66" s="327" t="s">
        <v>90</v>
      </c>
      <c r="L66" s="386"/>
      <c r="S66" s="149"/>
    </row>
    <row r="67" spans="1:19" s="152" customFormat="1" ht="24.75" customHeight="1" thickBot="1" x14ac:dyDescent="0.3">
      <c r="A67" s="150" t="s">
        <v>214</v>
      </c>
      <c r="B67" s="151"/>
      <c r="C67" s="208"/>
      <c r="D67" s="208"/>
      <c r="E67" s="208"/>
      <c r="F67" s="208"/>
      <c r="G67" s="208"/>
      <c r="H67" s="208"/>
      <c r="I67" s="208"/>
      <c r="J67" s="208"/>
      <c r="K67" s="209"/>
      <c r="L67" s="378" t="s">
        <v>95</v>
      </c>
      <c r="Q67" s="153"/>
    </row>
    <row r="68" spans="1:19" s="152" customFormat="1" ht="23.25" customHeight="1" x14ac:dyDescent="0.25">
      <c r="A68" s="202" t="s">
        <v>207</v>
      </c>
      <c r="B68" s="203"/>
      <c r="C68" s="205"/>
      <c r="D68" s="206"/>
      <c r="E68" s="206"/>
      <c r="F68" s="206"/>
      <c r="G68" s="206"/>
      <c r="H68" s="206"/>
      <c r="I68" s="206"/>
      <c r="J68" s="206"/>
      <c r="K68" s="207"/>
      <c r="L68" s="385"/>
    </row>
    <row r="69" spans="1:19" s="152" customFormat="1" ht="409.5" customHeight="1" x14ac:dyDescent="0.25">
      <c r="A69" s="497" t="s">
        <v>51</v>
      </c>
      <c r="B69" s="500"/>
      <c r="C69" s="224" t="s">
        <v>376</v>
      </c>
      <c r="D69" s="225" t="s">
        <v>78</v>
      </c>
      <c r="E69" s="118">
        <f>IF(D69=$N$6,1,IF(D69=$N$5,2,IF(D69=$N$4,3,IF(D69=$N$3,4,"n/a"))))</f>
        <v>1</v>
      </c>
      <c r="F69" s="482" t="s">
        <v>256</v>
      </c>
      <c r="G69" s="482"/>
      <c r="H69" s="482"/>
      <c r="I69" s="482"/>
      <c r="J69" s="482"/>
      <c r="K69" s="482"/>
      <c r="L69" s="378" t="s">
        <v>95</v>
      </c>
    </row>
    <row r="70" spans="1:19" s="152" customFormat="1" ht="339" customHeight="1" thickBot="1" x14ac:dyDescent="0.3">
      <c r="A70" s="492" t="s">
        <v>52</v>
      </c>
      <c r="B70" s="493"/>
      <c r="C70" s="226" t="s">
        <v>377</v>
      </c>
      <c r="D70" s="165" t="s">
        <v>78</v>
      </c>
      <c r="E70" s="175">
        <f>IF(D70=$N$6,1,IF(D70=$N$5,2,IF(D70=$N$4,3,IF(D70=$N$3,4,"n/a"))))</f>
        <v>1</v>
      </c>
      <c r="F70" s="499" t="s">
        <v>257</v>
      </c>
      <c r="G70" s="508"/>
      <c r="H70" s="499"/>
      <c r="I70" s="499"/>
      <c r="J70" s="508"/>
      <c r="K70" s="499"/>
      <c r="L70" s="378" t="s">
        <v>95</v>
      </c>
    </row>
    <row r="71" spans="1:19" s="152" customFormat="1" ht="27" customHeight="1" thickBot="1" x14ac:dyDescent="0.3">
      <c r="A71" s="603"/>
      <c r="B71" s="604"/>
      <c r="C71" s="212" t="s">
        <v>23</v>
      </c>
      <c r="D71" s="46" t="str">
        <f>IF(E71&lt;1.5,"Low",IF(E71&lt;2.5,"Moderate",IF(E71&lt;3.5,"Substantial",IF(E71&lt;4.5,"High","n/a"))))</f>
        <v>Low</v>
      </c>
      <c r="E71" s="145">
        <f>IF(COUNT(E69:E70)=0,"n/a",AVERAGE(E69:E70))</f>
        <v>1</v>
      </c>
      <c r="F71" s="28">
        <f>E71</f>
        <v>1</v>
      </c>
      <c r="G71" s="216"/>
      <c r="H71" s="29" t="s">
        <v>22</v>
      </c>
      <c r="I71" s="26" t="str">
        <f>D71</f>
        <v>Low</v>
      </c>
      <c r="J71" s="30">
        <f>IF(I71=$N$7,"n/a",IF(AND(I71=$N$5,D71=$N$6),1.5,IF(AND(I71=$N$4,D71=$N$5),2.5,IF(AND(I71=$N$3,D71=$N$4),3.5,IF(AND(I71=$N$6,D71=$N$5),1.49,IF(AND(I71=$N$5,D71=$N$4),2.49,IF(AND(I71=$N$4,D71=$N$3),3.49,E71)))))))</f>
        <v>1</v>
      </c>
      <c r="K71" s="181" t="s">
        <v>90</v>
      </c>
      <c r="L71" s="385"/>
    </row>
    <row r="72" spans="1:19" s="152" customFormat="1" ht="20.25" customHeight="1" x14ac:dyDescent="0.25">
      <c r="A72" s="313" t="s">
        <v>42</v>
      </c>
      <c r="B72" s="205"/>
      <c r="C72" s="206"/>
      <c r="D72" s="199"/>
      <c r="E72" s="200"/>
      <c r="F72" s="206"/>
      <c r="G72" s="206"/>
      <c r="H72" s="206"/>
      <c r="I72" s="206"/>
      <c r="J72" s="206"/>
      <c r="K72" s="207"/>
      <c r="L72" s="385"/>
    </row>
    <row r="73" spans="1:19" s="152" customFormat="1" ht="152.5" customHeight="1" x14ac:dyDescent="0.25">
      <c r="A73" s="596" t="s">
        <v>73</v>
      </c>
      <c r="B73" s="597"/>
      <c r="C73" s="227" t="s">
        <v>378</v>
      </c>
      <c r="D73" s="168" t="s">
        <v>41</v>
      </c>
      <c r="E73" s="118">
        <f>IF(D73=$N$6,1,IF(D73=$N$5,2,IF(D73=$N$4,3,IF(D73=$N$3,4,"n/a"))))</f>
        <v>2</v>
      </c>
      <c r="F73" s="505" t="s">
        <v>258</v>
      </c>
      <c r="G73" s="499"/>
      <c r="H73" s="499"/>
      <c r="I73" s="499"/>
      <c r="J73" s="499"/>
      <c r="K73" s="506"/>
      <c r="L73" s="378"/>
    </row>
    <row r="74" spans="1:19" s="152" customFormat="1" ht="210" customHeight="1" thickBot="1" x14ac:dyDescent="0.3">
      <c r="A74" s="492" t="s">
        <v>56</v>
      </c>
      <c r="B74" s="493"/>
      <c r="C74" s="228" t="s">
        <v>379</v>
      </c>
      <c r="D74" s="167" t="s">
        <v>41</v>
      </c>
      <c r="E74" s="175">
        <f>IF(D74=$N$6,1,IF(D74=$N$5,2,IF(D74=$N$4,3,IF(D74=$N$3,4,"n/a"))))</f>
        <v>2</v>
      </c>
      <c r="F74" s="494" t="s">
        <v>259</v>
      </c>
      <c r="G74" s="495"/>
      <c r="H74" s="495"/>
      <c r="I74" s="495"/>
      <c r="J74" s="495"/>
      <c r="K74" s="496"/>
      <c r="L74" s="378" t="s">
        <v>95</v>
      </c>
    </row>
    <row r="75" spans="1:19" s="152" customFormat="1" ht="25.5" customHeight="1" thickBot="1" x14ac:dyDescent="0.3">
      <c r="A75" s="501"/>
      <c r="B75" s="502"/>
      <c r="C75" s="45" t="s">
        <v>23</v>
      </c>
      <c r="D75" s="27" t="str">
        <f>IF(E75&lt;1.5,"Low",IF(E75&lt;2.5,"Moderate",IF(E75&lt;3.5,"Substantial",IF(E75&lt;4.5,"High","n/a"))))</f>
        <v>Moderate</v>
      </c>
      <c r="E75" s="145">
        <f>IF(COUNT(E73:E74)=0,"n/a",AVERAGE(E73:E74))</f>
        <v>2</v>
      </c>
      <c r="F75" s="49">
        <f>E75</f>
        <v>2</v>
      </c>
      <c r="G75" s="216"/>
      <c r="H75" s="50" t="s">
        <v>22</v>
      </c>
      <c r="I75" s="325" t="str">
        <f>D75</f>
        <v>Moderate</v>
      </c>
      <c r="J75" s="91">
        <f>IF(I75=$N$7,"n/a",IF(AND(I75=$N$5,D75=$N$6),1.5,IF(AND(I75=$N$4,D75=$N$5),2.5,IF(AND(I75=$N$3,D75=$N$4),3.5,IF(AND(I75=$N$6,D75=$N$5),1.49,IF(AND(I75=$N$5,D75=$N$4),2.49,IF(AND(I75=$N$4,D75=$N$3),3.49,E75)))))))</f>
        <v>2</v>
      </c>
      <c r="K75" s="92" t="s">
        <v>90</v>
      </c>
      <c r="L75" s="385"/>
    </row>
    <row r="76" spans="1:19" s="152" customFormat="1" ht="21" customHeight="1" x14ac:dyDescent="0.25">
      <c r="A76" s="202" t="s">
        <v>53</v>
      </c>
      <c r="B76" s="203"/>
      <c r="C76" s="199"/>
      <c r="D76" s="199"/>
      <c r="E76" s="199"/>
      <c r="F76" s="199"/>
      <c r="G76" s="199"/>
      <c r="H76" s="199"/>
      <c r="I76" s="199"/>
      <c r="J76" s="199"/>
      <c r="K76" s="201"/>
      <c r="L76" s="385"/>
    </row>
    <row r="77" spans="1:19" s="152" customFormat="1" ht="213.5" customHeight="1" x14ac:dyDescent="0.25">
      <c r="A77" s="497" t="s">
        <v>54</v>
      </c>
      <c r="B77" s="500"/>
      <c r="C77" s="229" t="s">
        <v>380</v>
      </c>
      <c r="D77" s="168" t="s">
        <v>41</v>
      </c>
      <c r="E77" s="118">
        <f>IF(D77=$N$6,1,IF(D77=$N$5,2,IF(D77=$N$4,3,IF(D77=$N$3,4,"n/a"))))</f>
        <v>2</v>
      </c>
      <c r="F77" s="482" t="s">
        <v>260</v>
      </c>
      <c r="G77" s="482"/>
      <c r="H77" s="482"/>
      <c r="I77" s="482"/>
      <c r="J77" s="482"/>
      <c r="K77" s="482"/>
      <c r="L77" s="385"/>
    </row>
    <row r="78" spans="1:19" s="152" customFormat="1" ht="147" customHeight="1" x14ac:dyDescent="0.25">
      <c r="A78" s="497" t="s">
        <v>55</v>
      </c>
      <c r="B78" s="498"/>
      <c r="C78" s="227" t="s">
        <v>381</v>
      </c>
      <c r="D78" s="48" t="s">
        <v>41</v>
      </c>
      <c r="E78" s="118">
        <f>IF(D78=$N$6,1,IF(D78=$N$5,2,IF(D78=$N$4,3,IF(D78=$N$3,4,"n/a"))))</f>
        <v>2</v>
      </c>
      <c r="F78" s="499" t="s">
        <v>261</v>
      </c>
      <c r="G78" s="499"/>
      <c r="H78" s="499"/>
      <c r="I78" s="499"/>
      <c r="J78" s="499"/>
      <c r="K78" s="499"/>
      <c r="L78" s="378" t="s">
        <v>95</v>
      </c>
    </row>
    <row r="79" spans="1:19" s="152" customFormat="1" ht="238" customHeight="1" thickBot="1" x14ac:dyDescent="0.3">
      <c r="A79" s="497" t="s">
        <v>74</v>
      </c>
      <c r="B79" s="498"/>
      <c r="C79" s="230" t="s">
        <v>382</v>
      </c>
      <c r="D79" s="167" t="s">
        <v>41</v>
      </c>
      <c r="E79" s="175">
        <f>IF(D79=$N$6,1,IF(D79=$N$5,2,IF(D79=$N$4,3,IF(D79=$N$3,4,"n/a"))))</f>
        <v>2</v>
      </c>
      <c r="F79" s="499" t="s">
        <v>262</v>
      </c>
      <c r="G79" s="508"/>
      <c r="H79" s="499"/>
      <c r="I79" s="499"/>
      <c r="J79" s="508"/>
      <c r="K79" s="499"/>
      <c r="L79" s="378" t="s">
        <v>95</v>
      </c>
    </row>
    <row r="80" spans="1:19" s="152" customFormat="1" ht="27.75" customHeight="1" thickBot="1" x14ac:dyDescent="0.3">
      <c r="A80" s="501"/>
      <c r="B80" s="502"/>
      <c r="C80" s="45" t="s">
        <v>23</v>
      </c>
      <c r="D80" s="27" t="str">
        <f>IF(E80&lt;1.5,"Low",IF(E80&lt;2.5,"Moderate",IF(E80&lt;3.5,"Substantial",IF(E80&lt;4.5,"High","n/a"))))</f>
        <v>Moderate</v>
      </c>
      <c r="E80" s="145">
        <f>IF(COUNT(E77:E79)=0,"n/a",AVERAGE(E77:E79))</f>
        <v>2</v>
      </c>
      <c r="F80" s="28">
        <f>E80</f>
        <v>2</v>
      </c>
      <c r="G80" s="216"/>
      <c r="H80" s="29" t="s">
        <v>22</v>
      </c>
      <c r="I80" s="26" t="str">
        <f>D80</f>
        <v>Moderate</v>
      </c>
      <c r="J80" s="30">
        <f>IF(I80=$N$7,"n/a",IF(AND(I80=$N$5,D80=$N$6),1.5,IF(AND(I80=$N$4,D80=$N$5),2.5,IF(AND(I80=$N$3,D80=$N$4),3.5,IF(AND(I80=$N$6,D80=$N$5),1.49,IF(AND(I80=$N$5,D80=$N$4),2.49,IF(AND(I80=$N$4,D80=$N$3),3.49,E80)))))))</f>
        <v>2</v>
      </c>
      <c r="K80" s="89" t="s">
        <v>90</v>
      </c>
      <c r="L80" s="385"/>
    </row>
    <row r="81" spans="1:17" s="152" customFormat="1" ht="21" customHeight="1" x14ac:dyDescent="0.25">
      <c r="A81" s="204" t="s">
        <v>57</v>
      </c>
      <c r="B81" s="199"/>
      <c r="C81" s="199"/>
      <c r="D81" s="199"/>
      <c r="E81" s="199"/>
      <c r="F81" s="199"/>
      <c r="G81" s="199"/>
      <c r="H81" s="199"/>
      <c r="I81" s="199"/>
      <c r="J81" s="199"/>
      <c r="K81" s="201"/>
      <c r="L81" s="385"/>
    </row>
    <row r="82" spans="1:17" s="152" customFormat="1" ht="197" customHeight="1" x14ac:dyDescent="0.25">
      <c r="A82" s="497" t="s">
        <v>76</v>
      </c>
      <c r="B82" s="500"/>
      <c r="C82" s="229" t="s">
        <v>383</v>
      </c>
      <c r="D82" s="168" t="s">
        <v>78</v>
      </c>
      <c r="E82" s="118">
        <f>IF(D82=$N$6,1,IF(D82=$N$5,2,IF(D82=$N$4,3,IF(D82=$N$3,4,"n/a"))))</f>
        <v>1</v>
      </c>
      <c r="F82" s="482" t="s">
        <v>263</v>
      </c>
      <c r="G82" s="482"/>
      <c r="H82" s="482"/>
      <c r="I82" s="482"/>
      <c r="J82" s="482"/>
      <c r="K82" s="482"/>
      <c r="L82" s="385"/>
    </row>
    <row r="83" spans="1:17" s="152" customFormat="1" ht="299.5" customHeight="1" thickBot="1" x14ac:dyDescent="0.3">
      <c r="A83" s="492" t="s">
        <v>77</v>
      </c>
      <c r="B83" s="493"/>
      <c r="C83" s="230" t="s">
        <v>384</v>
      </c>
      <c r="D83" s="167" t="s">
        <v>78</v>
      </c>
      <c r="E83" s="175">
        <f>IF(D83=$N$6,1,IF(D83=$N$5,2,IF(D83=$N$4,3,IF(D83=$N$3,4,"n/a"))))</f>
        <v>1</v>
      </c>
      <c r="F83" s="494" t="s">
        <v>264</v>
      </c>
      <c r="G83" s="495"/>
      <c r="H83" s="495"/>
      <c r="I83" s="495"/>
      <c r="J83" s="495"/>
      <c r="K83" s="528"/>
      <c r="L83" s="378" t="s">
        <v>95</v>
      </c>
      <c r="Q83" s="154"/>
    </row>
    <row r="84" spans="1:17" s="152" customFormat="1" ht="26.25" customHeight="1" thickBot="1" x14ac:dyDescent="0.3">
      <c r="A84" s="210"/>
      <c r="B84" s="211"/>
      <c r="C84" s="212" t="s">
        <v>23</v>
      </c>
      <c r="D84" s="27" t="str">
        <f>IF(E84&lt;1.5,"Low",IF(E84&lt;2.5,"Moderate",IF(E84&lt;3.5,"Substantial",IF(E84&lt;4.5,"High","n/a"))))</f>
        <v>Low</v>
      </c>
      <c r="E84" s="145">
        <f>IF(COUNT(E82:E83)=0,"n/a",AVERAGE(E82:E83))</f>
        <v>1</v>
      </c>
      <c r="F84" s="49">
        <f>E84</f>
        <v>1</v>
      </c>
      <c r="G84" s="217"/>
      <c r="H84" s="324" t="s">
        <v>22</v>
      </c>
      <c r="I84" s="325" t="str">
        <f>D84</f>
        <v>Low</v>
      </c>
      <c r="J84" s="91">
        <f>IF(I84=$N$7,"n/a",IF(AND(I84=$N$5,D84=$N$6),1.5,IF(AND(I84=$N$4,D84=$N$5),2.5,IF(AND(I84=$N$3,D84=$N$4),3.5,IF(AND(I84=$N$6,D84=$N$5),1.49,IF(AND(I84=$N$5,D84=$N$4),2.49,IF(AND(I84=$N$4,D84=$N$3),3.49,E84)))))))</f>
        <v>1</v>
      </c>
      <c r="K84" s="326" t="s">
        <v>90</v>
      </c>
      <c r="L84" s="385"/>
      <c r="Q84" s="155"/>
    </row>
    <row r="85" spans="1:17" s="152" customFormat="1" ht="26.25" customHeight="1" thickBot="1" x14ac:dyDescent="0.3">
      <c r="A85" s="290" t="s">
        <v>215</v>
      </c>
      <c r="B85" s="289"/>
      <c r="C85" s="289"/>
      <c r="D85" s="289"/>
      <c r="E85" s="289"/>
      <c r="F85" s="289"/>
      <c r="G85" s="289"/>
      <c r="H85" s="289"/>
      <c r="I85" s="289"/>
      <c r="J85" s="289"/>
      <c r="K85" s="289"/>
      <c r="L85" s="385"/>
      <c r="Q85" s="155"/>
    </row>
    <row r="86" spans="1:17" s="152" customFormat="1" ht="21.75" customHeight="1" x14ac:dyDescent="0.25">
      <c r="A86" s="394" t="s">
        <v>172</v>
      </c>
      <c r="B86" s="291"/>
      <c r="C86" s="291"/>
      <c r="D86" s="291"/>
      <c r="E86" s="291"/>
      <c r="F86" s="291"/>
      <c r="G86" s="291"/>
      <c r="H86" s="291"/>
      <c r="I86" s="291"/>
      <c r="J86" s="291"/>
      <c r="K86" s="292"/>
      <c r="L86" s="385"/>
      <c r="Q86" s="155"/>
    </row>
    <row r="87" spans="1:17" s="152" customFormat="1" ht="234" customHeight="1" x14ac:dyDescent="0.25">
      <c r="A87" s="487" t="s">
        <v>152</v>
      </c>
      <c r="B87" s="488"/>
      <c r="C87" s="293" t="s">
        <v>385</v>
      </c>
      <c r="D87" s="225" t="s">
        <v>4</v>
      </c>
      <c r="E87" s="213">
        <f>IF(D87=$N$6,1,IF(D87=$N$5,2,IF(D87=$N$4,3,IF(D87=$N$3,4,"n/a"))))</f>
        <v>4</v>
      </c>
      <c r="F87" s="482" t="s">
        <v>265</v>
      </c>
      <c r="G87" s="482"/>
      <c r="H87" s="482"/>
      <c r="I87" s="482"/>
      <c r="J87" s="482"/>
      <c r="K87" s="482"/>
      <c r="L87" s="385"/>
      <c r="Q87" s="155"/>
    </row>
    <row r="88" spans="1:17" s="152" customFormat="1" ht="243.5" customHeight="1" x14ac:dyDescent="0.25">
      <c r="A88" s="487" t="s">
        <v>153</v>
      </c>
      <c r="B88" s="488"/>
      <c r="C88" s="293" t="s">
        <v>386</v>
      </c>
      <c r="D88" s="225" t="s">
        <v>41</v>
      </c>
      <c r="E88" s="213">
        <f>IF(D88=$N$6,1,IF(D88=$N$5,2,IF(D88=$N$4,3,IF(D88=$N$3,4,"n/a"))))</f>
        <v>2</v>
      </c>
      <c r="F88" s="482" t="s">
        <v>266</v>
      </c>
      <c r="G88" s="482"/>
      <c r="H88" s="482"/>
      <c r="I88" s="482"/>
      <c r="J88" s="482"/>
      <c r="K88" s="482"/>
      <c r="L88" s="378" t="s">
        <v>95</v>
      </c>
      <c r="Q88" s="155"/>
    </row>
    <row r="89" spans="1:17" s="152" customFormat="1" ht="150" customHeight="1" x14ac:dyDescent="0.25">
      <c r="A89" s="487" t="s">
        <v>154</v>
      </c>
      <c r="B89" s="488"/>
      <c r="C89" s="293" t="s">
        <v>387</v>
      </c>
      <c r="D89" s="225" t="s">
        <v>41</v>
      </c>
      <c r="E89" s="213">
        <f>IF(D89=$N$6,1,IF(D89=$N$5,2,IF(D89=$N$4,3,IF(D89=$N$3,4,"n/a"))))</f>
        <v>2</v>
      </c>
      <c r="F89" s="482" t="s">
        <v>267</v>
      </c>
      <c r="G89" s="482"/>
      <c r="H89" s="482"/>
      <c r="I89" s="482"/>
      <c r="J89" s="482"/>
      <c r="K89" s="482"/>
      <c r="L89" s="385"/>
      <c r="Q89" s="155"/>
    </row>
    <row r="90" spans="1:17" s="152" customFormat="1" ht="266" customHeight="1" thickBot="1" x14ac:dyDescent="0.3">
      <c r="A90" s="487" t="s">
        <v>173</v>
      </c>
      <c r="B90" s="488"/>
      <c r="C90" s="293" t="s">
        <v>388</v>
      </c>
      <c r="D90" s="225" t="s">
        <v>41</v>
      </c>
      <c r="E90" s="213">
        <f>IF(D90=$N$6,1,IF(D90=$N$5,2,IF(D90=$N$4,3,IF(D90=$N$3,4,"n/a"))))</f>
        <v>2</v>
      </c>
      <c r="F90" s="482" t="s">
        <v>268</v>
      </c>
      <c r="G90" s="482"/>
      <c r="H90" s="482"/>
      <c r="I90" s="482"/>
      <c r="J90" s="591"/>
      <c r="K90" s="482"/>
      <c r="L90" s="385"/>
      <c r="Q90" s="155"/>
    </row>
    <row r="91" spans="1:17" s="152" customFormat="1" ht="26.25" customHeight="1" thickBot="1" x14ac:dyDescent="0.3">
      <c r="A91" s="594"/>
      <c r="B91" s="595"/>
      <c r="C91" s="294" t="s">
        <v>23</v>
      </c>
      <c r="D91" s="27" t="str">
        <f>IF(E91&lt;1.5,"Low",IF(E91&lt;2.5,"Moderate",IF(E91&lt;3.5,"Substantial",IF(E91&lt;4.5,"High","n/a"))))</f>
        <v>Substantial</v>
      </c>
      <c r="E91" s="145">
        <f>IF(COUNT(E87:E90)=0,"n/a",AVERAGE(E87:E90))</f>
        <v>2.5</v>
      </c>
      <c r="F91" s="28">
        <f>E91</f>
        <v>2.5</v>
      </c>
      <c r="G91" s="217"/>
      <c r="H91" s="51" t="s">
        <v>22</v>
      </c>
      <c r="I91" s="26" t="str">
        <f>D91</f>
        <v>Substantial</v>
      </c>
      <c r="J91" s="30">
        <f>IF(I91=$N$7,"n/a",IF(AND(I91=$N$5,D91=$N$6),1.5,IF(AND(I91=$N$4,D91=$N$5),2.5,IF(AND(I91=$N$3,D91=$N$4),3.5,IF(AND(I91=$N$6,D91=$N$5),1.49,IF(AND(I91=$N$5,D91=$N$4),2.49,IF(AND(I91=$N$4,D91=$N$3),3.49,E91)))))))</f>
        <v>2.5</v>
      </c>
      <c r="K91" s="89" t="s">
        <v>90</v>
      </c>
      <c r="L91" s="385"/>
      <c r="Q91" s="155"/>
    </row>
    <row r="92" spans="1:17" s="152" customFormat="1" ht="21" customHeight="1" x14ac:dyDescent="0.25">
      <c r="A92" s="394" t="s">
        <v>165</v>
      </c>
      <c r="B92" s="291"/>
      <c r="C92" s="291"/>
      <c r="D92" s="291"/>
      <c r="E92" s="291"/>
      <c r="F92" s="291"/>
      <c r="G92" s="291"/>
      <c r="H92" s="291"/>
      <c r="I92" s="291"/>
      <c r="J92" s="291"/>
      <c r="K92" s="292"/>
      <c r="L92" s="385"/>
      <c r="Q92" s="155"/>
    </row>
    <row r="93" spans="1:17" s="152" customFormat="1" ht="270" customHeight="1" x14ac:dyDescent="0.25">
      <c r="A93" s="487" t="s">
        <v>166</v>
      </c>
      <c r="B93" s="488"/>
      <c r="C93" s="293" t="s">
        <v>389</v>
      </c>
      <c r="D93" s="168" t="s">
        <v>41</v>
      </c>
      <c r="E93" s="213">
        <f>IF(D93=$N$6,1,IF(D93=$N$5,2,IF(D93=$N$4,3,IF(D93=$N$3,4,"n/a"))))</f>
        <v>2</v>
      </c>
      <c r="F93" s="482" t="s">
        <v>269</v>
      </c>
      <c r="G93" s="482"/>
      <c r="H93" s="482"/>
      <c r="I93" s="482"/>
      <c r="J93" s="482"/>
      <c r="K93" s="482"/>
      <c r="L93" s="385"/>
      <c r="Q93" s="155"/>
    </row>
    <row r="94" spans="1:17" s="152" customFormat="1" ht="164" customHeight="1" thickBot="1" x14ac:dyDescent="0.3">
      <c r="A94" s="483" t="s">
        <v>175</v>
      </c>
      <c r="B94" s="484"/>
      <c r="C94" s="295" t="s">
        <v>390</v>
      </c>
      <c r="D94" s="167" t="s">
        <v>41</v>
      </c>
      <c r="E94" s="175">
        <f>IF(D94=$N$6,1,IF(D94=$N$5,2,IF(D94=$N$4,3,IF(D94=$N$3,4,"n/a"))))</f>
        <v>2</v>
      </c>
      <c r="F94" s="510" t="s">
        <v>270</v>
      </c>
      <c r="G94" s="511"/>
      <c r="H94" s="511"/>
      <c r="I94" s="511"/>
      <c r="J94" s="511"/>
      <c r="K94" s="509"/>
      <c r="L94" s="378" t="s">
        <v>95</v>
      </c>
      <c r="Q94" s="155"/>
    </row>
    <row r="95" spans="1:17" s="152" customFormat="1" ht="26.25" customHeight="1" thickBot="1" x14ac:dyDescent="0.3">
      <c r="A95" s="485"/>
      <c r="B95" s="486"/>
      <c r="C95" s="294" t="s">
        <v>23</v>
      </c>
      <c r="D95" s="27" t="str">
        <f>IF(E95&lt;1.5,"Low",IF(E95&lt;2.5,"Moderate",IF(E95&lt;3.5,"Substantial",IF(E95&lt;4.5,"High","n/a"))))</f>
        <v>Moderate</v>
      </c>
      <c r="E95" s="145">
        <f>IF(COUNT(E93:E94)=0,"n/a",AVERAGE(E93:E94))</f>
        <v>2</v>
      </c>
      <c r="F95" s="28">
        <f>E95</f>
        <v>2</v>
      </c>
      <c r="G95" s="216"/>
      <c r="H95" s="29" t="s">
        <v>22</v>
      </c>
      <c r="I95" s="26" t="str">
        <f>D95</f>
        <v>Moderate</v>
      </c>
      <c r="J95" s="30">
        <f>IF(I95=$N$7,"n/a",IF(AND(I95=$N$5,D95=$N$6),1.5,IF(AND(I95=$N$4,D95=$N$5),2.5,IF(AND(I95=$N$3,D95=$N$4),3.5,IF(AND(I95=$N$6,D95=$N$5),1.49,IF(AND(I95=$N$5,D95=$N$4),2.49,IF(AND(I95=$N$4,D95=$N$3),3.49,E95)))))))</f>
        <v>2</v>
      </c>
      <c r="K95" s="89" t="s">
        <v>90</v>
      </c>
      <c r="L95" s="385"/>
      <c r="Q95" s="155"/>
    </row>
    <row r="96" spans="1:17" s="152" customFormat="1" ht="21" customHeight="1" x14ac:dyDescent="0.25">
      <c r="A96" s="394" t="s">
        <v>156</v>
      </c>
      <c r="B96" s="291"/>
      <c r="C96" s="291"/>
      <c r="D96" s="291"/>
      <c r="E96" s="291"/>
      <c r="F96" s="291"/>
      <c r="G96" s="291"/>
      <c r="H96" s="291"/>
      <c r="I96" s="291"/>
      <c r="J96" s="291"/>
      <c r="K96" s="292"/>
      <c r="L96" s="385"/>
      <c r="Q96" s="155"/>
    </row>
    <row r="97" spans="1:17" s="152" customFormat="1" ht="185.5" customHeight="1" x14ac:dyDescent="0.25">
      <c r="A97" s="487" t="s">
        <v>157</v>
      </c>
      <c r="B97" s="488"/>
      <c r="C97" s="296" t="s">
        <v>391</v>
      </c>
      <c r="D97" s="168" t="s">
        <v>41</v>
      </c>
      <c r="E97" s="118">
        <f>IF(D97=$N$6,1,IF(D97=$N$5,2,IF(D97=$N$4,3,IF(D97=$N$3,4,"n/a"))))</f>
        <v>2</v>
      </c>
      <c r="F97" s="482" t="s">
        <v>271</v>
      </c>
      <c r="G97" s="482"/>
      <c r="H97" s="482"/>
      <c r="I97" s="482"/>
      <c r="J97" s="482"/>
      <c r="K97" s="482"/>
      <c r="L97" s="378" t="s">
        <v>95</v>
      </c>
      <c r="Q97" s="155"/>
    </row>
    <row r="98" spans="1:17" s="152" customFormat="1" ht="200.5" customHeight="1" x14ac:dyDescent="0.25">
      <c r="A98" s="483" t="s">
        <v>158</v>
      </c>
      <c r="B98" s="489"/>
      <c r="C98" s="296" t="s">
        <v>392</v>
      </c>
      <c r="D98" s="48" t="s">
        <v>41</v>
      </c>
      <c r="E98" s="118">
        <f>IF(D98=$N$6,1,IF(D98=$N$5,2,IF(D98=$N$4,3,IF(D98=$N$3,4,"n/a"))))</f>
        <v>2</v>
      </c>
      <c r="F98" s="505" t="s">
        <v>272</v>
      </c>
      <c r="G98" s="499"/>
      <c r="H98" s="499"/>
      <c r="I98" s="499"/>
      <c r="J98" s="499"/>
      <c r="K98" s="506"/>
      <c r="L98" s="378" t="s">
        <v>95</v>
      </c>
      <c r="P98" s="311"/>
      <c r="Q98" s="155"/>
    </row>
    <row r="99" spans="1:17" s="152" customFormat="1" ht="202" customHeight="1" thickBot="1" x14ac:dyDescent="0.3">
      <c r="A99" s="490" t="s">
        <v>159</v>
      </c>
      <c r="B99" s="491"/>
      <c r="C99" s="297" t="s">
        <v>393</v>
      </c>
      <c r="D99" s="287" t="s">
        <v>5</v>
      </c>
      <c r="E99" s="288">
        <f>IF(D99=$N$6,1,IF(D99=$N$5,2,IF(D99=$N$4,3,IF(D99=$N$3,4,"n/a"))))</f>
        <v>3</v>
      </c>
      <c r="F99" s="507" t="s">
        <v>273</v>
      </c>
      <c r="G99" s="508"/>
      <c r="H99" s="508"/>
      <c r="I99" s="508"/>
      <c r="J99" s="508"/>
      <c r="K99" s="509"/>
      <c r="L99" s="385"/>
      <c r="P99" s="311"/>
      <c r="Q99" s="155"/>
    </row>
    <row r="100" spans="1:17" s="152" customFormat="1" ht="26.25" customHeight="1" thickBot="1" x14ac:dyDescent="0.3">
      <c r="A100" s="536"/>
      <c r="B100" s="537"/>
      <c r="C100" s="294" t="s">
        <v>23</v>
      </c>
      <c r="D100" s="27" t="str">
        <f>IF(E100&lt;1.5,"Low",IF(E100&lt;2.5,"Moderate",IF(E100&lt;3.5,"Substantial",IF(E100&lt;4.5,"High","n/a"))))</f>
        <v>Moderate</v>
      </c>
      <c r="E100" s="145">
        <f>IF(COUNT(E97:E99)=0,"n/a",AVERAGE(E97:E99))</f>
        <v>2.3333333333333335</v>
      </c>
      <c r="F100" s="28">
        <f>E100</f>
        <v>2.3333333333333335</v>
      </c>
      <c r="G100" s="216"/>
      <c r="H100" s="29" t="s">
        <v>22</v>
      </c>
      <c r="I100" s="26" t="str">
        <f>D100</f>
        <v>Moderate</v>
      </c>
      <c r="J100" s="30">
        <f>IF(I100=$N$7,"n/a",IF(AND(I100=$N$5,D100=$N$6),1.5,IF(AND(I100=$N$4,D100=$N$5),2.5,IF(AND(I100=$N$3,D100=$N$4),3.5,IF(AND(I100=$N$6,D100=$N$5),1.49,IF(AND(I100=$N$5,D100=$N$4),2.49,IF(AND(I100=$N$4,D100=$N$3),3.49,E100)))))))</f>
        <v>2.3333333333333335</v>
      </c>
      <c r="K100" s="89" t="s">
        <v>90</v>
      </c>
      <c r="L100" s="385"/>
      <c r="P100" s="311"/>
      <c r="Q100" s="155"/>
    </row>
    <row r="101" spans="1:17" s="152" customFormat="1" ht="23.25" customHeight="1" thickBot="1" x14ac:dyDescent="0.3">
      <c r="A101" s="156" t="s">
        <v>216</v>
      </c>
      <c r="B101" s="157"/>
      <c r="C101" s="157"/>
      <c r="D101" s="157"/>
      <c r="E101" s="157"/>
      <c r="F101" s="157"/>
      <c r="G101" s="157"/>
      <c r="H101" s="157"/>
      <c r="I101" s="157"/>
      <c r="J101" s="157"/>
      <c r="K101" s="157"/>
      <c r="L101" s="385"/>
      <c r="M101" s="155"/>
    </row>
    <row r="102" spans="1:17" s="152" customFormat="1" ht="20.25" customHeight="1" x14ac:dyDescent="0.25">
      <c r="A102" s="395" t="s">
        <v>161</v>
      </c>
      <c r="B102" s="214"/>
      <c r="C102" s="214"/>
      <c r="D102" s="214"/>
      <c r="E102" s="214"/>
      <c r="F102" s="214"/>
      <c r="G102" s="214"/>
      <c r="H102" s="214"/>
      <c r="I102" s="214"/>
      <c r="J102" s="214"/>
      <c r="K102" s="215"/>
      <c r="L102" s="385"/>
    </row>
    <row r="103" spans="1:17" s="152" customFormat="1" ht="159.5" customHeight="1" x14ac:dyDescent="0.25">
      <c r="A103" s="514" t="s">
        <v>178</v>
      </c>
      <c r="B103" s="515"/>
      <c r="C103" s="231" t="s">
        <v>394</v>
      </c>
      <c r="D103" s="225" t="s">
        <v>41</v>
      </c>
      <c r="E103" s="213">
        <f>IF(D103=$N$6,1,IF(D103=$N$5,2,IF(D103=$N$4,3,IF(D103=$N$3,4,"n/a"))))</f>
        <v>2</v>
      </c>
      <c r="F103" s="482" t="s">
        <v>274</v>
      </c>
      <c r="G103" s="482"/>
      <c r="H103" s="482"/>
      <c r="I103" s="482"/>
      <c r="J103" s="482"/>
      <c r="K103" s="482"/>
      <c r="L103" s="378" t="s">
        <v>95</v>
      </c>
      <c r="Q103" s="155"/>
    </row>
    <row r="104" spans="1:17" s="152" customFormat="1" ht="201" customHeight="1" x14ac:dyDescent="0.25">
      <c r="A104" s="512" t="s">
        <v>179</v>
      </c>
      <c r="B104" s="513"/>
      <c r="C104" s="232" t="s">
        <v>395</v>
      </c>
      <c r="D104" s="195" t="s">
        <v>41</v>
      </c>
      <c r="E104" s="118">
        <f>IF(D104=$N$6,1,IF(D104=$N$5,2,IF(D104=$N$4,3,IF(D104=$N$3,4,"n/a"))))</f>
        <v>2</v>
      </c>
      <c r="F104" s="499" t="s">
        <v>275</v>
      </c>
      <c r="G104" s="499"/>
      <c r="H104" s="499"/>
      <c r="I104" s="499"/>
      <c r="J104" s="499"/>
      <c r="K104" s="499"/>
      <c r="L104" s="378" t="s">
        <v>95</v>
      </c>
      <c r="Q104" s="158"/>
    </row>
    <row r="105" spans="1:17" ht="225.5" customHeight="1" thickBot="1" x14ac:dyDescent="0.3">
      <c r="A105" s="524" t="s">
        <v>180</v>
      </c>
      <c r="B105" s="525"/>
      <c r="C105" s="233" t="s">
        <v>396</v>
      </c>
      <c r="D105" s="165" t="s">
        <v>78</v>
      </c>
      <c r="E105" s="175">
        <f>IF(D105=$N$6,1,IF(D105=$N$5,2,IF(D105=$N$4,3,IF(D105=$N$3,4,"n/a"))))</f>
        <v>1</v>
      </c>
      <c r="F105" s="499" t="s">
        <v>276</v>
      </c>
      <c r="G105" s="508"/>
      <c r="H105" s="499"/>
      <c r="I105" s="499"/>
      <c r="J105" s="508"/>
      <c r="K105" s="499"/>
      <c r="L105" s="378" t="s">
        <v>95</v>
      </c>
    </row>
    <row r="106" spans="1:17" ht="32.25" customHeight="1" thickBot="1" x14ac:dyDescent="0.3">
      <c r="A106" s="592"/>
      <c r="B106" s="593"/>
      <c r="C106" s="39" t="s">
        <v>23</v>
      </c>
      <c r="D106" s="27" t="str">
        <f>IF(E106&lt;1.5,"Low",IF(E106&lt;2.5,"Moderate",IF(E106&lt;3.5,"Substantial",IF(E106&lt;4.5,"High","n/a"))))</f>
        <v>Moderate</v>
      </c>
      <c r="E106" s="145">
        <f>IF(COUNT(E103:E105)=0,"n/a",AVERAGE(E103:E105))</f>
        <v>1.6666666666666667</v>
      </c>
      <c r="F106" s="28">
        <f>E106</f>
        <v>1.6666666666666667</v>
      </c>
      <c r="G106" s="217"/>
      <c r="H106" s="51" t="s">
        <v>22</v>
      </c>
      <c r="I106" s="26" t="str">
        <f>D106</f>
        <v>Moderate</v>
      </c>
      <c r="J106" s="30">
        <f>IF(I106=$N$7,"n/a",IF(AND(I106=$N$5,D106=$N$6),1.5,IF(AND(I106=$N$4,D106=$N$5),2.5,IF(AND(I106=$N$3,D106=$N$4),3.5,IF(AND(I106=$N$6,D106=$N$5),1.49,IF(AND(I106=$N$5,D106=$N$4),2.49,IF(AND(I106=$N$4,D106=$N$3),3.49,E106)))))))</f>
        <v>1.6666666666666667</v>
      </c>
      <c r="K106" s="89" t="s">
        <v>90</v>
      </c>
      <c r="L106" s="380"/>
    </row>
    <row r="107" spans="1:17" ht="19.5" customHeight="1" x14ac:dyDescent="0.25">
      <c r="A107" s="396" t="s">
        <v>162</v>
      </c>
      <c r="B107" s="214"/>
      <c r="C107" s="214"/>
      <c r="D107" s="214"/>
      <c r="E107" s="214"/>
      <c r="F107" s="214"/>
      <c r="G107" s="214"/>
      <c r="H107" s="214"/>
      <c r="I107" s="214"/>
      <c r="J107" s="214"/>
      <c r="K107" s="215"/>
      <c r="L107" s="380"/>
    </row>
    <row r="108" spans="1:17" ht="158" customHeight="1" x14ac:dyDescent="0.25">
      <c r="A108" s="514" t="s">
        <v>181</v>
      </c>
      <c r="B108" s="515"/>
      <c r="C108" s="231" t="s">
        <v>397</v>
      </c>
      <c r="D108" s="168" t="s">
        <v>41</v>
      </c>
      <c r="E108" s="213">
        <f>IF(D108=$N$6,1,IF(D108=$N$5,2,IF(D108=$N$4,3,IF(D108=$N$3,4,"n/a"))))</f>
        <v>2</v>
      </c>
      <c r="F108" s="482" t="s">
        <v>277</v>
      </c>
      <c r="G108" s="482"/>
      <c r="H108" s="482"/>
      <c r="I108" s="482"/>
      <c r="J108" s="482"/>
      <c r="K108" s="482"/>
      <c r="L108" s="380"/>
    </row>
    <row r="109" spans="1:17" ht="190.5" customHeight="1" thickBot="1" x14ac:dyDescent="0.3">
      <c r="A109" s="526" t="s">
        <v>182</v>
      </c>
      <c r="B109" s="527"/>
      <c r="C109" s="234" t="s">
        <v>398</v>
      </c>
      <c r="D109" s="167" t="s">
        <v>78</v>
      </c>
      <c r="E109" s="175">
        <f>IF(D109=$N$6,1,IF(D109=$N$5,2,IF(D109=$N$4,3,IF(D109=$N$3,4,"n/a"))))</f>
        <v>1</v>
      </c>
      <c r="F109" s="510" t="s">
        <v>278</v>
      </c>
      <c r="G109" s="511"/>
      <c r="H109" s="511"/>
      <c r="I109" s="511"/>
      <c r="J109" s="511"/>
      <c r="K109" s="509"/>
      <c r="L109" s="380"/>
    </row>
    <row r="110" spans="1:17" ht="27" customHeight="1" thickBot="1" x14ac:dyDescent="0.3">
      <c r="A110" s="522"/>
      <c r="B110" s="523"/>
      <c r="C110" s="39" t="s">
        <v>23</v>
      </c>
      <c r="D110" s="27" t="str">
        <f>IF(E110&lt;1.5,"Low",IF(E110&lt;2.5,"Moderate",IF(E110&lt;3.5,"Substantial",IF(E110&lt;4.5,"High","n/a"))))</f>
        <v>Moderate</v>
      </c>
      <c r="E110" s="145">
        <f>IF(COUNT(E108:E109)=0,"n/a",AVERAGE(E108:E109))</f>
        <v>1.5</v>
      </c>
      <c r="F110" s="28">
        <f>E110</f>
        <v>1.5</v>
      </c>
      <c r="G110" s="216"/>
      <c r="H110" s="29" t="s">
        <v>22</v>
      </c>
      <c r="I110" s="26" t="str">
        <f>D110</f>
        <v>Moderate</v>
      </c>
      <c r="J110" s="30">
        <f>IF(I110=$N$7,"n/a",IF(AND(I110=$N$5,D110=$N$6),1.5,IF(AND(I110=$N$4,D110=$N$5),2.5,IF(AND(I110=$N$3,D110=$N$4),3.5,IF(AND(I110=$N$6,D110=$N$5),1.49,IF(AND(I110=$N$5,D110=$N$4),2.49,IF(AND(I110=$N$4,D110=$N$3),3.49,E110)))))))</f>
        <v>1.5</v>
      </c>
      <c r="K110" s="89" t="s">
        <v>90</v>
      </c>
      <c r="L110" s="380"/>
    </row>
    <row r="111" spans="1:17" ht="21" customHeight="1" x14ac:dyDescent="0.35">
      <c r="A111" s="396" t="s">
        <v>163</v>
      </c>
      <c r="B111" s="214"/>
      <c r="C111" s="214"/>
      <c r="D111" s="214"/>
      <c r="E111" s="214"/>
      <c r="F111" s="214"/>
      <c r="G111" s="214"/>
      <c r="H111" s="214"/>
      <c r="I111" s="214"/>
      <c r="J111" s="214"/>
      <c r="K111" s="215"/>
      <c r="L111" s="380"/>
      <c r="Q111" s="159"/>
    </row>
    <row r="112" spans="1:17" ht="249.5" customHeight="1" x14ac:dyDescent="0.25">
      <c r="A112" s="514" t="s">
        <v>183</v>
      </c>
      <c r="B112" s="515"/>
      <c r="C112" s="231" t="s">
        <v>399</v>
      </c>
      <c r="D112" s="225" t="s">
        <v>5</v>
      </c>
      <c r="E112" s="213">
        <f>IF(D112=$N$6,1,IF(D112=$N$5,2,IF(D112=$N$4,3,IF(D112=$N$3,4,"n/a"))))</f>
        <v>3</v>
      </c>
      <c r="F112" s="482" t="s">
        <v>279</v>
      </c>
      <c r="G112" s="482"/>
      <c r="H112" s="482"/>
      <c r="I112" s="482"/>
      <c r="J112" s="482"/>
      <c r="K112" s="482"/>
      <c r="L112" s="380"/>
    </row>
    <row r="113" spans="1:12" ht="224" customHeight="1" x14ac:dyDescent="0.25">
      <c r="A113" s="512" t="s">
        <v>184</v>
      </c>
      <c r="B113" s="513"/>
      <c r="C113" s="232" t="s">
        <v>400</v>
      </c>
      <c r="D113" s="195" t="s">
        <v>41</v>
      </c>
      <c r="E113" s="118">
        <f>IF(D113=$N$6,1,IF(D113=$N$5,2,IF(D113=$N$4,3,IF(D113=$N$3,4,"n/a"))))</f>
        <v>2</v>
      </c>
      <c r="F113" s="505" t="s">
        <v>280</v>
      </c>
      <c r="G113" s="499"/>
      <c r="H113" s="499"/>
      <c r="I113" s="499"/>
      <c r="J113" s="499"/>
      <c r="K113" s="506"/>
      <c r="L113" s="380"/>
    </row>
    <row r="114" spans="1:12" ht="224.5" customHeight="1" thickBot="1" x14ac:dyDescent="0.3">
      <c r="A114" s="524" t="s">
        <v>164</v>
      </c>
      <c r="B114" s="525"/>
      <c r="C114" s="233" t="s">
        <v>401</v>
      </c>
      <c r="D114" s="165" t="s">
        <v>41</v>
      </c>
      <c r="E114" s="175">
        <f>IF(D114=$N$6,1,IF(D114=$N$5,2,IF(D114=$N$4,3,IF(D114=$N$3,4,"n/a"))))</f>
        <v>2</v>
      </c>
      <c r="F114" s="507" t="s">
        <v>281</v>
      </c>
      <c r="G114" s="508"/>
      <c r="H114" s="508"/>
      <c r="I114" s="508"/>
      <c r="J114" s="508"/>
      <c r="K114" s="509"/>
      <c r="L114" s="378" t="s">
        <v>95</v>
      </c>
    </row>
    <row r="115" spans="1:12" ht="26.25" customHeight="1" thickBot="1" x14ac:dyDescent="0.3">
      <c r="A115" s="587"/>
      <c r="B115" s="588"/>
      <c r="C115" s="39" t="s">
        <v>23</v>
      </c>
      <c r="D115" s="27" t="str">
        <f>IF(E115&lt;1.5,"Low",IF(E115&lt;2.5,"Moderate",IF(E115&lt;3.5,"Substantial",IF(E115&lt;4.5,"High","n/a"))))</f>
        <v>Moderate</v>
      </c>
      <c r="E115" s="145">
        <f>IF(COUNT(E112:E114)=0,"n/a",AVERAGE(E112:E114))</f>
        <v>2.3333333333333335</v>
      </c>
      <c r="F115" s="28">
        <f>E115</f>
        <v>2.3333333333333335</v>
      </c>
      <c r="G115" s="216"/>
      <c r="H115" s="29" t="s">
        <v>22</v>
      </c>
      <c r="I115" s="26" t="str">
        <f>D115</f>
        <v>Moderate</v>
      </c>
      <c r="J115" s="30">
        <f>IF(I115=$N$7,"n/a",IF(AND(I115=$N$5,D115=$N$6),1.5,IF(AND(I115=$N$4,D115=$N$5),2.5,IF(AND(I115=$N$3,D115=$N$4),3.5,IF(AND(I115=$N$6,D115=$N$5),1.49,IF(AND(I115=$N$5,D115=$N$4),2.49,IF(AND(I115=$N$4,D115=$N$3),3.49,E115)))))))</f>
        <v>2.3333333333333335</v>
      </c>
      <c r="K115" s="89" t="s">
        <v>90</v>
      </c>
      <c r="L115" s="380"/>
    </row>
    <row r="116" spans="1:12" ht="23.25" customHeight="1" x14ac:dyDescent="0.25">
      <c r="A116" s="396" t="s">
        <v>167</v>
      </c>
      <c r="B116" s="214"/>
      <c r="C116" s="214"/>
      <c r="D116" s="214"/>
      <c r="E116" s="214"/>
      <c r="F116" s="214"/>
      <c r="G116" s="214"/>
      <c r="H116" s="214"/>
      <c r="I116" s="214"/>
      <c r="J116" s="214"/>
      <c r="K116" s="215"/>
      <c r="L116" s="380"/>
    </row>
    <row r="117" spans="1:12" ht="292" customHeight="1" x14ac:dyDescent="0.25">
      <c r="A117" s="503" t="s">
        <v>284</v>
      </c>
      <c r="B117" s="504"/>
      <c r="C117" s="235" t="s">
        <v>402</v>
      </c>
      <c r="D117" s="168" t="s">
        <v>78</v>
      </c>
      <c r="E117" s="118">
        <f>IF(D117=$N$6,1,IF(D117=$N$5,2,IF(D117=$N$4,3,IF(D117=$N$3,4,"n/a"))))</f>
        <v>1</v>
      </c>
      <c r="F117" s="482" t="s">
        <v>282</v>
      </c>
      <c r="G117" s="482"/>
      <c r="H117" s="482"/>
      <c r="I117" s="482"/>
      <c r="J117" s="482"/>
      <c r="K117" s="482"/>
      <c r="L117" s="378"/>
    </row>
    <row r="118" spans="1:12" ht="329" customHeight="1" x14ac:dyDescent="0.25">
      <c r="A118" s="503" t="s">
        <v>285</v>
      </c>
      <c r="B118" s="504"/>
      <c r="C118" s="232" t="s">
        <v>403</v>
      </c>
      <c r="D118" s="195" t="s">
        <v>78</v>
      </c>
      <c r="E118" s="118">
        <f>IF(D118=$N$6,1,IF(D118=$N$5,2,IF(D118=$N$4,3,IF(D118=$N$3,4,"n/a"))))</f>
        <v>1</v>
      </c>
      <c r="F118" s="505" t="s">
        <v>286</v>
      </c>
      <c r="G118" s="499"/>
      <c r="H118" s="499"/>
      <c r="I118" s="499"/>
      <c r="J118" s="499"/>
      <c r="K118" s="506"/>
      <c r="L118" s="378"/>
    </row>
    <row r="119" spans="1:12" ht="246" customHeight="1" thickBot="1" x14ac:dyDescent="0.3">
      <c r="A119" s="589" t="s">
        <v>287</v>
      </c>
      <c r="B119" s="590"/>
      <c r="C119" s="235" t="s">
        <v>404</v>
      </c>
      <c r="D119" s="167" t="s">
        <v>78</v>
      </c>
      <c r="E119" s="175">
        <f>IF(D119=$N$6,1,IF(D119=$N$5,2,IF(D119=$N$4,3,IF(D119=$N$3,4,"n/a"))))</f>
        <v>1</v>
      </c>
      <c r="F119" s="507" t="s">
        <v>283</v>
      </c>
      <c r="G119" s="508"/>
      <c r="H119" s="508"/>
      <c r="I119" s="508"/>
      <c r="J119" s="508"/>
      <c r="K119" s="509"/>
      <c r="L119" s="378"/>
    </row>
    <row r="120" spans="1:12" ht="27" customHeight="1" thickBot="1" x14ac:dyDescent="0.3">
      <c r="A120" s="522"/>
      <c r="B120" s="523"/>
      <c r="C120" s="39" t="s">
        <v>23</v>
      </c>
      <c r="D120" s="27" t="str">
        <f>IF(E120&lt;1.5,"Low",IF(E120&lt;2.5,"Moderate",IF(E120&lt;3.5,"Substantial",IF(E120&lt;4.5,"High","n/a"))))</f>
        <v>Low</v>
      </c>
      <c r="E120" s="145">
        <f>IF(COUNT(E117:E119)=0,"n/a",AVERAGE(E117:E119))</f>
        <v>1</v>
      </c>
      <c r="F120" s="28">
        <f>E120</f>
        <v>1</v>
      </c>
      <c r="G120" s="216"/>
      <c r="H120" s="29" t="s">
        <v>22</v>
      </c>
      <c r="I120" s="26" t="str">
        <f>D120</f>
        <v>Low</v>
      </c>
      <c r="J120" s="30">
        <f>IF(I120=$N$7,"n/a",IF(AND(I120=$N$5,D120=$N$6),1.5,IF(AND(I120=$N$4,D120=$N$5),2.5,IF(AND(I120=$N$3,D120=$N$4),3.5,IF(AND(I120=$N$6,D120=$N$5),1.49,IF(AND(I120=$N$5,D120=$N$4),2.49,IF(AND(I120=$N$4,D120=$N$3),3.49,E120)))))))</f>
        <v>1</v>
      </c>
      <c r="K120" s="89" t="s">
        <v>90</v>
      </c>
      <c r="L120" s="380"/>
    </row>
  </sheetData>
  <sheetProtection password="CC15" sheet="1" objects="1" scenarios="1" formatRows="0"/>
  <mergeCells count="155">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118:B118"/>
    <mergeCell ref="F113:K113"/>
    <mergeCell ref="F118:K118"/>
    <mergeCell ref="F119:K119"/>
    <mergeCell ref="F114:K114"/>
    <mergeCell ref="F109:K109"/>
    <mergeCell ref="F99:K99"/>
    <mergeCell ref="F98:K98"/>
    <mergeCell ref="F94:K94"/>
    <mergeCell ref="A113:B113"/>
    <mergeCell ref="A112:B112"/>
    <mergeCell ref="F93:K93"/>
    <mergeCell ref="A94:B94"/>
    <mergeCell ref="A95:B95"/>
    <mergeCell ref="A97:B97"/>
    <mergeCell ref="F97:K97"/>
    <mergeCell ref="A98:B98"/>
    <mergeCell ref="A99:B99"/>
    <mergeCell ref="A74:B74"/>
    <mergeCell ref="F74:K74"/>
    <mergeCell ref="A78:B78"/>
    <mergeCell ref="F78:K78"/>
    <mergeCell ref="A77:B77"/>
    <mergeCell ref="A75:B75"/>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20" zoomScaleNormal="100" zoomScaleSheetLayoutView="115" workbookViewId="0">
      <selection activeCell="B38" sqref="B38"/>
    </sheetView>
  </sheetViews>
  <sheetFormatPr defaultColWidth="8.81640625" defaultRowHeight="12.5" x14ac:dyDescent="0.25"/>
  <cols>
    <col min="1" max="1" width="12.81640625" customWidth="1"/>
    <col min="2" max="2" width="126" customWidth="1"/>
    <col min="4" max="5" width="17.7265625" customWidth="1"/>
    <col min="6" max="6" width="17.81640625" customWidth="1"/>
  </cols>
  <sheetData>
    <row r="1" spans="1:2" ht="24" customHeight="1" thickBot="1" x14ac:dyDescent="0.3">
      <c r="A1" s="607" t="s">
        <v>121</v>
      </c>
      <c r="B1" s="608"/>
    </row>
    <row r="2" spans="1:2" s="152" customFormat="1" ht="23.25" customHeight="1" x14ac:dyDescent="0.25">
      <c r="A2" s="609" t="s">
        <v>205</v>
      </c>
      <c r="B2" s="610"/>
    </row>
    <row r="3" spans="1:2" ht="40.5" customHeight="1" x14ac:dyDescent="0.25">
      <c r="A3" s="388" t="s">
        <v>194</v>
      </c>
      <c r="B3" s="393" t="s">
        <v>190</v>
      </c>
    </row>
    <row r="4" spans="1:2" ht="36" customHeight="1" x14ac:dyDescent="0.25">
      <c r="A4" s="407" t="s">
        <v>195</v>
      </c>
      <c r="B4" s="94" t="s">
        <v>192</v>
      </c>
    </row>
    <row r="5" spans="1:2" ht="36" customHeight="1" thickBot="1" x14ac:dyDescent="0.3">
      <c r="A5" s="388" t="s">
        <v>209</v>
      </c>
      <c r="B5" s="391" t="s">
        <v>210</v>
      </c>
    </row>
    <row r="6" spans="1:2" ht="23.25" customHeight="1" x14ac:dyDescent="0.25">
      <c r="A6" s="611" t="s">
        <v>191</v>
      </c>
      <c r="B6" s="612"/>
    </row>
    <row r="7" spans="1:2" ht="21.75" customHeight="1" x14ac:dyDescent="0.25">
      <c r="A7" s="387" t="s">
        <v>133</v>
      </c>
      <c r="B7" s="254"/>
    </row>
    <row r="8" spans="1:2" ht="37.5" customHeight="1" x14ac:dyDescent="0.25">
      <c r="A8" s="93">
        <v>1</v>
      </c>
      <c r="B8" s="393" t="s">
        <v>193</v>
      </c>
    </row>
    <row r="9" spans="1:2" ht="22.5" customHeight="1" x14ac:dyDescent="0.3">
      <c r="A9" s="387" t="s">
        <v>131</v>
      </c>
      <c r="B9" s="253"/>
    </row>
    <row r="10" spans="1:2" ht="130.5" customHeight="1" x14ac:dyDescent="0.25">
      <c r="A10" s="392">
        <f>+A8+1</f>
        <v>2</v>
      </c>
      <c r="B10" s="94" t="s">
        <v>206</v>
      </c>
    </row>
    <row r="11" spans="1:2" ht="27" customHeight="1" x14ac:dyDescent="0.25">
      <c r="A11" s="392">
        <f>+A10+1</f>
        <v>3</v>
      </c>
      <c r="B11" s="94" t="s">
        <v>196</v>
      </c>
    </row>
    <row r="12" spans="1:2" ht="23.25" customHeight="1" x14ac:dyDescent="0.25">
      <c r="A12" s="392">
        <f t="shared" ref="A12:A13" si="0">+A11+1</f>
        <v>4</v>
      </c>
      <c r="B12" s="94" t="s">
        <v>203</v>
      </c>
    </row>
    <row r="13" spans="1:2" ht="114" customHeight="1" x14ac:dyDescent="0.25">
      <c r="A13" s="392">
        <f t="shared" si="0"/>
        <v>5</v>
      </c>
      <c r="B13" s="94" t="s">
        <v>204</v>
      </c>
    </row>
    <row r="14" spans="1:2" ht="22.5" customHeight="1" x14ac:dyDescent="0.25">
      <c r="A14" s="387" t="s">
        <v>132</v>
      </c>
      <c r="B14" s="254"/>
    </row>
    <row r="15" spans="1:2" ht="54.75" customHeight="1" x14ac:dyDescent="0.25">
      <c r="A15" s="392">
        <f>+A13+1</f>
        <v>6</v>
      </c>
      <c r="B15" s="94" t="s">
        <v>197</v>
      </c>
    </row>
    <row r="16" spans="1:2" ht="23.25" customHeight="1" x14ac:dyDescent="0.25">
      <c r="A16" s="392">
        <f t="shared" ref="A16:A18" si="1">+A15+1</f>
        <v>7</v>
      </c>
      <c r="B16" s="94" t="s">
        <v>198</v>
      </c>
    </row>
    <row r="17" spans="1:2" ht="24.75" customHeight="1" x14ac:dyDescent="0.25">
      <c r="A17" s="392">
        <f t="shared" si="1"/>
        <v>8</v>
      </c>
      <c r="B17" s="94" t="s">
        <v>199</v>
      </c>
    </row>
    <row r="18" spans="1:2" ht="24.75" customHeight="1" x14ac:dyDescent="0.25">
      <c r="A18" s="392">
        <f t="shared" si="1"/>
        <v>9</v>
      </c>
      <c r="B18" s="94" t="s">
        <v>200</v>
      </c>
    </row>
    <row r="19" spans="1:2" ht="21.75" customHeight="1" x14ac:dyDescent="0.25">
      <c r="A19" s="387" t="s">
        <v>133</v>
      </c>
      <c r="B19" s="254"/>
    </row>
    <row r="20" spans="1:2" ht="40.5" customHeight="1" thickBot="1" x14ac:dyDescent="0.3">
      <c r="A20" s="93">
        <f>+A18+1</f>
        <v>10</v>
      </c>
      <c r="B20" s="391" t="s">
        <v>201</v>
      </c>
    </row>
    <row r="21" spans="1:2" ht="52.5" customHeight="1" thickBot="1" x14ac:dyDescent="0.3">
      <c r="A21" s="390" t="s">
        <v>122</v>
      </c>
      <c r="B21" s="255" t="s">
        <v>202</v>
      </c>
    </row>
    <row r="24" spans="1:2" ht="17.25" customHeight="1" x14ac:dyDescent="0.25">
      <c r="A24" s="389" t="s">
        <v>92</v>
      </c>
      <c r="B24" s="389" t="s">
        <v>91</v>
      </c>
    </row>
    <row r="25" spans="1:2" x14ac:dyDescent="0.25">
      <c r="A25" s="95" t="s">
        <v>93</v>
      </c>
      <c r="B25" s="95" t="s">
        <v>71</v>
      </c>
    </row>
    <row r="26" spans="1:2" x14ac:dyDescent="0.25">
      <c r="A26" s="95" t="s">
        <v>94</v>
      </c>
      <c r="B26" s="95" t="s">
        <v>71</v>
      </c>
    </row>
    <row r="27" spans="1:2" x14ac:dyDescent="0.25">
      <c r="A27" s="95" t="s">
        <v>96</v>
      </c>
      <c r="B27" s="96" t="s">
        <v>97</v>
      </c>
    </row>
    <row r="28" spans="1:2" ht="34.5" x14ac:dyDescent="0.25">
      <c r="A28" s="97">
        <v>2.1</v>
      </c>
      <c r="B28" s="98" t="s">
        <v>62</v>
      </c>
    </row>
    <row r="29" spans="1:2" x14ac:dyDescent="0.25">
      <c r="A29" s="99" t="s">
        <v>98</v>
      </c>
      <c r="B29" s="99" t="s">
        <v>63</v>
      </c>
    </row>
    <row r="30" spans="1:2" x14ac:dyDescent="0.25">
      <c r="A30" s="99" t="s">
        <v>99</v>
      </c>
      <c r="B30" s="99" t="s">
        <v>46</v>
      </c>
    </row>
    <row r="31" spans="1:2" ht="23" x14ac:dyDescent="0.25">
      <c r="A31" s="100" t="s">
        <v>100</v>
      </c>
      <c r="B31" s="99" t="s">
        <v>65</v>
      </c>
    </row>
    <row r="32" spans="1:2" x14ac:dyDescent="0.25">
      <c r="A32" s="101" t="s">
        <v>101</v>
      </c>
      <c r="B32" s="101" t="s">
        <v>31</v>
      </c>
    </row>
    <row r="33" spans="1:2" ht="23" x14ac:dyDescent="0.25">
      <c r="A33" s="102">
        <v>4</v>
      </c>
      <c r="B33" s="102" t="s">
        <v>102</v>
      </c>
    </row>
    <row r="34" spans="1:2" x14ac:dyDescent="0.25">
      <c r="A34" s="88" t="s">
        <v>103</v>
      </c>
      <c r="B34" s="88" t="s">
        <v>189</v>
      </c>
    </row>
    <row r="35" spans="1:2" x14ac:dyDescent="0.25">
      <c r="A35" s="88" t="s">
        <v>104</v>
      </c>
      <c r="B35" s="88" t="s">
        <v>115</v>
      </c>
    </row>
    <row r="36" spans="1:2" x14ac:dyDescent="0.25">
      <c r="A36" s="88" t="s">
        <v>105</v>
      </c>
      <c r="B36" s="88" t="s">
        <v>114</v>
      </c>
    </row>
    <row r="37" spans="1:2" ht="34.5" x14ac:dyDescent="0.25">
      <c r="A37" s="88" t="s">
        <v>106</v>
      </c>
      <c r="B37" s="88" t="s">
        <v>107</v>
      </c>
    </row>
    <row r="38" spans="1:2" ht="23" x14ac:dyDescent="0.25">
      <c r="A38" s="88" t="s">
        <v>108</v>
      </c>
      <c r="B38" s="88" t="s">
        <v>75</v>
      </c>
    </row>
    <row r="39" spans="1:2" x14ac:dyDescent="0.25">
      <c r="A39" s="88" t="s">
        <v>109</v>
      </c>
      <c r="B39" s="88" t="s">
        <v>116</v>
      </c>
    </row>
    <row r="40" spans="1:2" x14ac:dyDescent="0.25">
      <c r="A40" s="309" t="s">
        <v>110</v>
      </c>
      <c r="B40" s="309" t="s">
        <v>155</v>
      </c>
    </row>
    <row r="41" spans="1:2" x14ac:dyDescent="0.25">
      <c r="A41" s="310" t="s">
        <v>174</v>
      </c>
      <c r="B41" s="310" t="s">
        <v>177</v>
      </c>
    </row>
    <row r="42" spans="1:2" x14ac:dyDescent="0.25">
      <c r="A42" s="310" t="s">
        <v>160</v>
      </c>
      <c r="B42" s="310" t="s">
        <v>119</v>
      </c>
    </row>
    <row r="43" spans="1:2" x14ac:dyDescent="0.25">
      <c r="A43" s="310" t="s">
        <v>113</v>
      </c>
      <c r="B43" s="310" t="s">
        <v>120</v>
      </c>
    </row>
    <row r="44" spans="1:2" x14ac:dyDescent="0.25">
      <c r="A44" s="103" t="s">
        <v>168</v>
      </c>
      <c r="B44" s="103" t="s">
        <v>111</v>
      </c>
    </row>
    <row r="45" spans="1:2" x14ac:dyDescent="0.25">
      <c r="A45" s="103" t="s">
        <v>169</v>
      </c>
      <c r="B45" s="104" t="s">
        <v>112</v>
      </c>
    </row>
    <row r="46" spans="1:2" x14ac:dyDescent="0.25">
      <c r="A46" s="104" t="s">
        <v>170</v>
      </c>
      <c r="B46" s="104" t="s">
        <v>117</v>
      </c>
    </row>
    <row r="47" spans="1:2" x14ac:dyDescent="0.25">
      <c r="A47" s="104" t="s">
        <v>171</v>
      </c>
      <c r="B47" s="104" t="s">
        <v>118</v>
      </c>
    </row>
    <row r="48" spans="1:2" ht="13" thickBot="1" x14ac:dyDescent="0.3">
      <c r="A48" s="312"/>
      <c r="B48" s="312"/>
    </row>
    <row r="49" spans="1:6" ht="27.75" customHeight="1" thickBot="1" x14ac:dyDescent="0.35">
      <c r="A49" s="251"/>
      <c r="B49" s="252"/>
      <c r="D49" s="256"/>
      <c r="E49" s="262" t="s">
        <v>124</v>
      </c>
      <c r="F49" s="257" t="s">
        <v>126</v>
      </c>
    </row>
    <row r="50" spans="1:6" ht="45" customHeight="1" thickBot="1" x14ac:dyDescent="0.3">
      <c r="A50" s="251"/>
      <c r="B50" s="252" t="s">
        <v>134</v>
      </c>
      <c r="C50" s="14"/>
      <c r="D50" s="267" t="s">
        <v>125</v>
      </c>
      <c r="E50" s="263" t="s">
        <v>127</v>
      </c>
      <c r="F50" s="261" t="s">
        <v>128</v>
      </c>
    </row>
    <row r="51" spans="1:6" ht="21.75" customHeight="1" x14ac:dyDescent="0.25">
      <c r="A51" s="251"/>
      <c r="B51" s="252"/>
      <c r="C51" s="14"/>
      <c r="D51" s="268" t="s">
        <v>4</v>
      </c>
      <c r="E51" s="264">
        <v>4</v>
      </c>
      <c r="F51" s="260" t="s">
        <v>135</v>
      </c>
    </row>
    <row r="52" spans="1:6" ht="21.75" customHeight="1" x14ac:dyDescent="0.25">
      <c r="A52" s="251"/>
      <c r="B52" s="252"/>
      <c r="C52" s="14"/>
      <c r="D52" s="269" t="s">
        <v>5</v>
      </c>
      <c r="E52" s="265">
        <v>3</v>
      </c>
      <c r="F52" s="258" t="s">
        <v>136</v>
      </c>
    </row>
    <row r="53" spans="1:6" ht="21.75" customHeight="1" x14ac:dyDescent="0.25">
      <c r="A53" s="251"/>
      <c r="B53" s="252"/>
      <c r="C53" s="14"/>
      <c r="D53" s="270" t="s">
        <v>41</v>
      </c>
      <c r="E53" s="265">
        <v>2</v>
      </c>
      <c r="F53" s="258" t="s">
        <v>137</v>
      </c>
    </row>
    <row r="54" spans="1:6" ht="21.75" customHeight="1" x14ac:dyDescent="0.25">
      <c r="A54" s="251"/>
      <c r="B54" s="252"/>
      <c r="C54" s="14"/>
      <c r="D54" s="271" t="s">
        <v>78</v>
      </c>
      <c r="E54" s="265">
        <v>1</v>
      </c>
      <c r="F54" s="258" t="s">
        <v>130</v>
      </c>
    </row>
    <row r="55" spans="1:6" ht="21.75" customHeight="1" thickBot="1" x14ac:dyDescent="0.3">
      <c r="A55" s="251"/>
      <c r="B55" s="252"/>
      <c r="C55" s="14"/>
      <c r="D55" s="272" t="s">
        <v>18</v>
      </c>
      <c r="E55" s="266" t="s">
        <v>129</v>
      </c>
      <c r="F55" s="259" t="s">
        <v>129</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89124-D42E-41EA-9C34-CFE157928930}">
  <ds:schemaRefs>
    <ds:schemaRef ds:uri="http://purl.org/dc/dcmitype/"/>
    <ds:schemaRef ds:uri="http://purl.org/dc/elements/1.1/"/>
    <ds:schemaRef ds:uri="http://schemas.microsoft.com/office/2006/documentManagement/types"/>
    <ds:schemaRef ds:uri="http://purl.org/dc/terms/"/>
    <ds:schemaRef ds:uri="http://www.w3.org/XML/1998/namespace"/>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6a48e1-fc21-461a-b97f-ac5bd535f341}" enabled="0" method="" siteId="{f26a48e1-fc21-461a-b97f-ac5bd535f34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4</vt:i4>
      </vt:variant>
      <vt:variant>
        <vt:lpstr>Pojmenované oblasti</vt:lpstr>
      </vt:variant>
      <vt:variant>
        <vt:i4>5</vt:i4>
      </vt:variant>
    </vt:vector>
  </HeadingPairs>
  <TitlesOfParts>
    <vt:vector size="9" baseType="lpstr">
      <vt:lpstr>Profile</vt:lpstr>
      <vt:lpstr>Register</vt:lpstr>
      <vt:lpstr>Questionnaire</vt:lpstr>
      <vt:lpstr>Guidance</vt:lpstr>
      <vt:lpstr>Questionnaire!Názvy_tisku</vt:lpstr>
      <vt:lpstr>Register!Názvy_tisku</vt:lpstr>
      <vt:lpstr>Profile!Oblast_tisku</vt:lpstr>
      <vt:lpstr>Questionnaire!Oblast_tisku</vt:lpstr>
      <vt:lpstr>Register!Oblast_tisku</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Mazancová Jana</cp:lastModifiedBy>
  <cp:lastPrinted>2015-09-16T12:49:58Z</cp:lastPrinted>
  <dcterms:created xsi:type="dcterms:W3CDTF">2012-01-04T16:00:22Z</dcterms:created>
  <dcterms:modified xsi:type="dcterms:W3CDTF">2026-06-28T21:02:35Z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