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AFA-Transfer-IKMS\VCA4D Tchad Sesame\"/>
    </mc:Choice>
  </mc:AlternateContent>
  <xr:revisionPtr revIDLastSave="0" documentId="13_ncr:1_{F1E7376D-4150-4C8E-B55D-87D0F15F1045}" xr6:coauthVersionLast="47" xr6:coauthVersionMax="47" xr10:uidLastSave="{00000000-0000-0000-0000-000000000000}"/>
  <bookViews>
    <workbookView xWindow="-120" yWindow="-120" windowWidth="20640" windowHeight="11040" tabRatio="880" xr2:uid="{9DCB8680-E9B1-40EF-B852-A22D0051B62A}"/>
  </bookViews>
  <sheets>
    <sheet name="Study id" sheetId="2" r:id="rId1"/>
    <sheet name="Stages description" sheetId="3" r:id="rId2"/>
    <sheet name="Actor types" sheetId="4" r:id="rId3"/>
    <sheet name="Farm gate price In final price" sheetId="5" r:id="rId4"/>
    <sheet name="Flow by actor type" sheetId="6" r:id="rId5"/>
    <sheet name="AFA Translations" sheetId="7" r:id="rId6"/>
    <sheet name="Indicator by actor type" sheetId="8" r:id="rId7"/>
    <sheet name="Imported And exported goods" sheetId="9" r:id="rId8"/>
    <sheet name="Direct value added receivers" sheetId="10" r:id="rId9"/>
    <sheet name="Employment" sheetId="11" r:id="rId10"/>
    <sheet name="Account by actor type"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8" l="1"/>
  <c r="F5" i="5"/>
</calcChain>
</file>

<file path=xl/sharedStrings.xml><?xml version="1.0" encoding="utf-8"?>
<sst xmlns="http://schemas.openxmlformats.org/spreadsheetml/2006/main" count="856" uniqueCount="167">
  <si>
    <t>Property</t>
  </si>
  <si>
    <t>Value</t>
  </si>
  <si>
    <t>Unit</t>
  </si>
  <si>
    <t>Country</t>
  </si>
  <si>
    <t>-</t>
  </si>
  <si>
    <t>Commodity</t>
  </si>
  <si>
    <t>Reference Year</t>
  </si>
  <si>
    <t>Currency (ISO)</t>
  </si>
  <si>
    <t>MXAF</t>
  </si>
  <si>
    <t>Currency unit AFA</t>
  </si>
  <si>
    <t>Conversion rate Currency unit AFA to Currency (ISO)</t>
  </si>
  <si>
    <t>Total volume of commodity production</t>
  </si>
  <si>
    <t>sesame</t>
  </si>
  <si>
    <t>Ton</t>
  </si>
  <si>
    <t>Total value added</t>
  </si>
  <si>
    <t>Value added share of national GDP</t>
  </si>
  <si>
    <t>%</t>
  </si>
  <si>
    <t>Value added share of the agricultural sector GDP</t>
  </si>
  <si>
    <t>Rate of integration into domestic economy</t>
  </si>
  <si>
    <t>Driving effect ratio</t>
  </si>
  <si>
    <t>Public funds balance</t>
  </si>
  <si>
    <t>Public funds balance / Public budget</t>
  </si>
  <si>
    <t>Balance of trade of the value chain</t>
  </si>
  <si>
    <t>Gini index</t>
  </si>
  <si>
    <t>Nominal protection coefficient</t>
  </si>
  <si>
    <t>Domestic resource cost ratio</t>
  </si>
  <si>
    <t>Full-time equivalent (FTE) definition</t>
  </si>
  <si>
    <t>Stages</t>
  </si>
  <si>
    <t>Description</t>
  </si>
  <si>
    <t>Producers</t>
  </si>
  <si>
    <t>Collectors</t>
  </si>
  <si>
    <t>Processors</t>
  </si>
  <si>
    <t>with exporter</t>
  </si>
  <si>
    <t>Wholesellers</t>
  </si>
  <si>
    <t>Retailers</t>
  </si>
  <si>
    <t>End use</t>
  </si>
  <si>
    <t>Actor type code</t>
  </si>
  <si>
    <t>Stage</t>
  </si>
  <si>
    <t>Actor type name</t>
  </si>
  <si>
    <t>Petit producteur</t>
  </si>
  <si>
    <t>Moyen producteur</t>
  </si>
  <si>
    <t>Grand producteur</t>
  </si>
  <si>
    <t>Collecteur</t>
  </si>
  <si>
    <t>Grossiste</t>
  </si>
  <si>
    <t>Exportateur</t>
  </si>
  <si>
    <t>Transformateur ind.</t>
  </si>
  <si>
    <t>Demi Grossiste</t>
  </si>
  <si>
    <t>Détaillant</t>
  </si>
  <si>
    <t>Transfor_biscuit</t>
  </si>
  <si>
    <t>Trf_Huile_art</t>
  </si>
  <si>
    <t>Conso_ruraux</t>
  </si>
  <si>
    <t>Conso_CUS</t>
  </si>
  <si>
    <t>Conso_URB</t>
  </si>
  <si>
    <t>Marché_reg</t>
  </si>
  <si>
    <t>Marché_int</t>
  </si>
  <si>
    <t>Case of start and end price</t>
  </si>
  <si>
    <t>Farm product</t>
  </si>
  <si>
    <t>Volume unit</t>
  </si>
  <si>
    <t>Farm gate price (local currency)</t>
  </si>
  <si>
    <t>End products</t>
  </si>
  <si>
    <t>End products unit value</t>
  </si>
  <si>
    <t>Unit Currency</t>
  </si>
  <si>
    <t>Seller actor type code</t>
  </si>
  <si>
    <t>Seller Name</t>
  </si>
  <si>
    <t>Buyer actor type code</t>
  </si>
  <si>
    <t>Buyer Name</t>
  </si>
  <si>
    <t>Products</t>
  </si>
  <si>
    <t>Volume exchanged (kg Of product)</t>
  </si>
  <si>
    <t>Monetary value</t>
  </si>
  <si>
    <t>Unitary price (local curency)</t>
  </si>
  <si>
    <t>Volume Unit</t>
  </si>
  <si>
    <t>Remark</t>
  </si>
  <si>
    <t>Sesame</t>
  </si>
  <si>
    <t>Sesame_loc</t>
  </si>
  <si>
    <t>Halava</t>
  </si>
  <si>
    <t>Tahini</t>
  </si>
  <si>
    <t>Biscuit</t>
  </si>
  <si>
    <t>Huile</t>
  </si>
  <si>
    <t>Tourteau</t>
  </si>
  <si>
    <t>AFA Names</t>
  </si>
  <si>
    <t>English translation</t>
  </si>
  <si>
    <t>biscuit</t>
  </si>
  <si>
    <t>halava</t>
  </si>
  <si>
    <t>huile</t>
  </si>
  <si>
    <t>tahini</t>
  </si>
  <si>
    <t>tourteau</t>
  </si>
  <si>
    <t>sesame_loc</t>
  </si>
  <si>
    <t>Actor type Name</t>
  </si>
  <si>
    <t>Number of actors in the value chain</t>
  </si>
  <si>
    <t>Direct added value (local currency)</t>
  </si>
  <si>
    <t>Public funds balance (local currency)</t>
  </si>
  <si>
    <t>Net operating profit (local currency)</t>
  </si>
  <si>
    <t>Total costs (local currency)</t>
  </si>
  <si>
    <t>Goods</t>
  </si>
  <si>
    <t>Value (local currency)</t>
  </si>
  <si>
    <t>Imported or Exported</t>
  </si>
  <si>
    <t>A_CHIMIQUE</t>
  </si>
  <si>
    <t>Import</t>
  </si>
  <si>
    <t>A_EMBALLAGE</t>
  </si>
  <si>
    <t>A_INGREDIENT</t>
  </si>
  <si>
    <t>A_TRANSPORT</t>
  </si>
  <si>
    <t>Labour Mécanisé</t>
  </si>
  <si>
    <t>Transitaire Douala</t>
  </si>
  <si>
    <t>Receiver Code</t>
  </si>
  <si>
    <t>Receiver Name</t>
  </si>
  <si>
    <t>Land owners (land fees)</t>
  </si>
  <si>
    <t>Depreciation</t>
  </si>
  <si>
    <t>Employees (wages)</t>
  </si>
  <si>
    <t>Financial institutions (interests on loans)</t>
  </si>
  <si>
    <t>Government (taxes - subsidies)</t>
  </si>
  <si>
    <t>Temporary Male</t>
  </si>
  <si>
    <t>Temporary Female</t>
  </si>
  <si>
    <t>Permanent Unskilled Male</t>
  </si>
  <si>
    <t>Permanent Unskilled Female</t>
  </si>
  <si>
    <t>Permanent Skilled Male</t>
  </si>
  <si>
    <t>Permanent Skilled Female</t>
  </si>
  <si>
    <t>Day</t>
  </si>
  <si>
    <t>Cost or Revenue</t>
  </si>
  <si>
    <t>Item</t>
  </si>
  <si>
    <t>Cost</t>
  </si>
  <si>
    <t>Consumables</t>
  </si>
  <si>
    <t>Interest on loan</t>
  </si>
  <si>
    <t>Land Fee</t>
  </si>
  <si>
    <t>Net Operating Profit</t>
  </si>
  <si>
    <t>Revenue</t>
  </si>
  <si>
    <t>Production</t>
  </si>
  <si>
    <t>Subsidies</t>
  </si>
  <si>
    <t>Taxes</t>
  </si>
  <si>
    <t>Wages</t>
  </si>
  <si>
    <t>XAF</t>
  </si>
  <si>
    <t>Sesames is produced mainly by small scale producers (less than 3ha), average producer (3ha  to 15ha) and a large farm (50 ha and above) that are emerging in the last decade</t>
  </si>
  <si>
    <t>Sesame is collected either by independant collectors, wholesaler agent. Cooperative or farmer group can be involved to a lesser extent in sesame bulking</t>
  </si>
  <si>
    <t>Seseame is locally procseed into sesame oil for the domestic market by small scale mil. It also processed into snack by women. There ar two plants processiong sesams into tahini and halva for the domesctic and regional market</t>
  </si>
  <si>
    <t>Wholesaler are connecting prdicing area to the urban areas, and exporters supplying either the regional or the international market</t>
  </si>
  <si>
    <t>Sesame retailer supply urban consumers who incorporate sesame seed in their reciepes or urban small-scale processors</t>
  </si>
  <si>
    <t>The domestic markets purchase only 15% of the production  while exportations represent the largest share of the demand.</t>
  </si>
  <si>
    <t>sesame seed</t>
  </si>
  <si>
    <t>1 Ton</t>
  </si>
  <si>
    <t>Production to industrial processing</t>
  </si>
  <si>
    <t>Production to local consumers</t>
  </si>
  <si>
    <t>sorted sesame seed</t>
  </si>
  <si>
    <t>Snack</t>
  </si>
  <si>
    <t>Halva</t>
  </si>
  <si>
    <t>Sesame oil</t>
  </si>
  <si>
    <t>Sesame Cake</t>
  </si>
  <si>
    <t>Small scale producer</t>
  </si>
  <si>
    <t>Average producer</t>
  </si>
  <si>
    <t>Large producer</t>
  </si>
  <si>
    <t>Collector</t>
  </si>
  <si>
    <t>Wholesaler</t>
  </si>
  <si>
    <t>Exporter</t>
  </si>
  <si>
    <t>Industrial processing</t>
  </si>
  <si>
    <t>Half-wholesaler</t>
  </si>
  <si>
    <t>Retailer</t>
  </si>
  <si>
    <t>Small scale snack processor</t>
  </si>
  <si>
    <t>Small scale oil mill</t>
  </si>
  <si>
    <t>Rural consumers</t>
  </si>
  <si>
    <t>Small City consumers</t>
  </si>
  <si>
    <t>Large city consumers</t>
  </si>
  <si>
    <t>Regional market</t>
  </si>
  <si>
    <t>International market</t>
  </si>
  <si>
    <t>Export</t>
  </si>
  <si>
    <t>Sesame international market</t>
  </si>
  <si>
    <t>Sesame regional market</t>
  </si>
  <si>
    <t>Production to seed export (int market)</t>
  </si>
  <si>
    <t>Production to seed export (reg market)</t>
  </si>
  <si>
    <t>Chad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</si>
</sst>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3"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30B39-63C7-4BC7-923A-0179F55DFD9B}">
  <dimension ref="A1:D24"/>
  <sheetViews>
    <sheetView tabSelected="1" workbookViewId="0">
      <selection activeCell="B5" sqref="B5"/>
    </sheetView>
  </sheetViews>
  <sheetFormatPr baseColWidth="10" defaultRowHeight="15" x14ac:dyDescent="0.25"/>
  <cols>
    <col min="1" max="1" width="46.5703125" customWidth="1"/>
    <col min="2" max="2" width="30" customWidth="1"/>
  </cols>
  <sheetData>
    <row r="1" spans="1:4" x14ac:dyDescent="0.25">
      <c r="A1" s="1" t="s">
        <v>0</v>
      </c>
      <c r="B1" s="1" t="s">
        <v>1</v>
      </c>
      <c r="C1" s="1" t="s">
        <v>2</v>
      </c>
    </row>
    <row r="2" spans="1:4" x14ac:dyDescent="0.25">
      <c r="A2" s="1" t="s">
        <v>3</v>
      </c>
      <c r="B2" t="s">
        <v>166</v>
      </c>
      <c r="C2" t="s">
        <v>4</v>
      </c>
    </row>
    <row r="3" spans="1:4" x14ac:dyDescent="0.25">
      <c r="A3" s="1" t="s">
        <v>5</v>
      </c>
      <c r="B3" t="s">
        <v>72</v>
      </c>
      <c r="C3" t="s">
        <v>4</v>
      </c>
    </row>
    <row r="4" spans="1:4" x14ac:dyDescent="0.25">
      <c r="A4" s="1" t="s">
        <v>6</v>
      </c>
      <c r="B4">
        <v>2023</v>
      </c>
      <c r="C4" t="s">
        <v>4</v>
      </c>
    </row>
    <row r="5" spans="1:4" x14ac:dyDescent="0.25">
      <c r="A5" s="1" t="s">
        <v>7</v>
      </c>
      <c r="B5" t="s">
        <v>129</v>
      </c>
      <c r="C5" t="s">
        <v>4</v>
      </c>
    </row>
    <row r="6" spans="1:4" x14ac:dyDescent="0.25">
      <c r="A6" s="1" t="s">
        <v>9</v>
      </c>
      <c r="B6" t="s">
        <v>8</v>
      </c>
      <c r="C6" t="s">
        <v>4</v>
      </c>
    </row>
    <row r="7" spans="1:4" x14ac:dyDescent="0.25">
      <c r="A7" s="1" t="s">
        <v>10</v>
      </c>
      <c r="B7">
        <v>1000000</v>
      </c>
      <c r="C7" t="s">
        <v>4</v>
      </c>
    </row>
    <row r="8" spans="1:4" x14ac:dyDescent="0.25">
      <c r="A8" s="1"/>
    </row>
    <row r="9" spans="1:4" x14ac:dyDescent="0.25">
      <c r="A9" s="1" t="s">
        <v>11</v>
      </c>
      <c r="B9" t="s">
        <v>72</v>
      </c>
      <c r="C9">
        <v>168786</v>
      </c>
      <c r="D9" t="s">
        <v>13</v>
      </c>
    </row>
    <row r="10" spans="1:4" x14ac:dyDescent="0.25">
      <c r="A10" s="1"/>
    </row>
    <row r="11" spans="1:4" x14ac:dyDescent="0.25">
      <c r="A11" s="1" t="s">
        <v>14</v>
      </c>
      <c r="B11">
        <v>102291.273883335</v>
      </c>
      <c r="C11" t="s">
        <v>8</v>
      </c>
    </row>
    <row r="12" spans="1:4" x14ac:dyDescent="0.25">
      <c r="A12" s="1" t="s">
        <v>15</v>
      </c>
      <c r="B12">
        <v>1.1000000000000001</v>
      </c>
      <c r="C12" t="s">
        <v>16</v>
      </c>
    </row>
    <row r="13" spans="1:4" x14ac:dyDescent="0.25">
      <c r="A13" s="1" t="s">
        <v>17</v>
      </c>
      <c r="B13">
        <v>5</v>
      </c>
      <c r="C13" t="s">
        <v>16</v>
      </c>
    </row>
    <row r="14" spans="1:4" x14ac:dyDescent="0.25">
      <c r="A14" s="1" t="s">
        <v>18</v>
      </c>
      <c r="B14">
        <v>89</v>
      </c>
      <c r="C14" t="s">
        <v>16</v>
      </c>
    </row>
    <row r="15" spans="1:4" x14ac:dyDescent="0.25">
      <c r="A15" s="1" t="s">
        <v>19</v>
      </c>
      <c r="B15">
        <v>0.16</v>
      </c>
    </row>
    <row r="16" spans="1:4" x14ac:dyDescent="0.25">
      <c r="A16" s="1"/>
    </row>
    <row r="17" spans="1:3" x14ac:dyDescent="0.25">
      <c r="A17" s="1" t="s">
        <v>20</v>
      </c>
      <c r="B17">
        <v>13509</v>
      </c>
      <c r="C17" t="s">
        <v>8</v>
      </c>
    </row>
    <row r="18" spans="1:3" x14ac:dyDescent="0.25">
      <c r="A18" s="1" t="s">
        <v>21</v>
      </c>
      <c r="B18">
        <v>0.7</v>
      </c>
      <c r="C18" t="s">
        <v>16</v>
      </c>
    </row>
    <row r="19" spans="1:3" x14ac:dyDescent="0.25">
      <c r="A19" s="1" t="s">
        <v>22</v>
      </c>
      <c r="B19">
        <v>107154</v>
      </c>
      <c r="C19" t="s">
        <v>8</v>
      </c>
    </row>
    <row r="20" spans="1:3" x14ac:dyDescent="0.25">
      <c r="A20" s="1"/>
    </row>
    <row r="21" spans="1:3" x14ac:dyDescent="0.25">
      <c r="A21" s="1" t="s">
        <v>23</v>
      </c>
      <c r="B21">
        <v>0.38</v>
      </c>
      <c r="C21" t="s">
        <v>4</v>
      </c>
    </row>
    <row r="22" spans="1:3" x14ac:dyDescent="0.25">
      <c r="A22" s="1" t="s">
        <v>24</v>
      </c>
      <c r="B22">
        <v>0.96</v>
      </c>
      <c r="C22" t="s">
        <v>4</v>
      </c>
    </row>
    <row r="23" spans="1:3" x14ac:dyDescent="0.25">
      <c r="A23" s="1" t="s">
        <v>25</v>
      </c>
      <c r="B23">
        <v>0.18</v>
      </c>
      <c r="C23" t="s">
        <v>4</v>
      </c>
    </row>
    <row r="24" spans="1:3" x14ac:dyDescent="0.25">
      <c r="A24" s="1" t="s">
        <v>26</v>
      </c>
      <c r="B24">
        <v>310</v>
      </c>
      <c r="C24" t="s">
        <v>4</v>
      </c>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B073C-F597-432A-961C-A092929B8059}">
  <dimension ref="A1:C10"/>
  <sheetViews>
    <sheetView workbookViewId="0">
      <selection activeCell="A2" sqref="A2:A7"/>
    </sheetView>
  </sheetViews>
  <sheetFormatPr baseColWidth="10" defaultRowHeight="15" x14ac:dyDescent="0.25"/>
  <sheetData>
    <row r="1" spans="1:3" x14ac:dyDescent="0.25">
      <c r="A1" s="1" t="s">
        <v>27</v>
      </c>
      <c r="B1" s="1" t="s">
        <v>28</v>
      </c>
      <c r="C1" s="1"/>
    </row>
    <row r="2" spans="1:3" x14ac:dyDescent="0.25">
      <c r="A2" s="1" t="s">
        <v>29</v>
      </c>
      <c r="B2" s="1" t="s">
        <v>130</v>
      </c>
      <c r="C2" s="1"/>
    </row>
    <row r="3" spans="1:3" x14ac:dyDescent="0.25">
      <c r="A3" s="1" t="s">
        <v>30</v>
      </c>
      <c r="B3" s="1" t="s">
        <v>131</v>
      </c>
      <c r="C3" s="1"/>
    </row>
    <row r="4" spans="1:3" x14ac:dyDescent="0.25">
      <c r="A4" s="1" t="s">
        <v>31</v>
      </c>
      <c r="B4" s="1" t="s">
        <v>132</v>
      </c>
      <c r="C4" s="1" t="s">
        <v>32</v>
      </c>
    </row>
    <row r="5" spans="1:3" x14ac:dyDescent="0.25">
      <c r="A5" s="1" t="s">
        <v>33</v>
      </c>
      <c r="B5" s="1" t="s">
        <v>133</v>
      </c>
      <c r="C5" s="1" t="s">
        <v>32</v>
      </c>
    </row>
    <row r="6" spans="1:3" x14ac:dyDescent="0.25">
      <c r="A6" s="1" t="s">
        <v>34</v>
      </c>
      <c r="B6" s="1" t="s">
        <v>134</v>
      </c>
      <c r="C6" s="1"/>
    </row>
    <row r="7" spans="1:3" x14ac:dyDescent="0.25">
      <c r="A7" s="1" t="s">
        <v>35</v>
      </c>
      <c r="B7" s="1" t="s">
        <v>135</v>
      </c>
      <c r="C7" s="1"/>
    </row>
    <row r="8" spans="1:3" x14ac:dyDescent="0.25">
      <c r="A8" s="1"/>
      <c r="B8" s="1"/>
      <c r="C8" s="1"/>
    </row>
    <row r="9" spans="1:3" x14ac:dyDescent="0.25">
      <c r="A9" s="1"/>
      <c r="B9" s="1"/>
      <c r="C9" s="1"/>
    </row>
    <row r="10" spans="1:3" x14ac:dyDescent="0.25">
      <c r="A10" s="1"/>
      <c r="B10" s="1"/>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83BD4-F270-48B9-8587-6215922F7214}">
  <dimension ref="A1:C17"/>
  <sheetViews>
    <sheetView workbookViewId="0">
      <selection activeCell="B8" sqref="B8"/>
    </sheetView>
  </sheetViews>
  <sheetFormatPr baseColWidth="10" defaultRowHeight="15" x14ac:dyDescent="0.25"/>
  <cols>
    <col min="2" max="2" width="19.5703125" customWidth="1"/>
    <col min="3" max="3" width="23.7109375" customWidth="1"/>
  </cols>
  <sheetData>
    <row r="1" spans="1:3" x14ac:dyDescent="0.25">
      <c r="A1" s="1" t="s">
        <v>36</v>
      </c>
      <c r="B1" s="1" t="s">
        <v>37</v>
      </c>
      <c r="C1" s="1" t="s">
        <v>38</v>
      </c>
    </row>
    <row r="2" spans="1:3" x14ac:dyDescent="0.25">
      <c r="A2">
        <v>15</v>
      </c>
      <c r="B2" s="1" t="s">
        <v>29</v>
      </c>
      <c r="C2" t="s">
        <v>39</v>
      </c>
    </row>
    <row r="3" spans="1:3" x14ac:dyDescent="0.25">
      <c r="A3">
        <v>16</v>
      </c>
      <c r="B3" s="1" t="s">
        <v>29</v>
      </c>
      <c r="C3" t="s">
        <v>40</v>
      </c>
    </row>
    <row r="4" spans="1:3" x14ac:dyDescent="0.25">
      <c r="A4">
        <v>17</v>
      </c>
      <c r="B4" s="1" t="s">
        <v>29</v>
      </c>
      <c r="C4" t="s">
        <v>41</v>
      </c>
    </row>
    <row r="5" spans="1:3" x14ac:dyDescent="0.25">
      <c r="A5">
        <v>18</v>
      </c>
      <c r="B5" s="1" t="s">
        <v>30</v>
      </c>
      <c r="C5" t="s">
        <v>42</v>
      </c>
    </row>
    <row r="6" spans="1:3" x14ac:dyDescent="0.25">
      <c r="A6">
        <v>19</v>
      </c>
      <c r="B6" s="1" t="s">
        <v>33</v>
      </c>
      <c r="C6" t="s">
        <v>43</v>
      </c>
    </row>
    <row r="7" spans="1:3" x14ac:dyDescent="0.25">
      <c r="A7">
        <v>20</v>
      </c>
      <c r="B7" s="1" t="s">
        <v>33</v>
      </c>
      <c r="C7" t="s">
        <v>44</v>
      </c>
    </row>
    <row r="8" spans="1:3" x14ac:dyDescent="0.25">
      <c r="A8">
        <v>21</v>
      </c>
      <c r="B8" s="1" t="s">
        <v>31</v>
      </c>
      <c r="C8" t="s">
        <v>45</v>
      </c>
    </row>
    <row r="9" spans="1:3" x14ac:dyDescent="0.25">
      <c r="A9">
        <v>22</v>
      </c>
      <c r="B9" s="1" t="s">
        <v>34</v>
      </c>
      <c r="C9" t="s">
        <v>46</v>
      </c>
    </row>
    <row r="10" spans="1:3" x14ac:dyDescent="0.25">
      <c r="A10">
        <v>23</v>
      </c>
      <c r="B10" s="1" t="s">
        <v>34</v>
      </c>
      <c r="C10" t="s">
        <v>47</v>
      </c>
    </row>
    <row r="11" spans="1:3" x14ac:dyDescent="0.25">
      <c r="A11">
        <v>24</v>
      </c>
      <c r="B11" s="1" t="s">
        <v>31</v>
      </c>
      <c r="C11" t="s">
        <v>48</v>
      </c>
    </row>
    <row r="12" spans="1:3" x14ac:dyDescent="0.25">
      <c r="A12">
        <v>25</v>
      </c>
      <c r="B12" s="1" t="s">
        <v>31</v>
      </c>
      <c r="C12" t="s">
        <v>49</v>
      </c>
    </row>
    <row r="13" spans="1:3" x14ac:dyDescent="0.25">
      <c r="A13">
        <v>26</v>
      </c>
      <c r="B13" s="1" t="s">
        <v>35</v>
      </c>
      <c r="C13" t="s">
        <v>50</v>
      </c>
    </row>
    <row r="14" spans="1:3" x14ac:dyDescent="0.25">
      <c r="A14">
        <v>27</v>
      </c>
      <c r="B14" s="1" t="s">
        <v>35</v>
      </c>
      <c r="C14" t="s">
        <v>51</v>
      </c>
    </row>
    <row r="15" spans="1:3" x14ac:dyDescent="0.25">
      <c r="A15">
        <v>28</v>
      </c>
      <c r="B15" s="1" t="s">
        <v>35</v>
      </c>
      <c r="C15" t="s">
        <v>52</v>
      </c>
    </row>
    <row r="16" spans="1:3" x14ac:dyDescent="0.25">
      <c r="A16">
        <v>29</v>
      </c>
      <c r="B16" s="1" t="s">
        <v>35</v>
      </c>
      <c r="C16" t="s">
        <v>53</v>
      </c>
    </row>
    <row r="17" spans="1:3" x14ac:dyDescent="0.25">
      <c r="A17">
        <v>30</v>
      </c>
      <c r="B17" s="1" t="s">
        <v>35</v>
      </c>
      <c r="C17"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09F7C-6D8F-41C1-AF4A-9809956BDD62}">
  <dimension ref="A1:G5"/>
  <sheetViews>
    <sheetView workbookViewId="0">
      <selection activeCell="F4" sqref="F4"/>
    </sheetView>
  </sheetViews>
  <sheetFormatPr baseColWidth="10" defaultRowHeight="15" x14ac:dyDescent="0.25"/>
  <cols>
    <col min="1" max="1" width="36.5703125" customWidth="1"/>
    <col min="5" max="5" width="34.140625" customWidth="1"/>
    <col min="6" max="6" width="24.5703125" customWidth="1"/>
  </cols>
  <sheetData>
    <row r="1" spans="1:7" x14ac:dyDescent="0.25">
      <c r="A1" s="1" t="s">
        <v>55</v>
      </c>
      <c r="B1" s="1" t="s">
        <v>56</v>
      </c>
      <c r="C1" s="1" t="s">
        <v>57</v>
      </c>
      <c r="D1" s="1" t="s">
        <v>58</v>
      </c>
      <c r="E1" s="1" t="s">
        <v>59</v>
      </c>
      <c r="F1" s="1" t="s">
        <v>60</v>
      </c>
      <c r="G1" s="1" t="s">
        <v>61</v>
      </c>
    </row>
    <row r="2" spans="1:7" x14ac:dyDescent="0.25">
      <c r="A2" t="s">
        <v>164</v>
      </c>
      <c r="B2" t="s">
        <v>136</v>
      </c>
      <c r="C2" t="s">
        <v>137</v>
      </c>
      <c r="D2">
        <v>450000</v>
      </c>
      <c r="E2" t="s">
        <v>140</v>
      </c>
      <c r="F2">
        <v>875000</v>
      </c>
      <c r="G2" t="s">
        <v>129</v>
      </c>
    </row>
    <row r="3" spans="1:7" x14ac:dyDescent="0.25">
      <c r="A3" t="s">
        <v>165</v>
      </c>
      <c r="B3" t="s">
        <v>136</v>
      </c>
      <c r="C3" t="s">
        <v>137</v>
      </c>
      <c r="D3">
        <v>450000</v>
      </c>
      <c r="E3" t="s">
        <v>140</v>
      </c>
      <c r="F3">
        <v>558000</v>
      </c>
      <c r="G3" t="s">
        <v>129</v>
      </c>
    </row>
    <row r="4" spans="1:7" x14ac:dyDescent="0.25">
      <c r="A4" t="s">
        <v>138</v>
      </c>
      <c r="B4" t="s">
        <v>136</v>
      </c>
      <c r="C4" t="s">
        <v>137</v>
      </c>
      <c r="D4">
        <v>450000</v>
      </c>
      <c r="E4" t="s">
        <v>75</v>
      </c>
      <c r="F4">
        <v>870000</v>
      </c>
      <c r="G4" t="s">
        <v>129</v>
      </c>
    </row>
    <row r="5" spans="1:7" x14ac:dyDescent="0.25">
      <c r="A5" t="s">
        <v>139</v>
      </c>
      <c r="B5" t="s">
        <v>136</v>
      </c>
      <c r="C5" t="s">
        <v>137</v>
      </c>
      <c r="D5">
        <v>450000</v>
      </c>
      <c r="E5" t="s">
        <v>136</v>
      </c>
      <c r="F5">
        <f>750000*0.98*0.94</f>
        <v>690900</v>
      </c>
      <c r="G5" t="s">
        <v>129</v>
      </c>
    </row>
  </sheetData>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9CF88-6A3B-49DB-834E-BE589C465FA5}">
  <dimension ref="A1:L24"/>
  <sheetViews>
    <sheetView workbookViewId="0"/>
  </sheetViews>
  <sheetFormatPr baseColWidth="10" defaultRowHeight="15" x14ac:dyDescent="0.25"/>
  <sheetData>
    <row r="1" spans="1:12" x14ac:dyDescent="0.25">
      <c r="A1" s="1" t="s">
        <v>62</v>
      </c>
      <c r="B1" s="1" t="s">
        <v>63</v>
      </c>
      <c r="C1" s="1" t="s">
        <v>64</v>
      </c>
      <c r="D1" s="1" t="s">
        <v>65</v>
      </c>
      <c r="E1" s="1" t="s">
        <v>66</v>
      </c>
      <c r="F1" s="1" t="s">
        <v>67</v>
      </c>
      <c r="G1" s="1" t="s">
        <v>68</v>
      </c>
      <c r="H1" s="1" t="s">
        <v>69</v>
      </c>
      <c r="I1" s="1" t="s">
        <v>70</v>
      </c>
      <c r="J1" s="1" t="s">
        <v>71</v>
      </c>
      <c r="K1" s="1"/>
      <c r="L1" s="1"/>
    </row>
    <row r="2" spans="1:12" x14ac:dyDescent="0.25">
      <c r="A2">
        <v>15</v>
      </c>
      <c r="B2" t="s">
        <v>39</v>
      </c>
      <c r="C2">
        <v>18</v>
      </c>
      <c r="D2" t="s">
        <v>42</v>
      </c>
      <c r="E2" t="s">
        <v>72</v>
      </c>
      <c r="F2">
        <v>87549.28</v>
      </c>
      <c r="G2">
        <v>39397176000</v>
      </c>
      <c r="H2">
        <v>450000</v>
      </c>
      <c r="I2" t="s">
        <v>13</v>
      </c>
    </row>
    <row r="3" spans="1:12" x14ac:dyDescent="0.25">
      <c r="A3">
        <v>15</v>
      </c>
      <c r="B3" t="s">
        <v>39</v>
      </c>
      <c r="C3">
        <v>25</v>
      </c>
      <c r="D3" t="s">
        <v>49</v>
      </c>
      <c r="E3" t="s">
        <v>72</v>
      </c>
      <c r="F3">
        <v>2886.24</v>
      </c>
      <c r="G3">
        <v>1298808000</v>
      </c>
      <c r="H3">
        <v>450000</v>
      </c>
      <c r="I3" t="s">
        <v>13</v>
      </c>
    </row>
    <row r="4" spans="1:12" x14ac:dyDescent="0.25">
      <c r="A4">
        <v>15</v>
      </c>
      <c r="B4" t="s">
        <v>39</v>
      </c>
      <c r="C4">
        <v>26</v>
      </c>
      <c r="D4" t="s">
        <v>50</v>
      </c>
      <c r="E4" t="s">
        <v>72</v>
      </c>
      <c r="F4">
        <v>5772.48</v>
      </c>
      <c r="G4">
        <v>2597616000</v>
      </c>
      <c r="H4">
        <v>450000</v>
      </c>
      <c r="I4" t="s">
        <v>13</v>
      </c>
    </row>
    <row r="5" spans="1:12" x14ac:dyDescent="0.25">
      <c r="A5">
        <v>16</v>
      </c>
      <c r="B5" t="s">
        <v>40</v>
      </c>
      <c r="C5">
        <v>18</v>
      </c>
      <c r="D5" t="s">
        <v>42</v>
      </c>
      <c r="E5" t="s">
        <v>72</v>
      </c>
      <c r="F5">
        <v>63993.32</v>
      </c>
      <c r="G5">
        <v>28796994000</v>
      </c>
      <c r="H5">
        <v>450000</v>
      </c>
      <c r="I5" t="s">
        <v>13</v>
      </c>
    </row>
    <row r="6" spans="1:12" x14ac:dyDescent="0.25">
      <c r="A6">
        <v>16</v>
      </c>
      <c r="B6" t="s">
        <v>40</v>
      </c>
      <c r="C6">
        <v>25</v>
      </c>
      <c r="D6" t="s">
        <v>49</v>
      </c>
      <c r="E6" t="s">
        <v>72</v>
      </c>
      <c r="F6">
        <v>1361.56</v>
      </c>
      <c r="G6">
        <v>612702000</v>
      </c>
      <c r="H6">
        <v>450000</v>
      </c>
      <c r="I6" t="s">
        <v>13</v>
      </c>
    </row>
    <row r="7" spans="1:12" x14ac:dyDescent="0.25">
      <c r="A7">
        <v>16</v>
      </c>
      <c r="B7" t="s">
        <v>40</v>
      </c>
      <c r="C7">
        <v>26</v>
      </c>
      <c r="D7" t="s">
        <v>50</v>
      </c>
      <c r="E7" t="s">
        <v>72</v>
      </c>
      <c r="F7">
        <v>2723.12</v>
      </c>
      <c r="G7">
        <v>1225404000</v>
      </c>
      <c r="H7">
        <v>450000</v>
      </c>
      <c r="I7" t="s">
        <v>13</v>
      </c>
    </row>
    <row r="8" spans="1:12" x14ac:dyDescent="0.25">
      <c r="A8">
        <v>17</v>
      </c>
      <c r="B8" t="s">
        <v>41</v>
      </c>
      <c r="C8">
        <v>18</v>
      </c>
      <c r="D8" t="s">
        <v>42</v>
      </c>
      <c r="E8" t="s">
        <v>72</v>
      </c>
      <c r="F8">
        <v>4500</v>
      </c>
      <c r="G8">
        <v>2025000000</v>
      </c>
      <c r="H8">
        <v>450000</v>
      </c>
      <c r="I8" t="s">
        <v>13</v>
      </c>
    </row>
    <row r="9" spans="1:12" x14ac:dyDescent="0.25">
      <c r="A9">
        <v>18</v>
      </c>
      <c r="B9" t="s">
        <v>42</v>
      </c>
      <c r="C9">
        <v>19</v>
      </c>
      <c r="D9" t="s">
        <v>43</v>
      </c>
      <c r="E9" t="s">
        <v>72</v>
      </c>
      <c r="F9">
        <v>133041.91529806799</v>
      </c>
      <c r="G9">
        <v>69847005531.485703</v>
      </c>
      <c r="H9">
        <v>525000</v>
      </c>
      <c r="I9" t="s">
        <v>13</v>
      </c>
    </row>
    <row r="10" spans="1:12" x14ac:dyDescent="0.25">
      <c r="A10">
        <v>18</v>
      </c>
      <c r="B10" t="s">
        <v>42</v>
      </c>
      <c r="C10">
        <v>24</v>
      </c>
      <c r="D10" t="s">
        <v>48</v>
      </c>
      <c r="E10" t="s">
        <v>72</v>
      </c>
      <c r="F10">
        <v>1529.2174172191701</v>
      </c>
      <c r="G10">
        <v>802839144.04006433</v>
      </c>
      <c r="H10">
        <v>525000</v>
      </c>
      <c r="I10" t="s">
        <v>13</v>
      </c>
    </row>
    <row r="11" spans="1:12" x14ac:dyDescent="0.25">
      <c r="A11">
        <v>18</v>
      </c>
      <c r="B11" t="s">
        <v>42</v>
      </c>
      <c r="C11">
        <v>27</v>
      </c>
      <c r="D11" t="s">
        <v>51</v>
      </c>
      <c r="E11" t="s">
        <v>72</v>
      </c>
      <c r="F11">
        <v>1529.2174172191701</v>
      </c>
      <c r="G11">
        <v>802839144.04006433</v>
      </c>
      <c r="H11">
        <v>525000</v>
      </c>
      <c r="I11" t="s">
        <v>13</v>
      </c>
    </row>
    <row r="12" spans="1:12" x14ac:dyDescent="0.25">
      <c r="A12">
        <v>18</v>
      </c>
      <c r="B12" t="s">
        <v>42</v>
      </c>
      <c r="C12">
        <v>29</v>
      </c>
      <c r="D12" t="s">
        <v>53</v>
      </c>
      <c r="E12" t="s">
        <v>72</v>
      </c>
      <c r="F12">
        <v>16821.391589410901</v>
      </c>
      <c r="G12">
        <v>8831230584.4407234</v>
      </c>
      <c r="H12">
        <v>525000</v>
      </c>
      <c r="I12" t="s">
        <v>13</v>
      </c>
    </row>
    <row r="13" spans="1:12" x14ac:dyDescent="0.25">
      <c r="A13">
        <v>19</v>
      </c>
      <c r="B13" t="s">
        <v>43</v>
      </c>
      <c r="C13">
        <v>20</v>
      </c>
      <c r="D13" t="s">
        <v>44</v>
      </c>
      <c r="E13" t="s">
        <v>72</v>
      </c>
      <c r="F13">
        <v>110237.201801328</v>
      </c>
      <c r="G13">
        <v>71654181170.863205</v>
      </c>
      <c r="H13">
        <v>650000</v>
      </c>
      <c r="I13" t="s">
        <v>13</v>
      </c>
    </row>
    <row r="14" spans="1:12" x14ac:dyDescent="0.25">
      <c r="A14">
        <v>19</v>
      </c>
      <c r="B14" t="s">
        <v>43</v>
      </c>
      <c r="C14">
        <v>21</v>
      </c>
      <c r="D14" t="s">
        <v>45</v>
      </c>
      <c r="E14" t="s">
        <v>72</v>
      </c>
      <c r="F14">
        <v>2477.2404899174699</v>
      </c>
      <c r="G14">
        <v>1610206318.4463553</v>
      </c>
      <c r="H14">
        <v>650000</v>
      </c>
      <c r="I14" t="s">
        <v>13</v>
      </c>
    </row>
    <row r="15" spans="1:12" x14ac:dyDescent="0.25">
      <c r="A15">
        <v>19</v>
      </c>
      <c r="B15" t="s">
        <v>43</v>
      </c>
      <c r="C15">
        <v>22</v>
      </c>
      <c r="D15" t="s">
        <v>46</v>
      </c>
      <c r="E15" t="s">
        <v>73</v>
      </c>
      <c r="F15">
        <v>2527.79644705381</v>
      </c>
      <c r="G15">
        <v>1516677868.232286</v>
      </c>
      <c r="H15">
        <v>600000</v>
      </c>
      <c r="I15" t="s">
        <v>13</v>
      </c>
    </row>
    <row r="16" spans="1:12" x14ac:dyDescent="0.25">
      <c r="A16">
        <v>19</v>
      </c>
      <c r="B16" t="s">
        <v>43</v>
      </c>
      <c r="C16">
        <v>29</v>
      </c>
      <c r="D16" t="s">
        <v>53</v>
      </c>
      <c r="E16" t="s">
        <v>72</v>
      </c>
      <c r="F16">
        <v>11147.582204628599</v>
      </c>
      <c r="G16">
        <v>7245928433.0085897</v>
      </c>
      <c r="H16">
        <v>650000</v>
      </c>
      <c r="I16" t="s">
        <v>13</v>
      </c>
    </row>
    <row r="17" spans="1:9" x14ac:dyDescent="0.25">
      <c r="A17">
        <v>20</v>
      </c>
      <c r="B17" t="s">
        <v>44</v>
      </c>
      <c r="C17">
        <v>30</v>
      </c>
      <c r="D17" t="s">
        <v>54</v>
      </c>
      <c r="E17" t="s">
        <v>72</v>
      </c>
      <c r="F17">
        <v>103622.969693248</v>
      </c>
      <c r="G17">
        <v>98441821208.585602</v>
      </c>
      <c r="H17">
        <v>950000</v>
      </c>
      <c r="I17" t="s">
        <v>13</v>
      </c>
    </row>
    <row r="18" spans="1:9" x14ac:dyDescent="0.25">
      <c r="A18">
        <v>21</v>
      </c>
      <c r="B18" t="s">
        <v>45</v>
      </c>
      <c r="C18">
        <v>28</v>
      </c>
      <c r="D18" t="s">
        <v>52</v>
      </c>
      <c r="E18" t="s">
        <v>74</v>
      </c>
      <c r="F18">
        <v>1568.91897694773</v>
      </c>
      <c r="G18">
        <v>3922297442.3693252</v>
      </c>
      <c r="H18">
        <v>2500000</v>
      </c>
      <c r="I18" t="s">
        <v>13</v>
      </c>
    </row>
    <row r="19" spans="1:9" x14ac:dyDescent="0.25">
      <c r="A19">
        <v>21</v>
      </c>
      <c r="B19" t="s">
        <v>45</v>
      </c>
      <c r="C19">
        <v>28</v>
      </c>
      <c r="D19" t="s">
        <v>52</v>
      </c>
      <c r="E19" t="s">
        <v>75</v>
      </c>
      <c r="F19">
        <v>1568.91897694773</v>
      </c>
      <c r="G19">
        <v>2353378465.4215951</v>
      </c>
      <c r="H19">
        <v>1500000</v>
      </c>
      <c r="I19" t="s">
        <v>13</v>
      </c>
    </row>
    <row r="20" spans="1:9" x14ac:dyDescent="0.25">
      <c r="A20">
        <v>22</v>
      </c>
      <c r="B20" t="s">
        <v>46</v>
      </c>
      <c r="C20">
        <v>23</v>
      </c>
      <c r="D20" t="s">
        <v>47</v>
      </c>
      <c r="E20" t="s">
        <v>73</v>
      </c>
      <c r="F20">
        <v>2527.79644705381</v>
      </c>
      <c r="G20">
        <v>1643067690.5849764</v>
      </c>
      <c r="H20">
        <v>650000</v>
      </c>
      <c r="I20" t="s">
        <v>13</v>
      </c>
    </row>
    <row r="21" spans="1:9" x14ac:dyDescent="0.25">
      <c r="A21">
        <v>23</v>
      </c>
      <c r="B21" t="s">
        <v>47</v>
      </c>
      <c r="C21">
        <v>28</v>
      </c>
      <c r="D21" t="s">
        <v>52</v>
      </c>
      <c r="E21" t="s">
        <v>73</v>
      </c>
      <c r="F21">
        <v>2527.79644705381</v>
      </c>
      <c r="G21">
        <v>1895847335.2903576</v>
      </c>
      <c r="H21">
        <v>750000</v>
      </c>
      <c r="I21" t="s">
        <v>13</v>
      </c>
    </row>
    <row r="22" spans="1:9" x14ac:dyDescent="0.25">
      <c r="A22">
        <v>24</v>
      </c>
      <c r="B22" t="s">
        <v>48</v>
      </c>
      <c r="C22">
        <v>27</v>
      </c>
      <c r="D22" t="s">
        <v>51</v>
      </c>
      <c r="E22" t="s">
        <v>76</v>
      </c>
      <c r="F22">
        <v>1682.13919540047</v>
      </c>
      <c r="G22">
        <v>2523208793.1007051</v>
      </c>
      <c r="H22">
        <v>1500000</v>
      </c>
      <c r="I22" t="s">
        <v>13</v>
      </c>
    </row>
    <row r="23" spans="1:9" x14ac:dyDescent="0.25">
      <c r="A23">
        <v>25</v>
      </c>
      <c r="B23" t="s">
        <v>49</v>
      </c>
      <c r="C23">
        <v>26</v>
      </c>
      <c r="D23" t="s">
        <v>50</v>
      </c>
      <c r="E23" t="s">
        <v>77</v>
      </c>
      <c r="F23">
        <v>1946.90830586061</v>
      </c>
      <c r="G23">
        <v>1946908305.86061</v>
      </c>
      <c r="H23">
        <v>1000000</v>
      </c>
      <c r="I23" t="s">
        <v>13</v>
      </c>
    </row>
    <row r="24" spans="1:9" x14ac:dyDescent="0.25">
      <c r="A24">
        <v>25</v>
      </c>
      <c r="B24" t="s">
        <v>49</v>
      </c>
      <c r="C24">
        <v>26</v>
      </c>
      <c r="D24" t="s">
        <v>50</v>
      </c>
      <c r="E24" t="s">
        <v>78</v>
      </c>
      <c r="F24">
        <v>2123.9</v>
      </c>
      <c r="G24">
        <v>424780000</v>
      </c>
      <c r="H24">
        <v>200000</v>
      </c>
      <c r="I24"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F523-8A70-499C-9EAC-9710216D31CE}">
  <dimension ref="A1:B25"/>
  <sheetViews>
    <sheetView workbookViewId="0">
      <selection activeCell="B26" sqref="B26"/>
    </sheetView>
  </sheetViews>
  <sheetFormatPr baseColWidth="10" defaultRowHeight="15" x14ac:dyDescent="0.25"/>
  <cols>
    <col min="1" max="1" width="25.85546875" customWidth="1"/>
  </cols>
  <sheetData>
    <row r="1" spans="1:2" x14ac:dyDescent="0.25">
      <c r="A1" s="1" t="s">
        <v>79</v>
      </c>
      <c r="B1" s="1" t="s">
        <v>80</v>
      </c>
    </row>
    <row r="2" spans="1:2" x14ac:dyDescent="0.25">
      <c r="A2" t="s">
        <v>12</v>
      </c>
      <c r="B2" t="s">
        <v>72</v>
      </c>
    </row>
    <row r="3" spans="1:2" x14ac:dyDescent="0.25">
      <c r="A3" t="s">
        <v>81</v>
      </c>
      <c r="B3" t="s">
        <v>141</v>
      </c>
    </row>
    <row r="4" spans="1:2" x14ac:dyDescent="0.25">
      <c r="A4" t="s">
        <v>82</v>
      </c>
      <c r="B4" t="s">
        <v>142</v>
      </c>
    </row>
    <row r="5" spans="1:2" x14ac:dyDescent="0.25">
      <c r="A5" t="s">
        <v>83</v>
      </c>
      <c r="B5" t="s">
        <v>143</v>
      </c>
    </row>
    <row r="6" spans="1:2" x14ac:dyDescent="0.25">
      <c r="A6" t="s">
        <v>84</v>
      </c>
      <c r="B6" t="s">
        <v>75</v>
      </c>
    </row>
    <row r="7" spans="1:2" x14ac:dyDescent="0.25">
      <c r="A7" t="s">
        <v>85</v>
      </c>
      <c r="B7" t="s">
        <v>144</v>
      </c>
    </row>
    <row r="8" spans="1:2" x14ac:dyDescent="0.25">
      <c r="A8" t="s">
        <v>86</v>
      </c>
      <c r="B8" t="s">
        <v>72</v>
      </c>
    </row>
    <row r="9" spans="1:2" x14ac:dyDescent="0.25">
      <c r="A9" s="1"/>
      <c r="B9" s="1"/>
    </row>
    <row r="10" spans="1:2" x14ac:dyDescent="0.25">
      <c r="A10" t="s">
        <v>39</v>
      </c>
      <c r="B10" t="s">
        <v>145</v>
      </c>
    </row>
    <row r="11" spans="1:2" x14ac:dyDescent="0.25">
      <c r="A11" t="s">
        <v>40</v>
      </c>
      <c r="B11" t="s">
        <v>146</v>
      </c>
    </row>
    <row r="12" spans="1:2" x14ac:dyDescent="0.25">
      <c r="A12" t="s">
        <v>41</v>
      </c>
      <c r="B12" t="s">
        <v>147</v>
      </c>
    </row>
    <row r="13" spans="1:2" x14ac:dyDescent="0.25">
      <c r="A13" t="s">
        <v>42</v>
      </c>
      <c r="B13" t="s">
        <v>148</v>
      </c>
    </row>
    <row r="14" spans="1:2" x14ac:dyDescent="0.25">
      <c r="A14" t="s">
        <v>43</v>
      </c>
      <c r="B14" t="s">
        <v>149</v>
      </c>
    </row>
    <row r="15" spans="1:2" x14ac:dyDescent="0.25">
      <c r="A15" t="s">
        <v>44</v>
      </c>
      <c r="B15" t="s">
        <v>150</v>
      </c>
    </row>
    <row r="16" spans="1:2" x14ac:dyDescent="0.25">
      <c r="A16" t="s">
        <v>45</v>
      </c>
      <c r="B16" t="s">
        <v>151</v>
      </c>
    </row>
    <row r="17" spans="1:2" x14ac:dyDescent="0.25">
      <c r="A17" t="s">
        <v>46</v>
      </c>
      <c r="B17" t="s">
        <v>152</v>
      </c>
    </row>
    <row r="18" spans="1:2" x14ac:dyDescent="0.25">
      <c r="A18" t="s">
        <v>47</v>
      </c>
      <c r="B18" t="s">
        <v>153</v>
      </c>
    </row>
    <row r="19" spans="1:2" x14ac:dyDescent="0.25">
      <c r="A19" t="s">
        <v>48</v>
      </c>
      <c r="B19" t="s">
        <v>154</v>
      </c>
    </row>
    <row r="20" spans="1:2" x14ac:dyDescent="0.25">
      <c r="A20" t="s">
        <v>49</v>
      </c>
      <c r="B20" t="s">
        <v>155</v>
      </c>
    </row>
    <row r="21" spans="1:2" x14ac:dyDescent="0.25">
      <c r="A21" t="s">
        <v>50</v>
      </c>
      <c r="B21" t="s">
        <v>156</v>
      </c>
    </row>
    <row r="22" spans="1:2" x14ac:dyDescent="0.25">
      <c r="A22" t="s">
        <v>51</v>
      </c>
      <c r="B22" t="s">
        <v>157</v>
      </c>
    </row>
    <row r="23" spans="1:2" x14ac:dyDescent="0.25">
      <c r="A23" t="s">
        <v>52</v>
      </c>
      <c r="B23" t="s">
        <v>158</v>
      </c>
    </row>
    <row r="24" spans="1:2" x14ac:dyDescent="0.25">
      <c r="A24" t="s">
        <v>53</v>
      </c>
      <c r="B24" t="s">
        <v>159</v>
      </c>
    </row>
    <row r="25" spans="1:2" x14ac:dyDescent="0.25">
      <c r="A25" t="s">
        <v>54</v>
      </c>
      <c r="B25" t="s">
        <v>160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37157-34D8-4C37-A3BA-95F073884686}">
  <dimension ref="A1:G13"/>
  <sheetViews>
    <sheetView workbookViewId="0">
      <selection activeCell="D13" sqref="D13"/>
    </sheetView>
  </sheetViews>
  <sheetFormatPr baseColWidth="10" defaultRowHeight="15" x14ac:dyDescent="0.25"/>
  <cols>
    <col min="4" max="4" width="16.28515625" customWidth="1"/>
  </cols>
  <sheetData>
    <row r="1" spans="1:7" x14ac:dyDescent="0.25">
      <c r="A1" s="1" t="s">
        <v>36</v>
      </c>
      <c r="B1" s="1" t="s">
        <v>87</v>
      </c>
      <c r="C1" s="1" t="s">
        <v>88</v>
      </c>
      <c r="D1" s="1" t="s">
        <v>89</v>
      </c>
      <c r="E1" s="1" t="s">
        <v>90</v>
      </c>
      <c r="F1" s="1" t="s">
        <v>91</v>
      </c>
      <c r="G1" s="1" t="s">
        <v>92</v>
      </c>
    </row>
    <row r="2" spans="1:7" x14ac:dyDescent="0.25">
      <c r="A2">
        <v>15</v>
      </c>
      <c r="B2" t="s">
        <v>39</v>
      </c>
      <c r="C2">
        <v>183253.34165542881</v>
      </c>
      <c r="D2">
        <v>36737</v>
      </c>
      <c r="E2">
        <v>0</v>
      </c>
      <c r="F2">
        <v>34401.229177936861</v>
      </c>
      <c r="G2">
        <v>8892.367763693137</v>
      </c>
    </row>
    <row r="3" spans="1:7" x14ac:dyDescent="0.25">
      <c r="A3">
        <v>16</v>
      </c>
      <c r="B3" t="s">
        <v>40</v>
      </c>
      <c r="C3">
        <v>34039</v>
      </c>
      <c r="D3">
        <v>23359</v>
      </c>
      <c r="E3">
        <v>0</v>
      </c>
      <c r="F3">
        <v>13836.171884052228</v>
      </c>
      <c r="G3">
        <v>16798.927304394772</v>
      </c>
    </row>
    <row r="4" spans="1:7" x14ac:dyDescent="0.25">
      <c r="A4">
        <v>17</v>
      </c>
      <c r="B4" t="s">
        <v>41</v>
      </c>
      <c r="C4">
        <v>102.27272727272727</v>
      </c>
      <c r="D4">
        <v>977</v>
      </c>
      <c r="E4">
        <v>0</v>
      </c>
      <c r="F4">
        <v>424.87499490380247</v>
      </c>
      <c r="G4">
        <v>1600.1250050961976</v>
      </c>
    </row>
    <row r="5" spans="1:7" x14ac:dyDescent="0.25">
      <c r="A5">
        <v>18</v>
      </c>
      <c r="B5" t="s">
        <v>42</v>
      </c>
      <c r="C5">
        <v>5201.3999999999996</v>
      </c>
      <c r="D5">
        <v>7100</v>
      </c>
      <c r="E5">
        <v>234.06387880094201</v>
      </c>
      <c r="F5">
        <v>6085.6629151784273</v>
      </c>
      <c r="G5">
        <v>74198.250261114066</v>
      </c>
    </row>
    <row r="6" spans="1:7" x14ac:dyDescent="0.25">
      <c r="A6">
        <v>19</v>
      </c>
      <c r="B6" t="s">
        <v>43</v>
      </c>
      <c r="C6">
        <v>29.564888888888888</v>
      </c>
      <c r="D6">
        <v>11189</v>
      </c>
      <c r="E6">
        <v>2420.0028822802401</v>
      </c>
      <c r="F6">
        <v>5486.2316592777834</v>
      </c>
      <c r="G6">
        <v>76540.763591441719</v>
      </c>
    </row>
    <row r="7" spans="1:7" x14ac:dyDescent="0.25">
      <c r="A7">
        <v>20</v>
      </c>
      <c r="B7" t="s">
        <v>44</v>
      </c>
      <c r="C7">
        <v>22.966041666666666</v>
      </c>
      <c r="D7">
        <v>19391</v>
      </c>
      <c r="E7">
        <v>9575.0555536406391</v>
      </c>
      <c r="F7">
        <v>7783.5795984291344</v>
      </c>
      <c r="G7">
        <v>90658.241610156474</v>
      </c>
    </row>
    <row r="8" spans="1:7" x14ac:dyDescent="0.25">
      <c r="A8">
        <v>21</v>
      </c>
      <c r="B8" t="s">
        <v>45</v>
      </c>
      <c r="C8">
        <v>1.6513333333333333</v>
      </c>
      <c r="D8">
        <v>2331</v>
      </c>
      <c r="E8">
        <v>1024.819335314291</v>
      </c>
      <c r="F8">
        <v>1127.188237560908</v>
      </c>
      <c r="G8">
        <v>5148.4874686316616</v>
      </c>
    </row>
    <row r="9" spans="1:7" x14ac:dyDescent="0.25">
      <c r="A9">
        <v>22</v>
      </c>
      <c r="B9" t="s">
        <v>46</v>
      </c>
      <c r="C9">
        <v>252.8</v>
      </c>
      <c r="D9">
        <v>113</v>
      </c>
      <c r="E9">
        <v>4.5500335265376197</v>
      </c>
      <c r="F9">
        <v>104.80244069946471</v>
      </c>
      <c r="G9">
        <v>1538.2652498855152</v>
      </c>
    </row>
    <row r="10" spans="1:7" x14ac:dyDescent="0.25">
      <c r="A10">
        <v>23</v>
      </c>
      <c r="B10" t="s">
        <v>47</v>
      </c>
      <c r="C10">
        <v>2528</v>
      </c>
      <c r="D10">
        <v>187</v>
      </c>
      <c r="E10">
        <v>5.68754205530914</v>
      </c>
      <c r="F10">
        <v>181.30625932271332</v>
      </c>
      <c r="G10">
        <v>1714.5410759676467</v>
      </c>
    </row>
    <row r="11" spans="1:7" x14ac:dyDescent="0.25">
      <c r="A11">
        <v>24</v>
      </c>
      <c r="B11" t="s">
        <v>48</v>
      </c>
      <c r="C11">
        <v>5096.6664641433372</v>
      </c>
      <c r="D11">
        <v>872</v>
      </c>
      <c r="E11">
        <v>0</v>
      </c>
      <c r="F11">
        <v>833.42348612316539</v>
      </c>
      <c r="G11">
        <v>1689.7852705181549</v>
      </c>
    </row>
    <row r="12" spans="1:7" x14ac:dyDescent="0.25">
      <c r="A12">
        <v>25</v>
      </c>
      <c r="B12" t="s">
        <v>49</v>
      </c>
      <c r="C12">
        <v>4248</v>
      </c>
      <c r="D12">
        <v>35</v>
      </c>
      <c r="E12">
        <v>0</v>
      </c>
      <c r="F12">
        <v>35.398272701540009</v>
      </c>
      <c r="G12">
        <v>2336.28999558238</v>
      </c>
    </row>
    <row r="13" spans="1:7" x14ac:dyDescent="0.25">
      <c r="D13" s="3">
        <f>SUM(D2:D12)</f>
        <v>102291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A0DD7-372D-480D-B102-019DA6FAF1B6}">
  <dimension ref="A1:H12"/>
  <sheetViews>
    <sheetView workbookViewId="0">
      <selection activeCell="D11" sqref="D11:J13"/>
    </sheetView>
  </sheetViews>
  <sheetFormatPr baseColWidth="10" defaultRowHeight="15" x14ac:dyDescent="0.25"/>
  <cols>
    <col min="6" max="6" width="16.5703125" customWidth="1"/>
  </cols>
  <sheetData>
    <row r="1" spans="1:8" x14ac:dyDescent="0.25">
      <c r="A1" s="1" t="s">
        <v>93</v>
      </c>
      <c r="B1" s="1" t="s">
        <v>94</v>
      </c>
      <c r="C1" s="1" t="s">
        <v>95</v>
      </c>
      <c r="D1" s="1"/>
    </row>
    <row r="2" spans="1:8" x14ac:dyDescent="0.25">
      <c r="A2" t="s">
        <v>96</v>
      </c>
      <c r="B2">
        <v>937</v>
      </c>
      <c r="C2" t="s">
        <v>97</v>
      </c>
    </row>
    <row r="3" spans="1:8" x14ac:dyDescent="0.25">
      <c r="A3" t="s">
        <v>98</v>
      </c>
      <c r="B3">
        <v>2517</v>
      </c>
      <c r="C3" t="s">
        <v>97</v>
      </c>
    </row>
    <row r="4" spans="1:8" x14ac:dyDescent="0.25">
      <c r="A4" t="s">
        <v>99</v>
      </c>
      <c r="B4">
        <v>424</v>
      </c>
      <c r="C4" t="s">
        <v>97</v>
      </c>
    </row>
    <row r="5" spans="1:8" x14ac:dyDescent="0.25">
      <c r="A5" t="s">
        <v>100</v>
      </c>
      <c r="B5">
        <v>1384</v>
      </c>
      <c r="C5" t="s">
        <v>97</v>
      </c>
    </row>
    <row r="6" spans="1:8" x14ac:dyDescent="0.25">
      <c r="A6" t="s">
        <v>101</v>
      </c>
      <c r="B6">
        <v>22</v>
      </c>
      <c r="C6" t="s">
        <v>97</v>
      </c>
    </row>
    <row r="7" spans="1:8" x14ac:dyDescent="0.25">
      <c r="A7" t="s">
        <v>102</v>
      </c>
      <c r="B7">
        <v>2072</v>
      </c>
      <c r="C7" t="s">
        <v>97</v>
      </c>
    </row>
    <row r="8" spans="1:8" x14ac:dyDescent="0.25">
      <c r="A8" t="s">
        <v>162</v>
      </c>
      <c r="B8">
        <v>98440</v>
      </c>
      <c r="C8" t="s">
        <v>161</v>
      </c>
    </row>
    <row r="9" spans="1:8" x14ac:dyDescent="0.25">
      <c r="A9" t="s">
        <v>163</v>
      </c>
      <c r="B9">
        <v>15550</v>
      </c>
      <c r="C9" t="s">
        <v>161</v>
      </c>
    </row>
    <row r="12" spans="1:8" x14ac:dyDescent="0.25">
      <c r="H12"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5F2CC-2A0A-437C-8149-8722A7B6782D}">
  <dimension ref="A1:C18"/>
  <sheetViews>
    <sheetView topLeftCell="A2" workbookViewId="0">
      <selection activeCell="E18" sqref="E18"/>
    </sheetView>
  </sheetViews>
  <sheetFormatPr baseColWidth="10" defaultRowHeight="15" x14ac:dyDescent="0.25"/>
  <sheetData>
    <row r="1" spans="1:3" x14ac:dyDescent="0.25">
      <c r="A1" s="1" t="s">
        <v>103</v>
      </c>
      <c r="B1" s="1" t="s">
        <v>104</v>
      </c>
      <c r="C1" s="1" t="s">
        <v>94</v>
      </c>
    </row>
    <row r="2" spans="1:3" x14ac:dyDescent="0.25">
      <c r="A2">
        <v>15</v>
      </c>
      <c r="B2" t="s">
        <v>39</v>
      </c>
      <c r="C2">
        <v>34401</v>
      </c>
    </row>
    <row r="3" spans="1:3" x14ac:dyDescent="0.25">
      <c r="A3">
        <v>16</v>
      </c>
      <c r="B3" t="s">
        <v>40</v>
      </c>
      <c r="C3">
        <v>13836</v>
      </c>
    </row>
    <row r="4" spans="1:3" x14ac:dyDescent="0.25">
      <c r="A4">
        <v>17</v>
      </c>
      <c r="B4" t="s">
        <v>41</v>
      </c>
      <c r="C4">
        <v>425</v>
      </c>
    </row>
    <row r="5" spans="1:3" x14ac:dyDescent="0.25">
      <c r="A5">
        <v>18</v>
      </c>
      <c r="B5" t="s">
        <v>42</v>
      </c>
      <c r="C5">
        <v>6086</v>
      </c>
    </row>
    <row r="6" spans="1:3" x14ac:dyDescent="0.25">
      <c r="A6">
        <v>19</v>
      </c>
      <c r="B6" t="s">
        <v>43</v>
      </c>
      <c r="C6">
        <v>5486</v>
      </c>
    </row>
    <row r="7" spans="1:3" x14ac:dyDescent="0.25">
      <c r="A7">
        <v>20</v>
      </c>
      <c r="B7" t="s">
        <v>44</v>
      </c>
      <c r="C7">
        <v>7784</v>
      </c>
    </row>
    <row r="8" spans="1:3" x14ac:dyDescent="0.25">
      <c r="A8">
        <v>21</v>
      </c>
      <c r="B8" t="s">
        <v>45</v>
      </c>
      <c r="C8">
        <v>1127</v>
      </c>
    </row>
    <row r="9" spans="1:3" x14ac:dyDescent="0.25">
      <c r="A9">
        <v>22</v>
      </c>
      <c r="B9" t="s">
        <v>46</v>
      </c>
      <c r="C9">
        <v>105</v>
      </c>
    </row>
    <row r="10" spans="1:3" x14ac:dyDescent="0.25">
      <c r="A10">
        <v>23</v>
      </c>
      <c r="B10" t="s">
        <v>47</v>
      </c>
      <c r="C10">
        <v>181</v>
      </c>
    </row>
    <row r="11" spans="1:3" x14ac:dyDescent="0.25">
      <c r="A11">
        <v>24</v>
      </c>
      <c r="B11" t="s">
        <v>48</v>
      </c>
      <c r="C11">
        <v>833</v>
      </c>
    </row>
    <row r="12" spans="1:3" x14ac:dyDescent="0.25">
      <c r="A12">
        <v>25</v>
      </c>
      <c r="B12" t="s">
        <v>49</v>
      </c>
      <c r="C12">
        <v>35</v>
      </c>
    </row>
    <row r="14" spans="1:3" x14ac:dyDescent="0.25">
      <c r="B14" t="s">
        <v>105</v>
      </c>
      <c r="C14">
        <v>0</v>
      </c>
    </row>
    <row r="15" spans="1:3" x14ac:dyDescent="0.25">
      <c r="B15" t="s">
        <v>106</v>
      </c>
      <c r="C15">
        <v>2139</v>
      </c>
    </row>
    <row r="16" spans="1:3" x14ac:dyDescent="0.25">
      <c r="B16" t="s">
        <v>107</v>
      </c>
      <c r="C16">
        <v>15497</v>
      </c>
    </row>
    <row r="17" spans="2:3" x14ac:dyDescent="0.25">
      <c r="B17" t="s">
        <v>108</v>
      </c>
      <c r="C17">
        <v>1091</v>
      </c>
    </row>
    <row r="18" spans="2:3" x14ac:dyDescent="0.25">
      <c r="B18" t="s">
        <v>109</v>
      </c>
      <c r="C18">
        <v>13264.999999999996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3DCDE-5B09-401D-A55F-76A4484C9DD7}">
  <dimension ref="A1:M12"/>
  <sheetViews>
    <sheetView workbookViewId="0"/>
  </sheetViews>
  <sheetFormatPr baseColWidth="10" defaultRowHeight="15" x14ac:dyDescent="0.25"/>
  <sheetData>
    <row r="1" spans="1:13" x14ac:dyDescent="0.25">
      <c r="A1" s="1" t="s">
        <v>87</v>
      </c>
      <c r="B1" s="1" t="s">
        <v>110</v>
      </c>
      <c r="C1" s="1" t="s">
        <v>2</v>
      </c>
      <c r="D1" s="1" t="s">
        <v>111</v>
      </c>
      <c r="E1" s="1" t="s">
        <v>2</v>
      </c>
      <c r="F1" s="1" t="s">
        <v>112</v>
      </c>
      <c r="G1" s="1" t="s">
        <v>2</v>
      </c>
      <c r="H1" s="1" t="s">
        <v>113</v>
      </c>
      <c r="I1" s="1" t="s">
        <v>2</v>
      </c>
      <c r="J1" s="1" t="s">
        <v>114</v>
      </c>
      <c r="K1" s="1" t="s">
        <v>2</v>
      </c>
      <c r="L1" s="1" t="s">
        <v>115</v>
      </c>
      <c r="M1" s="1" t="s">
        <v>2</v>
      </c>
    </row>
    <row r="2" spans="1:13" x14ac:dyDescent="0.25">
      <c r="A2" t="s">
        <v>42</v>
      </c>
      <c r="B2">
        <v>360098.32432152529</v>
      </c>
      <c r="C2" t="s">
        <v>116</v>
      </c>
      <c r="D2">
        <v>312085.20666126866</v>
      </c>
      <c r="E2" t="s">
        <v>116</v>
      </c>
      <c r="F2">
        <v>0</v>
      </c>
      <c r="G2" t="s">
        <v>116</v>
      </c>
      <c r="H2">
        <v>0</v>
      </c>
      <c r="I2" t="s">
        <v>116</v>
      </c>
      <c r="J2">
        <v>0</v>
      </c>
      <c r="K2" t="s">
        <v>116</v>
      </c>
      <c r="L2">
        <v>0</v>
      </c>
      <c r="M2" t="s">
        <v>116</v>
      </c>
    </row>
    <row r="3" spans="1:13" x14ac:dyDescent="0.25">
      <c r="A3" t="s">
        <v>46</v>
      </c>
      <c r="B3">
        <v>1458.3440714729732</v>
      </c>
      <c r="C3" t="s">
        <v>116</v>
      </c>
      <c r="D3">
        <v>3412.5250368457137</v>
      </c>
      <c r="E3" t="s">
        <v>116</v>
      </c>
      <c r="F3">
        <v>4.3087439117390716</v>
      </c>
      <c r="G3" t="s">
        <v>116</v>
      </c>
      <c r="H3">
        <v>0</v>
      </c>
      <c r="I3" t="s">
        <v>116</v>
      </c>
      <c r="J3">
        <v>0</v>
      </c>
      <c r="K3" t="s">
        <v>116</v>
      </c>
      <c r="L3">
        <v>0</v>
      </c>
      <c r="M3" t="s">
        <v>116</v>
      </c>
    </row>
    <row r="4" spans="1:13" x14ac:dyDescent="0.25">
      <c r="A4" t="s">
        <v>47</v>
      </c>
      <c r="B4">
        <v>0</v>
      </c>
      <c r="C4" t="s">
        <v>116</v>
      </c>
      <c r="D4">
        <v>0</v>
      </c>
      <c r="E4" t="s">
        <v>116</v>
      </c>
      <c r="F4">
        <v>0</v>
      </c>
      <c r="G4" t="s">
        <v>116</v>
      </c>
      <c r="H4">
        <v>0</v>
      </c>
      <c r="I4" t="s">
        <v>116</v>
      </c>
      <c r="J4">
        <v>0</v>
      </c>
      <c r="K4" t="s">
        <v>116</v>
      </c>
      <c r="L4">
        <v>0</v>
      </c>
      <c r="M4" t="s">
        <v>116</v>
      </c>
    </row>
    <row r="5" spans="1:13" x14ac:dyDescent="0.25">
      <c r="A5" t="s">
        <v>44</v>
      </c>
      <c r="B5">
        <v>571079.56973585626</v>
      </c>
      <c r="C5" t="s">
        <v>116</v>
      </c>
      <c r="D5">
        <v>371201.72032830655</v>
      </c>
      <c r="E5" t="s">
        <v>116</v>
      </c>
      <c r="F5">
        <v>4218.2013673671208</v>
      </c>
      <c r="G5" t="s">
        <v>116</v>
      </c>
      <c r="H5">
        <v>0</v>
      </c>
      <c r="I5" t="s">
        <v>116</v>
      </c>
      <c r="J5">
        <v>795.43227760114496</v>
      </c>
      <c r="K5" t="s">
        <v>116</v>
      </c>
      <c r="L5">
        <v>309.33476694025552</v>
      </c>
      <c r="M5" t="s">
        <v>116</v>
      </c>
    </row>
    <row r="6" spans="1:13" x14ac:dyDescent="0.25">
      <c r="A6" t="s">
        <v>41</v>
      </c>
      <c r="B6">
        <v>235384.62583835321</v>
      </c>
      <c r="C6" t="s">
        <v>116</v>
      </c>
      <c r="D6">
        <v>204000.00399351132</v>
      </c>
      <c r="E6" t="s">
        <v>116</v>
      </c>
      <c r="F6">
        <v>0</v>
      </c>
      <c r="G6" t="s">
        <v>116</v>
      </c>
      <c r="H6">
        <v>0</v>
      </c>
      <c r="I6" t="s">
        <v>116</v>
      </c>
      <c r="J6">
        <v>0</v>
      </c>
      <c r="K6" t="s">
        <v>116</v>
      </c>
      <c r="L6">
        <v>0</v>
      </c>
      <c r="M6" t="s">
        <v>116</v>
      </c>
    </row>
    <row r="7" spans="1:13" x14ac:dyDescent="0.25">
      <c r="A7" t="s">
        <v>43</v>
      </c>
      <c r="B7">
        <v>841461.69277190778</v>
      </c>
      <c r="C7" t="s">
        <v>116</v>
      </c>
      <c r="D7">
        <v>656340.14644270123</v>
      </c>
      <c r="E7" t="s">
        <v>116</v>
      </c>
      <c r="F7">
        <v>4972.2737131993781</v>
      </c>
      <c r="G7" t="s">
        <v>116</v>
      </c>
      <c r="H7">
        <v>0</v>
      </c>
      <c r="I7" t="s">
        <v>116</v>
      </c>
      <c r="J7">
        <v>0</v>
      </c>
      <c r="K7" t="s">
        <v>116</v>
      </c>
      <c r="L7">
        <v>0</v>
      </c>
      <c r="M7" t="s">
        <v>116</v>
      </c>
    </row>
    <row r="8" spans="1:13" x14ac:dyDescent="0.25">
      <c r="A8" t="s">
        <v>40</v>
      </c>
      <c r="B8">
        <v>2586964.0919239838</v>
      </c>
      <c r="C8" t="s">
        <v>116</v>
      </c>
      <c r="D8">
        <v>5044580.1045352658</v>
      </c>
      <c r="E8" t="s">
        <v>116</v>
      </c>
      <c r="F8">
        <v>0</v>
      </c>
      <c r="G8" t="s">
        <v>116</v>
      </c>
      <c r="H8">
        <v>0</v>
      </c>
      <c r="I8" t="s">
        <v>116</v>
      </c>
      <c r="J8">
        <v>0</v>
      </c>
      <c r="K8" t="s">
        <v>116</v>
      </c>
      <c r="L8">
        <v>0</v>
      </c>
      <c r="M8" t="s">
        <v>116</v>
      </c>
    </row>
    <row r="9" spans="1:13" x14ac:dyDescent="0.25">
      <c r="A9" t="s">
        <v>39</v>
      </c>
      <c r="B9">
        <v>493092.42494236352</v>
      </c>
      <c r="C9" t="s">
        <v>116</v>
      </c>
      <c r="D9">
        <v>961530.25251746993</v>
      </c>
      <c r="E9" t="s">
        <v>116</v>
      </c>
      <c r="F9">
        <v>0</v>
      </c>
      <c r="G9" t="s">
        <v>116</v>
      </c>
      <c r="H9">
        <v>0</v>
      </c>
      <c r="I9" t="s">
        <v>116</v>
      </c>
      <c r="J9">
        <v>0</v>
      </c>
      <c r="K9" t="s">
        <v>116</v>
      </c>
      <c r="L9">
        <v>0</v>
      </c>
      <c r="M9" t="s">
        <v>116</v>
      </c>
    </row>
    <row r="10" spans="1:13" x14ac:dyDescent="0.25">
      <c r="A10" t="s">
        <v>48</v>
      </c>
      <c r="B10">
        <v>0</v>
      </c>
      <c r="C10" t="s">
        <v>116</v>
      </c>
      <c r="D10">
        <v>0</v>
      </c>
      <c r="E10" t="s">
        <v>116</v>
      </c>
      <c r="F10">
        <v>0</v>
      </c>
      <c r="G10" t="s">
        <v>116</v>
      </c>
      <c r="H10">
        <v>0</v>
      </c>
      <c r="I10" t="s">
        <v>116</v>
      </c>
      <c r="J10">
        <v>0</v>
      </c>
      <c r="K10" t="s">
        <v>116</v>
      </c>
      <c r="L10">
        <v>0</v>
      </c>
      <c r="M10" t="s">
        <v>116</v>
      </c>
    </row>
    <row r="11" spans="1:13" x14ac:dyDescent="0.25">
      <c r="A11" t="s">
        <v>45</v>
      </c>
      <c r="B11">
        <v>34300.254300288361</v>
      </c>
      <c r="C11" t="s">
        <v>116</v>
      </c>
      <c r="D11">
        <v>44590.33059037487</v>
      </c>
      <c r="E11" t="s">
        <v>116</v>
      </c>
      <c r="F11">
        <v>337.80552638607634</v>
      </c>
      <c r="G11" t="s">
        <v>116</v>
      </c>
      <c r="H11">
        <v>0</v>
      </c>
      <c r="I11" t="s">
        <v>116</v>
      </c>
      <c r="J11">
        <v>63.700472271964102</v>
      </c>
      <c r="K11" t="s">
        <v>116</v>
      </c>
      <c r="L11">
        <v>24.772405268312266</v>
      </c>
      <c r="M11" t="s">
        <v>116</v>
      </c>
    </row>
    <row r="12" spans="1:13" x14ac:dyDescent="0.25">
      <c r="A12" t="s">
        <v>49</v>
      </c>
      <c r="B12">
        <v>0</v>
      </c>
      <c r="C12" t="s">
        <v>116</v>
      </c>
      <c r="D12">
        <v>0</v>
      </c>
      <c r="E12" t="s">
        <v>116</v>
      </c>
      <c r="F12">
        <v>0</v>
      </c>
      <c r="G12" t="s">
        <v>116</v>
      </c>
      <c r="H12">
        <v>0</v>
      </c>
      <c r="I12" t="s">
        <v>116</v>
      </c>
      <c r="J12">
        <v>0</v>
      </c>
      <c r="K12" t="s">
        <v>116</v>
      </c>
      <c r="L12">
        <v>0</v>
      </c>
      <c r="M12" t="s">
        <v>116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B0903-C9D4-49E0-BE5A-FD1DE835FA9D}">
  <dimension ref="A1:E145"/>
  <sheetViews>
    <sheetView topLeftCell="A11" workbookViewId="0"/>
  </sheetViews>
  <sheetFormatPr baseColWidth="10" defaultRowHeight="15" x14ac:dyDescent="0.25"/>
  <sheetData>
    <row r="1" spans="1:5" x14ac:dyDescent="0.25">
      <c r="A1" s="1" t="s">
        <v>36</v>
      </c>
      <c r="B1" s="1" t="s">
        <v>38</v>
      </c>
      <c r="C1" s="1" t="s">
        <v>117</v>
      </c>
      <c r="D1" s="1" t="s">
        <v>118</v>
      </c>
      <c r="E1" s="1" t="s">
        <v>1</v>
      </c>
    </row>
    <row r="2" spans="1:5" x14ac:dyDescent="0.25">
      <c r="A2">
        <v>15</v>
      </c>
      <c r="B2" t="s">
        <v>39</v>
      </c>
      <c r="C2" t="s">
        <v>119</v>
      </c>
      <c r="D2" t="s">
        <v>106</v>
      </c>
      <c r="E2">
        <v>733.013325482607</v>
      </c>
    </row>
    <row r="3" spans="1:5" x14ac:dyDescent="0.25">
      <c r="A3">
        <v>16</v>
      </c>
      <c r="B3" t="s">
        <v>40</v>
      </c>
      <c r="C3" t="s">
        <v>119</v>
      </c>
      <c r="D3" t="s">
        <v>106</v>
      </c>
      <c r="E3">
        <v>1114.7772266678501</v>
      </c>
    </row>
    <row r="4" spans="1:5" x14ac:dyDescent="0.25">
      <c r="A4">
        <v>17</v>
      </c>
      <c r="B4" t="s">
        <v>41</v>
      </c>
      <c r="C4" t="s">
        <v>119</v>
      </c>
      <c r="D4" t="s">
        <v>106</v>
      </c>
      <c r="E4">
        <v>42.625000327825497</v>
      </c>
    </row>
    <row r="5" spans="1:5" x14ac:dyDescent="0.25">
      <c r="A5">
        <v>18</v>
      </c>
      <c r="B5" t="s">
        <v>42</v>
      </c>
      <c r="C5" t="s">
        <v>119</v>
      </c>
      <c r="D5" t="s">
        <v>106</v>
      </c>
      <c r="E5">
        <v>0</v>
      </c>
    </row>
    <row r="6" spans="1:5" x14ac:dyDescent="0.25">
      <c r="A6">
        <v>19</v>
      </c>
      <c r="B6" t="s">
        <v>43</v>
      </c>
      <c r="C6" t="s">
        <v>119</v>
      </c>
      <c r="D6" t="s">
        <v>106</v>
      </c>
      <c r="E6">
        <v>3.7187063178564301</v>
      </c>
    </row>
    <row r="7" spans="1:5" x14ac:dyDescent="0.25">
      <c r="A7">
        <v>20</v>
      </c>
      <c r="B7" t="s">
        <v>44</v>
      </c>
      <c r="C7" t="s">
        <v>119</v>
      </c>
      <c r="D7" t="s">
        <v>106</v>
      </c>
      <c r="E7">
        <v>176.37952288212401</v>
      </c>
    </row>
    <row r="8" spans="1:5" x14ac:dyDescent="0.25">
      <c r="A8">
        <v>21</v>
      </c>
      <c r="B8" t="s">
        <v>45</v>
      </c>
      <c r="C8" t="s">
        <v>119</v>
      </c>
      <c r="D8" t="s">
        <v>106</v>
      </c>
      <c r="E8">
        <v>30.497582480633401</v>
      </c>
    </row>
    <row r="9" spans="1:5" x14ac:dyDescent="0.25">
      <c r="A9">
        <v>22</v>
      </c>
      <c r="B9" t="s">
        <v>46</v>
      </c>
      <c r="C9" t="s">
        <v>119</v>
      </c>
      <c r="D9" t="s">
        <v>106</v>
      </c>
      <c r="E9">
        <v>0</v>
      </c>
    </row>
    <row r="10" spans="1:5" x14ac:dyDescent="0.25">
      <c r="A10">
        <v>23</v>
      </c>
      <c r="B10" t="s">
        <v>47</v>
      </c>
      <c r="C10" t="s">
        <v>119</v>
      </c>
      <c r="D10" t="s">
        <v>106</v>
      </c>
      <c r="E10">
        <v>0</v>
      </c>
    </row>
    <row r="11" spans="1:5" x14ac:dyDescent="0.25">
      <c r="A11">
        <v>24</v>
      </c>
      <c r="B11" t="s">
        <v>48</v>
      </c>
      <c r="C11" t="s">
        <v>119</v>
      </c>
      <c r="D11" t="s">
        <v>106</v>
      </c>
      <c r="E11">
        <v>38.230435404584703</v>
      </c>
    </row>
    <row r="12" spans="1:5" x14ac:dyDescent="0.25">
      <c r="A12">
        <v>25</v>
      </c>
      <c r="B12" t="s">
        <v>49</v>
      </c>
      <c r="C12" t="s">
        <v>119</v>
      </c>
      <c r="D12" t="s">
        <v>106</v>
      </c>
      <c r="E12">
        <v>0</v>
      </c>
    </row>
    <row r="13" spans="1:5" x14ac:dyDescent="0.25">
      <c r="A13">
        <v>26</v>
      </c>
      <c r="B13" t="s">
        <v>50</v>
      </c>
      <c r="C13" t="s">
        <v>119</v>
      </c>
      <c r="D13" t="s">
        <v>106</v>
      </c>
      <c r="E13">
        <v>0</v>
      </c>
    </row>
    <row r="14" spans="1:5" x14ac:dyDescent="0.25">
      <c r="A14">
        <v>27</v>
      </c>
      <c r="B14" t="s">
        <v>51</v>
      </c>
      <c r="C14" t="s">
        <v>119</v>
      </c>
      <c r="D14" t="s">
        <v>106</v>
      </c>
      <c r="E14">
        <v>0</v>
      </c>
    </row>
    <row r="15" spans="1:5" x14ac:dyDescent="0.25">
      <c r="A15">
        <v>28</v>
      </c>
      <c r="B15" t="s">
        <v>52</v>
      </c>
      <c r="C15" t="s">
        <v>119</v>
      </c>
      <c r="D15" t="s">
        <v>106</v>
      </c>
      <c r="E15">
        <v>0</v>
      </c>
    </row>
    <row r="16" spans="1:5" x14ac:dyDescent="0.25">
      <c r="A16">
        <v>29</v>
      </c>
      <c r="B16" t="s">
        <v>53</v>
      </c>
      <c r="C16" t="s">
        <v>119</v>
      </c>
      <c r="D16" t="s">
        <v>106</v>
      </c>
      <c r="E16">
        <v>0</v>
      </c>
    </row>
    <row r="17" spans="1:5" x14ac:dyDescent="0.25">
      <c r="A17">
        <v>30</v>
      </c>
      <c r="B17" t="s">
        <v>54</v>
      </c>
      <c r="C17" t="s">
        <v>119</v>
      </c>
      <c r="D17" t="s">
        <v>106</v>
      </c>
      <c r="E17">
        <v>0</v>
      </c>
    </row>
    <row r="18" spans="1:5" x14ac:dyDescent="0.25">
      <c r="A18">
        <v>15</v>
      </c>
      <c r="B18" t="s">
        <v>39</v>
      </c>
      <c r="C18" t="s">
        <v>119</v>
      </c>
      <c r="D18" t="s">
        <v>120</v>
      </c>
      <c r="E18">
        <v>5076.1171797663001</v>
      </c>
    </row>
    <row r="19" spans="1:5" x14ac:dyDescent="0.25">
      <c r="A19">
        <v>16</v>
      </c>
      <c r="B19" t="s">
        <v>40</v>
      </c>
      <c r="C19" t="s">
        <v>119</v>
      </c>
      <c r="D19" t="s">
        <v>120</v>
      </c>
      <c r="E19">
        <v>5158.6103096520501</v>
      </c>
    </row>
    <row r="20" spans="1:5" x14ac:dyDescent="0.25">
      <c r="A20">
        <v>17</v>
      </c>
      <c r="B20" t="s">
        <v>41</v>
      </c>
      <c r="C20" t="s">
        <v>119</v>
      </c>
      <c r="D20" t="s">
        <v>120</v>
      </c>
      <c r="E20">
        <v>822.50000238418602</v>
      </c>
    </row>
    <row r="21" spans="1:5" x14ac:dyDescent="0.25">
      <c r="A21">
        <v>18</v>
      </c>
      <c r="B21" t="s">
        <v>42</v>
      </c>
      <c r="C21" t="s">
        <v>119</v>
      </c>
      <c r="D21" t="s">
        <v>120</v>
      </c>
      <c r="E21">
        <v>70219.164094426204</v>
      </c>
    </row>
    <row r="22" spans="1:5" x14ac:dyDescent="0.25">
      <c r="A22">
        <v>19</v>
      </c>
      <c r="B22" t="s">
        <v>43</v>
      </c>
      <c r="C22" t="s">
        <v>119</v>
      </c>
      <c r="D22" t="s">
        <v>120</v>
      </c>
      <c r="E22">
        <v>69969.645076678105</v>
      </c>
    </row>
    <row r="23" spans="1:5" x14ac:dyDescent="0.25">
      <c r="A23">
        <v>20</v>
      </c>
      <c r="B23" t="s">
        <v>44</v>
      </c>
      <c r="C23" t="s">
        <v>119</v>
      </c>
      <c r="D23" t="s">
        <v>120</v>
      </c>
      <c r="E23">
        <v>71790.134900363904</v>
      </c>
    </row>
    <row r="24" spans="1:5" x14ac:dyDescent="0.25">
      <c r="A24">
        <v>21</v>
      </c>
      <c r="B24" t="s">
        <v>45</v>
      </c>
      <c r="C24" t="s">
        <v>119</v>
      </c>
      <c r="D24" t="s">
        <v>120</v>
      </c>
      <c r="E24">
        <v>3511.4608258840399</v>
      </c>
    </row>
    <row r="25" spans="1:5" x14ac:dyDescent="0.25">
      <c r="A25">
        <v>22</v>
      </c>
      <c r="B25" t="s">
        <v>46</v>
      </c>
      <c r="C25" t="s">
        <v>119</v>
      </c>
      <c r="D25" t="s">
        <v>120</v>
      </c>
      <c r="E25">
        <v>1516.6778682322899</v>
      </c>
    </row>
    <row r="26" spans="1:5" x14ac:dyDescent="0.25">
      <c r="A26">
        <v>23</v>
      </c>
      <c r="B26" t="s">
        <v>47</v>
      </c>
      <c r="C26" t="s">
        <v>119</v>
      </c>
      <c r="D26" t="s">
        <v>120</v>
      </c>
      <c r="E26">
        <v>1706.2625424356399</v>
      </c>
    </row>
    <row r="27" spans="1:5" x14ac:dyDescent="0.25">
      <c r="A27">
        <v>24</v>
      </c>
      <c r="B27" t="s">
        <v>48</v>
      </c>
      <c r="C27" t="s">
        <v>119</v>
      </c>
      <c r="D27" t="s">
        <v>120</v>
      </c>
      <c r="E27">
        <v>1651.5548351135701</v>
      </c>
    </row>
    <row r="28" spans="1:5" x14ac:dyDescent="0.25">
      <c r="A28">
        <v>25</v>
      </c>
      <c r="B28" t="s">
        <v>49</v>
      </c>
      <c r="C28" t="s">
        <v>119</v>
      </c>
      <c r="D28" t="s">
        <v>120</v>
      </c>
      <c r="E28">
        <v>2336.28999558238</v>
      </c>
    </row>
    <row r="29" spans="1:5" x14ac:dyDescent="0.25">
      <c r="A29">
        <v>26</v>
      </c>
      <c r="B29" t="s">
        <v>50</v>
      </c>
      <c r="C29" t="s">
        <v>119</v>
      </c>
      <c r="D29" t="s">
        <v>120</v>
      </c>
      <c r="E29">
        <v>0</v>
      </c>
    </row>
    <row r="30" spans="1:5" x14ac:dyDescent="0.25">
      <c r="A30">
        <v>27</v>
      </c>
      <c r="B30" t="s">
        <v>51</v>
      </c>
      <c r="C30" t="s">
        <v>119</v>
      </c>
      <c r="D30" t="s">
        <v>120</v>
      </c>
      <c r="E30">
        <v>0</v>
      </c>
    </row>
    <row r="31" spans="1:5" x14ac:dyDescent="0.25">
      <c r="A31">
        <v>28</v>
      </c>
      <c r="B31" t="s">
        <v>52</v>
      </c>
      <c r="C31" t="s">
        <v>119</v>
      </c>
      <c r="D31" t="s">
        <v>120</v>
      </c>
      <c r="E31">
        <v>0</v>
      </c>
    </row>
    <row r="32" spans="1:5" x14ac:dyDescent="0.25">
      <c r="A32">
        <v>29</v>
      </c>
      <c r="B32" t="s">
        <v>53</v>
      </c>
      <c r="C32" t="s">
        <v>119</v>
      </c>
      <c r="D32" t="s">
        <v>120</v>
      </c>
      <c r="E32">
        <v>0</v>
      </c>
    </row>
    <row r="33" spans="1:5" x14ac:dyDescent="0.25">
      <c r="A33">
        <v>30</v>
      </c>
      <c r="B33" t="s">
        <v>54</v>
      </c>
      <c r="C33" t="s">
        <v>119</v>
      </c>
      <c r="D33" t="s">
        <v>120</v>
      </c>
      <c r="E33">
        <v>0</v>
      </c>
    </row>
    <row r="34" spans="1:5" x14ac:dyDescent="0.25">
      <c r="A34">
        <v>15</v>
      </c>
      <c r="B34" t="s">
        <v>39</v>
      </c>
      <c r="C34" t="s">
        <v>119</v>
      </c>
      <c r="D34" t="s">
        <v>121</v>
      </c>
      <c r="E34">
        <v>0</v>
      </c>
    </row>
    <row r="35" spans="1:5" x14ac:dyDescent="0.25">
      <c r="A35">
        <v>16</v>
      </c>
      <c r="B35" t="s">
        <v>40</v>
      </c>
      <c r="C35" t="s">
        <v>119</v>
      </c>
      <c r="D35" t="s">
        <v>121</v>
      </c>
      <c r="E35">
        <v>0</v>
      </c>
    </row>
    <row r="36" spans="1:5" x14ac:dyDescent="0.25">
      <c r="A36">
        <v>17</v>
      </c>
      <c r="B36" t="s">
        <v>41</v>
      </c>
      <c r="C36" t="s">
        <v>119</v>
      </c>
      <c r="D36" t="s">
        <v>121</v>
      </c>
      <c r="E36">
        <v>0</v>
      </c>
    </row>
    <row r="37" spans="1:5" x14ac:dyDescent="0.25">
      <c r="A37">
        <v>18</v>
      </c>
      <c r="B37" t="s">
        <v>42</v>
      </c>
      <c r="C37" t="s">
        <v>119</v>
      </c>
      <c r="D37" t="s">
        <v>121</v>
      </c>
      <c r="E37">
        <v>0</v>
      </c>
    </row>
    <row r="38" spans="1:5" x14ac:dyDescent="0.25">
      <c r="A38">
        <v>19</v>
      </c>
      <c r="B38" t="s">
        <v>43</v>
      </c>
      <c r="C38" t="s">
        <v>119</v>
      </c>
      <c r="D38" t="s">
        <v>121</v>
      </c>
      <c r="E38">
        <v>1091.3594733541499</v>
      </c>
    </row>
    <row r="39" spans="1:5" x14ac:dyDescent="0.25">
      <c r="A39">
        <v>20</v>
      </c>
      <c r="B39" t="s">
        <v>44</v>
      </c>
      <c r="C39" t="s">
        <v>119</v>
      </c>
      <c r="D39" t="s">
        <v>121</v>
      </c>
      <c r="E39">
        <v>0</v>
      </c>
    </row>
    <row r="40" spans="1:5" x14ac:dyDescent="0.25">
      <c r="A40">
        <v>21</v>
      </c>
      <c r="B40" t="s">
        <v>45</v>
      </c>
      <c r="C40" t="s">
        <v>119</v>
      </c>
      <c r="D40" t="s">
        <v>121</v>
      </c>
      <c r="E40">
        <v>0</v>
      </c>
    </row>
    <row r="41" spans="1:5" x14ac:dyDescent="0.25">
      <c r="A41">
        <v>22</v>
      </c>
      <c r="B41" t="s">
        <v>46</v>
      </c>
      <c r="C41" t="s">
        <v>119</v>
      </c>
      <c r="D41" t="s">
        <v>121</v>
      </c>
      <c r="E41">
        <v>0</v>
      </c>
    </row>
    <row r="42" spans="1:5" x14ac:dyDescent="0.25">
      <c r="A42">
        <v>23</v>
      </c>
      <c r="B42" t="s">
        <v>47</v>
      </c>
      <c r="C42" t="s">
        <v>119</v>
      </c>
      <c r="D42" t="s">
        <v>121</v>
      </c>
      <c r="E42">
        <v>0</v>
      </c>
    </row>
    <row r="43" spans="1:5" x14ac:dyDescent="0.25">
      <c r="A43">
        <v>24</v>
      </c>
      <c r="B43" t="s">
        <v>48</v>
      </c>
      <c r="C43" t="s">
        <v>119</v>
      </c>
      <c r="D43" t="s">
        <v>121</v>
      </c>
      <c r="E43">
        <v>0</v>
      </c>
    </row>
    <row r="44" spans="1:5" x14ac:dyDescent="0.25">
      <c r="A44">
        <v>25</v>
      </c>
      <c r="B44" t="s">
        <v>49</v>
      </c>
      <c r="C44" t="s">
        <v>119</v>
      </c>
      <c r="D44" t="s">
        <v>121</v>
      </c>
      <c r="E44">
        <v>0</v>
      </c>
    </row>
    <row r="45" spans="1:5" x14ac:dyDescent="0.25">
      <c r="A45">
        <v>26</v>
      </c>
      <c r="B45" t="s">
        <v>50</v>
      </c>
      <c r="C45" t="s">
        <v>119</v>
      </c>
      <c r="D45" t="s">
        <v>121</v>
      </c>
      <c r="E45">
        <v>0</v>
      </c>
    </row>
    <row r="46" spans="1:5" x14ac:dyDescent="0.25">
      <c r="A46">
        <v>27</v>
      </c>
      <c r="B46" t="s">
        <v>51</v>
      </c>
      <c r="C46" t="s">
        <v>119</v>
      </c>
      <c r="D46" t="s">
        <v>121</v>
      </c>
      <c r="E46">
        <v>0</v>
      </c>
    </row>
    <row r="47" spans="1:5" x14ac:dyDescent="0.25">
      <c r="A47">
        <v>28</v>
      </c>
      <c r="B47" t="s">
        <v>52</v>
      </c>
      <c r="C47" t="s">
        <v>119</v>
      </c>
      <c r="D47" t="s">
        <v>121</v>
      </c>
      <c r="E47">
        <v>0</v>
      </c>
    </row>
    <row r="48" spans="1:5" x14ac:dyDescent="0.25">
      <c r="A48">
        <v>29</v>
      </c>
      <c r="B48" t="s">
        <v>53</v>
      </c>
      <c r="C48" t="s">
        <v>119</v>
      </c>
      <c r="D48" t="s">
        <v>121</v>
      </c>
      <c r="E48">
        <v>0</v>
      </c>
    </row>
    <row r="49" spans="1:5" x14ac:dyDescent="0.25">
      <c r="A49">
        <v>30</v>
      </c>
      <c r="B49" t="s">
        <v>54</v>
      </c>
      <c r="C49" t="s">
        <v>119</v>
      </c>
      <c r="D49" t="s">
        <v>121</v>
      </c>
      <c r="E49">
        <v>0</v>
      </c>
    </row>
    <row r="50" spans="1:5" x14ac:dyDescent="0.25">
      <c r="A50">
        <v>15</v>
      </c>
      <c r="B50" t="s">
        <v>39</v>
      </c>
      <c r="C50" t="s">
        <v>119</v>
      </c>
      <c r="D50" t="s">
        <v>122</v>
      </c>
      <c r="E50">
        <v>0</v>
      </c>
    </row>
    <row r="51" spans="1:5" x14ac:dyDescent="0.25">
      <c r="A51">
        <v>16</v>
      </c>
      <c r="B51" t="s">
        <v>40</v>
      </c>
      <c r="C51" t="s">
        <v>119</v>
      </c>
      <c r="D51" t="s">
        <v>122</v>
      </c>
      <c r="E51">
        <v>0</v>
      </c>
    </row>
    <row r="52" spans="1:5" x14ac:dyDescent="0.25">
      <c r="A52">
        <v>17</v>
      </c>
      <c r="B52" t="s">
        <v>41</v>
      </c>
      <c r="C52" t="s">
        <v>119</v>
      </c>
      <c r="D52" t="s">
        <v>122</v>
      </c>
      <c r="E52">
        <v>0</v>
      </c>
    </row>
    <row r="53" spans="1:5" x14ac:dyDescent="0.25">
      <c r="A53">
        <v>18</v>
      </c>
      <c r="B53" t="s">
        <v>42</v>
      </c>
      <c r="C53" t="s">
        <v>119</v>
      </c>
      <c r="D53" t="s">
        <v>122</v>
      </c>
      <c r="E53">
        <v>0</v>
      </c>
    </row>
    <row r="54" spans="1:5" x14ac:dyDescent="0.25">
      <c r="A54">
        <v>19</v>
      </c>
      <c r="B54" t="s">
        <v>43</v>
      </c>
      <c r="C54" t="s">
        <v>119</v>
      </c>
      <c r="D54" t="s">
        <v>122</v>
      </c>
      <c r="E54">
        <v>0</v>
      </c>
    </row>
    <row r="55" spans="1:5" x14ac:dyDescent="0.25">
      <c r="A55">
        <v>20</v>
      </c>
      <c r="B55" t="s">
        <v>44</v>
      </c>
      <c r="C55" t="s">
        <v>119</v>
      </c>
      <c r="D55" t="s">
        <v>122</v>
      </c>
      <c r="E55">
        <v>0</v>
      </c>
    </row>
    <row r="56" spans="1:5" x14ac:dyDescent="0.25">
      <c r="A56">
        <v>21</v>
      </c>
      <c r="B56" t="s">
        <v>45</v>
      </c>
      <c r="C56" t="s">
        <v>119</v>
      </c>
      <c r="D56" t="s">
        <v>122</v>
      </c>
      <c r="E56">
        <v>0</v>
      </c>
    </row>
    <row r="57" spans="1:5" x14ac:dyDescent="0.25">
      <c r="A57">
        <v>22</v>
      </c>
      <c r="B57" t="s">
        <v>46</v>
      </c>
      <c r="C57" t="s">
        <v>119</v>
      </c>
      <c r="D57" t="s">
        <v>122</v>
      </c>
      <c r="E57">
        <v>0</v>
      </c>
    </row>
    <row r="58" spans="1:5" x14ac:dyDescent="0.25">
      <c r="A58">
        <v>23</v>
      </c>
      <c r="B58" t="s">
        <v>47</v>
      </c>
      <c r="C58" t="s">
        <v>119</v>
      </c>
      <c r="D58" t="s">
        <v>122</v>
      </c>
      <c r="E58">
        <v>0</v>
      </c>
    </row>
    <row r="59" spans="1:5" x14ac:dyDescent="0.25">
      <c r="A59">
        <v>24</v>
      </c>
      <c r="B59" t="s">
        <v>48</v>
      </c>
      <c r="C59" t="s">
        <v>119</v>
      </c>
      <c r="D59" t="s">
        <v>122</v>
      </c>
      <c r="E59">
        <v>0</v>
      </c>
    </row>
    <row r="60" spans="1:5" x14ac:dyDescent="0.25">
      <c r="A60">
        <v>25</v>
      </c>
      <c r="B60" t="s">
        <v>49</v>
      </c>
      <c r="C60" t="s">
        <v>119</v>
      </c>
      <c r="D60" t="s">
        <v>122</v>
      </c>
      <c r="E60">
        <v>0</v>
      </c>
    </row>
    <row r="61" spans="1:5" x14ac:dyDescent="0.25">
      <c r="A61">
        <v>26</v>
      </c>
      <c r="B61" t="s">
        <v>50</v>
      </c>
      <c r="C61" t="s">
        <v>119</v>
      </c>
      <c r="D61" t="s">
        <v>122</v>
      </c>
      <c r="E61">
        <v>0</v>
      </c>
    </row>
    <row r="62" spans="1:5" x14ac:dyDescent="0.25">
      <c r="A62">
        <v>27</v>
      </c>
      <c r="B62" t="s">
        <v>51</v>
      </c>
      <c r="C62" t="s">
        <v>119</v>
      </c>
      <c r="D62" t="s">
        <v>122</v>
      </c>
      <c r="E62">
        <v>0</v>
      </c>
    </row>
    <row r="63" spans="1:5" x14ac:dyDescent="0.25">
      <c r="A63">
        <v>28</v>
      </c>
      <c r="B63" t="s">
        <v>52</v>
      </c>
      <c r="C63" t="s">
        <v>119</v>
      </c>
      <c r="D63" t="s">
        <v>122</v>
      </c>
      <c r="E63">
        <v>0</v>
      </c>
    </row>
    <row r="64" spans="1:5" x14ac:dyDescent="0.25">
      <c r="A64">
        <v>29</v>
      </c>
      <c r="B64" t="s">
        <v>53</v>
      </c>
      <c r="C64" t="s">
        <v>119</v>
      </c>
      <c r="D64" t="s">
        <v>122</v>
      </c>
      <c r="E64">
        <v>0</v>
      </c>
    </row>
    <row r="65" spans="1:5" x14ac:dyDescent="0.25">
      <c r="A65">
        <v>30</v>
      </c>
      <c r="B65" t="s">
        <v>54</v>
      </c>
      <c r="C65" t="s">
        <v>119</v>
      </c>
      <c r="D65" t="s">
        <v>122</v>
      </c>
      <c r="E65">
        <v>0</v>
      </c>
    </row>
    <row r="66" spans="1:5" x14ac:dyDescent="0.25">
      <c r="A66">
        <v>15</v>
      </c>
      <c r="B66" t="s">
        <v>39</v>
      </c>
      <c r="C66" t="s">
        <v>119</v>
      </c>
      <c r="D66" t="s">
        <v>123</v>
      </c>
      <c r="E66">
        <v>34401.229177936897</v>
      </c>
    </row>
    <row r="67" spans="1:5" x14ac:dyDescent="0.25">
      <c r="A67">
        <v>16</v>
      </c>
      <c r="B67" t="s">
        <v>40</v>
      </c>
      <c r="C67" t="s">
        <v>119</v>
      </c>
      <c r="D67" t="s">
        <v>123</v>
      </c>
      <c r="E67">
        <v>13836.171884052201</v>
      </c>
    </row>
    <row r="68" spans="1:5" x14ac:dyDescent="0.25">
      <c r="A68">
        <v>17</v>
      </c>
      <c r="B68" t="s">
        <v>41</v>
      </c>
      <c r="C68" t="s">
        <v>119</v>
      </c>
      <c r="D68" t="s">
        <v>123</v>
      </c>
      <c r="E68">
        <v>424.87499490380299</v>
      </c>
    </row>
    <row r="69" spans="1:5" x14ac:dyDescent="0.25">
      <c r="A69">
        <v>18</v>
      </c>
      <c r="B69" t="s">
        <v>42</v>
      </c>
      <c r="C69" t="s">
        <v>119</v>
      </c>
      <c r="D69" t="s">
        <v>123</v>
      </c>
      <c r="E69">
        <v>6085.6629151784</v>
      </c>
    </row>
    <row r="70" spans="1:5" x14ac:dyDescent="0.25">
      <c r="A70">
        <v>19</v>
      </c>
      <c r="B70" t="s">
        <v>43</v>
      </c>
      <c r="C70" t="s">
        <v>119</v>
      </c>
      <c r="D70" t="s">
        <v>123</v>
      </c>
      <c r="E70">
        <v>5486.2316592777197</v>
      </c>
    </row>
    <row r="71" spans="1:5" x14ac:dyDescent="0.25">
      <c r="A71">
        <v>20</v>
      </c>
      <c r="B71" t="s">
        <v>44</v>
      </c>
      <c r="C71" t="s">
        <v>119</v>
      </c>
      <c r="D71" t="s">
        <v>123</v>
      </c>
      <c r="E71">
        <v>7783.5795984291799</v>
      </c>
    </row>
    <row r="72" spans="1:5" x14ac:dyDescent="0.25">
      <c r="A72">
        <v>21</v>
      </c>
      <c r="B72" t="s">
        <v>45</v>
      </c>
      <c r="C72" t="s">
        <v>119</v>
      </c>
      <c r="D72" t="s">
        <v>123</v>
      </c>
      <c r="E72">
        <v>1127.18823756091</v>
      </c>
    </row>
    <row r="73" spans="1:5" x14ac:dyDescent="0.25">
      <c r="A73">
        <v>22</v>
      </c>
      <c r="B73" t="s">
        <v>46</v>
      </c>
      <c r="C73" t="s">
        <v>119</v>
      </c>
      <c r="D73" t="s">
        <v>123</v>
      </c>
      <c r="E73">
        <v>104.802440699465</v>
      </c>
    </row>
    <row r="74" spans="1:5" x14ac:dyDescent="0.25">
      <c r="A74">
        <v>23</v>
      </c>
      <c r="B74" t="s">
        <v>47</v>
      </c>
      <c r="C74" t="s">
        <v>119</v>
      </c>
      <c r="D74" t="s">
        <v>123</v>
      </c>
      <c r="E74">
        <v>181.30625932271499</v>
      </c>
    </row>
    <row r="75" spans="1:5" x14ac:dyDescent="0.25">
      <c r="A75">
        <v>24</v>
      </c>
      <c r="B75" t="s">
        <v>48</v>
      </c>
      <c r="C75" t="s">
        <v>119</v>
      </c>
      <c r="D75" t="s">
        <v>123</v>
      </c>
      <c r="E75">
        <v>833.42348612316903</v>
      </c>
    </row>
    <row r="76" spans="1:5" x14ac:dyDescent="0.25">
      <c r="A76">
        <v>25</v>
      </c>
      <c r="B76" t="s">
        <v>49</v>
      </c>
      <c r="C76" t="s">
        <v>119</v>
      </c>
      <c r="D76" t="s">
        <v>123</v>
      </c>
      <c r="E76">
        <v>35.398272701535497</v>
      </c>
    </row>
    <row r="77" spans="1:5" x14ac:dyDescent="0.25">
      <c r="A77">
        <v>26</v>
      </c>
      <c r="B77" t="s">
        <v>50</v>
      </c>
      <c r="C77" t="s">
        <v>119</v>
      </c>
      <c r="D77" t="s">
        <v>123</v>
      </c>
      <c r="E77">
        <v>0</v>
      </c>
    </row>
    <row r="78" spans="1:5" x14ac:dyDescent="0.25">
      <c r="A78">
        <v>27</v>
      </c>
      <c r="B78" t="s">
        <v>51</v>
      </c>
      <c r="C78" t="s">
        <v>119</v>
      </c>
      <c r="D78" t="s">
        <v>123</v>
      </c>
      <c r="E78">
        <v>0</v>
      </c>
    </row>
    <row r="79" spans="1:5" x14ac:dyDescent="0.25">
      <c r="A79">
        <v>28</v>
      </c>
      <c r="B79" t="s">
        <v>52</v>
      </c>
      <c r="C79" t="s">
        <v>119</v>
      </c>
      <c r="D79" t="s">
        <v>123</v>
      </c>
      <c r="E79">
        <v>0</v>
      </c>
    </row>
    <row r="80" spans="1:5" x14ac:dyDescent="0.25">
      <c r="A80">
        <v>29</v>
      </c>
      <c r="B80" t="s">
        <v>53</v>
      </c>
      <c r="C80" t="s">
        <v>119</v>
      </c>
      <c r="D80" t="s">
        <v>123</v>
      </c>
      <c r="E80">
        <v>0</v>
      </c>
    </row>
    <row r="81" spans="1:5" x14ac:dyDescent="0.25">
      <c r="A81">
        <v>30</v>
      </c>
      <c r="B81" t="s">
        <v>54</v>
      </c>
      <c r="C81" t="s">
        <v>119</v>
      </c>
      <c r="D81" t="s">
        <v>123</v>
      </c>
      <c r="E81">
        <v>0</v>
      </c>
    </row>
    <row r="82" spans="1:5" x14ac:dyDescent="0.25">
      <c r="A82">
        <v>15</v>
      </c>
      <c r="B82" t="s">
        <v>39</v>
      </c>
      <c r="C82" t="s">
        <v>124</v>
      </c>
      <c r="D82" t="s">
        <v>125</v>
      </c>
      <c r="E82">
        <v>43293.596941629999</v>
      </c>
    </row>
    <row r="83" spans="1:5" x14ac:dyDescent="0.25">
      <c r="A83">
        <v>16</v>
      </c>
      <c r="B83" t="s">
        <v>40</v>
      </c>
      <c r="C83" t="s">
        <v>124</v>
      </c>
      <c r="D83" t="s">
        <v>125</v>
      </c>
      <c r="E83">
        <v>30635.099188446999</v>
      </c>
    </row>
    <row r="84" spans="1:5" x14ac:dyDescent="0.25">
      <c r="A84">
        <v>17</v>
      </c>
      <c r="B84" t="s">
        <v>41</v>
      </c>
      <c r="C84" t="s">
        <v>124</v>
      </c>
      <c r="D84" t="s">
        <v>125</v>
      </c>
      <c r="E84">
        <v>2025</v>
      </c>
    </row>
    <row r="85" spans="1:5" x14ac:dyDescent="0.25">
      <c r="A85">
        <v>18</v>
      </c>
      <c r="B85" t="s">
        <v>42</v>
      </c>
      <c r="C85" t="s">
        <v>124</v>
      </c>
      <c r="D85" t="s">
        <v>125</v>
      </c>
      <c r="E85">
        <v>80283.913176292495</v>
      </c>
    </row>
    <row r="86" spans="1:5" x14ac:dyDescent="0.25">
      <c r="A86">
        <v>19</v>
      </c>
      <c r="B86" t="s">
        <v>43</v>
      </c>
      <c r="C86" t="s">
        <v>124</v>
      </c>
      <c r="D86" t="s">
        <v>125</v>
      </c>
      <c r="E86">
        <v>82026.995250719498</v>
      </c>
    </row>
    <row r="87" spans="1:5" x14ac:dyDescent="0.25">
      <c r="A87">
        <v>20</v>
      </c>
      <c r="B87" t="s">
        <v>44</v>
      </c>
      <c r="C87" t="s">
        <v>124</v>
      </c>
      <c r="D87" t="s">
        <v>125</v>
      </c>
      <c r="E87">
        <v>98441.821208585607</v>
      </c>
    </row>
    <row r="88" spans="1:5" x14ac:dyDescent="0.25">
      <c r="A88">
        <v>21</v>
      </c>
      <c r="B88" t="s">
        <v>45</v>
      </c>
      <c r="C88" t="s">
        <v>124</v>
      </c>
      <c r="D88" t="s">
        <v>125</v>
      </c>
      <c r="E88">
        <v>6275.67570619257</v>
      </c>
    </row>
    <row r="89" spans="1:5" x14ac:dyDescent="0.25">
      <c r="A89">
        <v>22</v>
      </c>
      <c r="B89" t="s">
        <v>46</v>
      </c>
      <c r="C89" t="s">
        <v>124</v>
      </c>
      <c r="D89" t="s">
        <v>125</v>
      </c>
      <c r="E89">
        <v>1643.06769058498</v>
      </c>
    </row>
    <row r="90" spans="1:5" x14ac:dyDescent="0.25">
      <c r="A90">
        <v>23</v>
      </c>
      <c r="B90" t="s">
        <v>47</v>
      </c>
      <c r="C90" t="s">
        <v>124</v>
      </c>
      <c r="D90" t="s">
        <v>125</v>
      </c>
      <c r="E90">
        <v>1895.84733529036</v>
      </c>
    </row>
    <row r="91" spans="1:5" x14ac:dyDescent="0.25">
      <c r="A91">
        <v>24</v>
      </c>
      <c r="B91" t="s">
        <v>48</v>
      </c>
      <c r="C91" t="s">
        <v>124</v>
      </c>
      <c r="D91" t="s">
        <v>125</v>
      </c>
      <c r="E91">
        <v>2523.2087566413202</v>
      </c>
    </row>
    <row r="92" spans="1:5" x14ac:dyDescent="0.25">
      <c r="A92">
        <v>25</v>
      </c>
      <c r="B92" t="s">
        <v>49</v>
      </c>
      <c r="C92" t="s">
        <v>124</v>
      </c>
      <c r="D92" t="s">
        <v>125</v>
      </c>
      <c r="E92">
        <v>2371.68826828392</v>
      </c>
    </row>
    <row r="93" spans="1:5" x14ac:dyDescent="0.25">
      <c r="A93">
        <v>26</v>
      </c>
      <c r="B93" t="s">
        <v>50</v>
      </c>
      <c r="C93" t="s">
        <v>124</v>
      </c>
      <c r="D93" t="s">
        <v>125</v>
      </c>
      <c r="E93">
        <v>0</v>
      </c>
    </row>
    <row r="94" spans="1:5" x14ac:dyDescent="0.25">
      <c r="A94">
        <v>27</v>
      </c>
      <c r="B94" t="s">
        <v>51</v>
      </c>
      <c r="C94" t="s">
        <v>124</v>
      </c>
      <c r="D94" t="s">
        <v>125</v>
      </c>
      <c r="E94">
        <v>0</v>
      </c>
    </row>
    <row r="95" spans="1:5" x14ac:dyDescent="0.25">
      <c r="A95">
        <v>28</v>
      </c>
      <c r="B95" t="s">
        <v>52</v>
      </c>
      <c r="C95" t="s">
        <v>124</v>
      </c>
      <c r="D95" t="s">
        <v>125</v>
      </c>
      <c r="E95">
        <v>0</v>
      </c>
    </row>
    <row r="96" spans="1:5" x14ac:dyDescent="0.25">
      <c r="A96">
        <v>29</v>
      </c>
      <c r="B96" t="s">
        <v>53</v>
      </c>
      <c r="C96" t="s">
        <v>124</v>
      </c>
      <c r="D96" t="s">
        <v>125</v>
      </c>
      <c r="E96">
        <v>0</v>
      </c>
    </row>
    <row r="97" spans="1:5" x14ac:dyDescent="0.25">
      <c r="A97">
        <v>30</v>
      </c>
      <c r="B97" t="s">
        <v>54</v>
      </c>
      <c r="C97" t="s">
        <v>124</v>
      </c>
      <c r="D97" t="s">
        <v>125</v>
      </c>
      <c r="E97">
        <v>0</v>
      </c>
    </row>
    <row r="98" spans="1:5" x14ac:dyDescent="0.25">
      <c r="A98">
        <v>15</v>
      </c>
      <c r="B98" t="s">
        <v>39</v>
      </c>
      <c r="C98" t="s">
        <v>124</v>
      </c>
      <c r="D98" t="s">
        <v>126</v>
      </c>
      <c r="E98">
        <v>0</v>
      </c>
    </row>
    <row r="99" spans="1:5" x14ac:dyDescent="0.25">
      <c r="A99">
        <v>16</v>
      </c>
      <c r="B99" t="s">
        <v>40</v>
      </c>
      <c r="C99" t="s">
        <v>124</v>
      </c>
      <c r="D99" t="s">
        <v>126</v>
      </c>
      <c r="E99">
        <v>0</v>
      </c>
    </row>
    <row r="100" spans="1:5" x14ac:dyDescent="0.25">
      <c r="A100">
        <v>17</v>
      </c>
      <c r="B100" t="s">
        <v>41</v>
      </c>
      <c r="C100" t="s">
        <v>124</v>
      </c>
      <c r="D100" t="s">
        <v>126</v>
      </c>
      <c r="E100">
        <v>0</v>
      </c>
    </row>
    <row r="101" spans="1:5" x14ac:dyDescent="0.25">
      <c r="A101">
        <v>18</v>
      </c>
      <c r="B101" t="s">
        <v>42</v>
      </c>
      <c r="C101" t="s">
        <v>124</v>
      </c>
      <c r="D101" t="s">
        <v>126</v>
      </c>
      <c r="E101">
        <v>0</v>
      </c>
    </row>
    <row r="102" spans="1:5" x14ac:dyDescent="0.25">
      <c r="A102">
        <v>19</v>
      </c>
      <c r="B102" t="s">
        <v>43</v>
      </c>
      <c r="C102" t="s">
        <v>124</v>
      </c>
      <c r="D102" t="s">
        <v>126</v>
      </c>
      <c r="E102">
        <v>0</v>
      </c>
    </row>
    <row r="103" spans="1:5" x14ac:dyDescent="0.25">
      <c r="A103">
        <v>20</v>
      </c>
      <c r="B103" t="s">
        <v>44</v>
      </c>
      <c r="C103" t="s">
        <v>124</v>
      </c>
      <c r="D103" t="s">
        <v>126</v>
      </c>
      <c r="E103">
        <v>0</v>
      </c>
    </row>
    <row r="104" spans="1:5" x14ac:dyDescent="0.25">
      <c r="A104">
        <v>21</v>
      </c>
      <c r="B104" t="s">
        <v>45</v>
      </c>
      <c r="C104" t="s">
        <v>124</v>
      </c>
      <c r="D104" t="s">
        <v>126</v>
      </c>
      <c r="E104">
        <v>0</v>
      </c>
    </row>
    <row r="105" spans="1:5" x14ac:dyDescent="0.25">
      <c r="A105">
        <v>22</v>
      </c>
      <c r="B105" t="s">
        <v>46</v>
      </c>
      <c r="C105" t="s">
        <v>124</v>
      </c>
      <c r="D105" t="s">
        <v>126</v>
      </c>
      <c r="E105">
        <v>0</v>
      </c>
    </row>
    <row r="106" spans="1:5" x14ac:dyDescent="0.25">
      <c r="A106">
        <v>23</v>
      </c>
      <c r="B106" t="s">
        <v>47</v>
      </c>
      <c r="C106" t="s">
        <v>124</v>
      </c>
      <c r="D106" t="s">
        <v>126</v>
      </c>
      <c r="E106">
        <v>0</v>
      </c>
    </row>
    <row r="107" spans="1:5" x14ac:dyDescent="0.25">
      <c r="A107">
        <v>24</v>
      </c>
      <c r="B107" t="s">
        <v>48</v>
      </c>
      <c r="C107" t="s">
        <v>124</v>
      </c>
      <c r="D107" t="s">
        <v>126</v>
      </c>
      <c r="E107">
        <v>0</v>
      </c>
    </row>
    <row r="108" spans="1:5" x14ac:dyDescent="0.25">
      <c r="A108">
        <v>25</v>
      </c>
      <c r="B108" t="s">
        <v>49</v>
      </c>
      <c r="C108" t="s">
        <v>124</v>
      </c>
      <c r="D108" t="s">
        <v>126</v>
      </c>
      <c r="E108">
        <v>0</v>
      </c>
    </row>
    <row r="109" spans="1:5" x14ac:dyDescent="0.25">
      <c r="A109">
        <v>26</v>
      </c>
      <c r="B109" t="s">
        <v>50</v>
      </c>
      <c r="C109" t="s">
        <v>124</v>
      </c>
      <c r="D109" t="s">
        <v>126</v>
      </c>
      <c r="E109">
        <v>0</v>
      </c>
    </row>
    <row r="110" spans="1:5" x14ac:dyDescent="0.25">
      <c r="A110">
        <v>27</v>
      </c>
      <c r="B110" t="s">
        <v>51</v>
      </c>
      <c r="C110" t="s">
        <v>124</v>
      </c>
      <c r="D110" t="s">
        <v>126</v>
      </c>
      <c r="E110">
        <v>0</v>
      </c>
    </row>
    <row r="111" spans="1:5" x14ac:dyDescent="0.25">
      <c r="A111">
        <v>28</v>
      </c>
      <c r="B111" t="s">
        <v>52</v>
      </c>
      <c r="C111" t="s">
        <v>124</v>
      </c>
      <c r="D111" t="s">
        <v>126</v>
      </c>
      <c r="E111">
        <v>0</v>
      </c>
    </row>
    <row r="112" spans="1:5" x14ac:dyDescent="0.25">
      <c r="A112">
        <v>29</v>
      </c>
      <c r="B112" t="s">
        <v>53</v>
      </c>
      <c r="C112" t="s">
        <v>124</v>
      </c>
      <c r="D112" t="s">
        <v>126</v>
      </c>
      <c r="E112">
        <v>0</v>
      </c>
    </row>
    <row r="113" spans="1:5" x14ac:dyDescent="0.25">
      <c r="A113">
        <v>30</v>
      </c>
      <c r="B113" t="s">
        <v>54</v>
      </c>
      <c r="C113" t="s">
        <v>124</v>
      </c>
      <c r="D113" t="s">
        <v>126</v>
      </c>
      <c r="E113">
        <v>0</v>
      </c>
    </row>
    <row r="114" spans="1:5" x14ac:dyDescent="0.25">
      <c r="A114">
        <v>15</v>
      </c>
      <c r="B114" t="s">
        <v>39</v>
      </c>
      <c r="C114" t="s">
        <v>119</v>
      </c>
      <c r="D114" t="s">
        <v>127</v>
      </c>
      <c r="E114">
        <v>0</v>
      </c>
    </row>
    <row r="115" spans="1:5" x14ac:dyDescent="0.25">
      <c r="A115">
        <v>16</v>
      </c>
      <c r="B115" t="s">
        <v>40</v>
      </c>
      <c r="C115" t="s">
        <v>119</v>
      </c>
      <c r="D115" t="s">
        <v>127</v>
      </c>
      <c r="E115">
        <v>0</v>
      </c>
    </row>
    <row r="116" spans="1:5" x14ac:dyDescent="0.25">
      <c r="A116">
        <v>17</v>
      </c>
      <c r="B116" t="s">
        <v>41</v>
      </c>
      <c r="C116" t="s">
        <v>119</v>
      </c>
      <c r="D116" t="s">
        <v>127</v>
      </c>
      <c r="E116">
        <v>0</v>
      </c>
    </row>
    <row r="117" spans="1:5" x14ac:dyDescent="0.25">
      <c r="A117">
        <v>18</v>
      </c>
      <c r="B117" t="s">
        <v>42</v>
      </c>
      <c r="C117" t="s">
        <v>119</v>
      </c>
      <c r="D117" t="s">
        <v>127</v>
      </c>
      <c r="E117">
        <v>234.06387880094201</v>
      </c>
    </row>
    <row r="118" spans="1:5" x14ac:dyDescent="0.25">
      <c r="A118">
        <v>19</v>
      </c>
      <c r="B118" t="s">
        <v>43</v>
      </c>
      <c r="C118" t="s">
        <v>119</v>
      </c>
      <c r="D118" t="s">
        <v>127</v>
      </c>
      <c r="E118">
        <v>2420.0028822802401</v>
      </c>
    </row>
    <row r="119" spans="1:5" x14ac:dyDescent="0.25">
      <c r="A119">
        <v>20</v>
      </c>
      <c r="B119" t="s">
        <v>44</v>
      </c>
      <c r="C119" t="s">
        <v>119</v>
      </c>
      <c r="D119" t="s">
        <v>127</v>
      </c>
      <c r="E119">
        <v>4889.2247779891504</v>
      </c>
    </row>
    <row r="120" spans="1:5" x14ac:dyDescent="0.25">
      <c r="A120">
        <v>21</v>
      </c>
      <c r="B120" t="s">
        <v>45</v>
      </c>
      <c r="C120" t="s">
        <v>119</v>
      </c>
      <c r="D120" t="s">
        <v>127</v>
      </c>
      <c r="E120">
        <v>460.008519740976</v>
      </c>
    </row>
    <row r="121" spans="1:5" x14ac:dyDescent="0.25">
      <c r="A121">
        <v>22</v>
      </c>
      <c r="B121" t="s">
        <v>46</v>
      </c>
      <c r="C121" t="s">
        <v>119</v>
      </c>
      <c r="D121" t="s">
        <v>127</v>
      </c>
      <c r="E121">
        <v>4.5500335265376197</v>
      </c>
    </row>
    <row r="122" spans="1:5" x14ac:dyDescent="0.25">
      <c r="A122">
        <v>23</v>
      </c>
      <c r="B122" t="s">
        <v>47</v>
      </c>
      <c r="C122" t="s">
        <v>119</v>
      </c>
      <c r="D122" t="s">
        <v>127</v>
      </c>
      <c r="E122">
        <v>5.68754205530914</v>
      </c>
    </row>
    <row r="123" spans="1:5" x14ac:dyDescent="0.25">
      <c r="A123">
        <v>24</v>
      </c>
      <c r="B123" t="s">
        <v>48</v>
      </c>
      <c r="C123" t="s">
        <v>119</v>
      </c>
      <c r="D123" t="s">
        <v>127</v>
      </c>
      <c r="E123">
        <v>0</v>
      </c>
    </row>
    <row r="124" spans="1:5" x14ac:dyDescent="0.25">
      <c r="A124">
        <v>25</v>
      </c>
      <c r="B124" t="s">
        <v>49</v>
      </c>
      <c r="C124" t="s">
        <v>119</v>
      </c>
      <c r="D124" t="s">
        <v>127</v>
      </c>
      <c r="E124">
        <v>0</v>
      </c>
    </row>
    <row r="125" spans="1:5" x14ac:dyDescent="0.25">
      <c r="A125">
        <v>26</v>
      </c>
      <c r="B125" t="s">
        <v>50</v>
      </c>
      <c r="C125" t="s">
        <v>119</v>
      </c>
      <c r="D125" t="s">
        <v>127</v>
      </c>
      <c r="E125">
        <v>0</v>
      </c>
    </row>
    <row r="126" spans="1:5" x14ac:dyDescent="0.25">
      <c r="A126">
        <v>27</v>
      </c>
      <c r="B126" t="s">
        <v>51</v>
      </c>
      <c r="C126" t="s">
        <v>119</v>
      </c>
      <c r="D126" t="s">
        <v>127</v>
      </c>
      <c r="E126">
        <v>0</v>
      </c>
    </row>
    <row r="127" spans="1:5" x14ac:dyDescent="0.25">
      <c r="A127">
        <v>28</v>
      </c>
      <c r="B127" t="s">
        <v>52</v>
      </c>
      <c r="C127" t="s">
        <v>119</v>
      </c>
      <c r="D127" t="s">
        <v>127</v>
      </c>
      <c r="E127">
        <v>0</v>
      </c>
    </row>
    <row r="128" spans="1:5" x14ac:dyDescent="0.25">
      <c r="A128">
        <v>29</v>
      </c>
      <c r="B128" t="s">
        <v>53</v>
      </c>
      <c r="C128" t="s">
        <v>119</v>
      </c>
      <c r="D128" t="s">
        <v>127</v>
      </c>
      <c r="E128">
        <v>0</v>
      </c>
    </row>
    <row r="129" spans="1:5" x14ac:dyDescent="0.25">
      <c r="A129">
        <v>30</v>
      </c>
      <c r="B129" t="s">
        <v>54</v>
      </c>
      <c r="C129" t="s">
        <v>119</v>
      </c>
      <c r="D129" t="s">
        <v>127</v>
      </c>
      <c r="E129">
        <v>0</v>
      </c>
    </row>
    <row r="130" spans="1:5" x14ac:dyDescent="0.25">
      <c r="A130">
        <v>15</v>
      </c>
      <c r="B130" t="s">
        <v>39</v>
      </c>
      <c r="C130" t="s">
        <v>119</v>
      </c>
      <c r="D130" t="s">
        <v>128</v>
      </c>
      <c r="E130">
        <v>1602.5503571828201</v>
      </c>
    </row>
    <row r="131" spans="1:5" x14ac:dyDescent="0.25">
      <c r="A131">
        <v>16</v>
      </c>
      <c r="B131" t="s">
        <v>40</v>
      </c>
      <c r="C131" t="s">
        <v>119</v>
      </c>
      <c r="D131" t="s">
        <v>128</v>
      </c>
      <c r="E131">
        <v>8407.6331734694504</v>
      </c>
    </row>
    <row r="132" spans="1:5" x14ac:dyDescent="0.25">
      <c r="A132">
        <v>17</v>
      </c>
      <c r="B132" t="s">
        <v>41</v>
      </c>
      <c r="C132" t="s">
        <v>119</v>
      </c>
      <c r="D132" t="s">
        <v>128</v>
      </c>
      <c r="E132">
        <v>510.00000238418602</v>
      </c>
    </row>
    <row r="133" spans="1:5" x14ac:dyDescent="0.25">
      <c r="A133">
        <v>18</v>
      </c>
      <c r="B133" t="s">
        <v>42</v>
      </c>
      <c r="C133" t="s">
        <v>119</v>
      </c>
      <c r="D133" t="s">
        <v>128</v>
      </c>
      <c r="E133">
        <v>780.21300502709198</v>
      </c>
    </row>
    <row r="134" spans="1:5" x14ac:dyDescent="0.25">
      <c r="A134">
        <v>19</v>
      </c>
      <c r="B134" t="s">
        <v>43</v>
      </c>
      <c r="C134" t="s">
        <v>119</v>
      </c>
      <c r="D134" t="s">
        <v>128</v>
      </c>
      <c r="E134">
        <v>2187.80040120696</v>
      </c>
    </row>
    <row r="135" spans="1:5" x14ac:dyDescent="0.25">
      <c r="A135">
        <v>20</v>
      </c>
      <c r="B135" t="s">
        <v>44</v>
      </c>
      <c r="C135" t="s">
        <v>119</v>
      </c>
      <c r="D135" t="s">
        <v>128</v>
      </c>
      <c r="E135">
        <v>1856.00857398485</v>
      </c>
    </row>
    <row r="136" spans="1:5" x14ac:dyDescent="0.25">
      <c r="A136">
        <v>21</v>
      </c>
      <c r="B136" t="s">
        <v>45</v>
      </c>
      <c r="C136" t="s">
        <v>119</v>
      </c>
      <c r="D136" t="s">
        <v>128</v>
      </c>
      <c r="E136">
        <v>148.63442939504799</v>
      </c>
    </row>
    <row r="137" spans="1:5" x14ac:dyDescent="0.25">
      <c r="A137">
        <v>22</v>
      </c>
      <c r="B137" t="s">
        <v>46</v>
      </c>
      <c r="C137" t="s">
        <v>119</v>
      </c>
      <c r="D137" t="s">
        <v>128</v>
      </c>
      <c r="E137">
        <v>3.7916945858297302</v>
      </c>
    </row>
    <row r="138" spans="1:5" x14ac:dyDescent="0.25">
      <c r="A138">
        <v>23</v>
      </c>
      <c r="B138" t="s">
        <v>47</v>
      </c>
      <c r="C138" t="s">
        <v>119</v>
      </c>
      <c r="D138" t="s">
        <v>128</v>
      </c>
      <c r="E138">
        <v>0</v>
      </c>
    </row>
    <row r="139" spans="1:5" x14ac:dyDescent="0.25">
      <c r="A139">
        <v>24</v>
      </c>
      <c r="B139" t="s">
        <v>48</v>
      </c>
      <c r="C139" t="s">
        <v>119</v>
      </c>
      <c r="D139" t="s">
        <v>128</v>
      </c>
      <c r="E139">
        <v>0</v>
      </c>
    </row>
    <row r="140" spans="1:5" x14ac:dyDescent="0.25">
      <c r="A140">
        <v>25</v>
      </c>
      <c r="B140" t="s">
        <v>49</v>
      </c>
      <c r="C140" t="s">
        <v>119</v>
      </c>
      <c r="D140" t="s">
        <v>128</v>
      </c>
      <c r="E140">
        <v>0</v>
      </c>
    </row>
    <row r="141" spans="1:5" x14ac:dyDescent="0.25">
      <c r="A141">
        <v>26</v>
      </c>
      <c r="B141" t="s">
        <v>50</v>
      </c>
      <c r="C141" t="s">
        <v>119</v>
      </c>
      <c r="D141" t="s">
        <v>128</v>
      </c>
      <c r="E141">
        <v>0</v>
      </c>
    </row>
    <row r="142" spans="1:5" x14ac:dyDescent="0.25">
      <c r="A142">
        <v>27</v>
      </c>
      <c r="B142" t="s">
        <v>51</v>
      </c>
      <c r="C142" t="s">
        <v>119</v>
      </c>
      <c r="D142" t="s">
        <v>128</v>
      </c>
      <c r="E142">
        <v>0</v>
      </c>
    </row>
    <row r="143" spans="1:5" x14ac:dyDescent="0.25">
      <c r="A143">
        <v>28</v>
      </c>
      <c r="B143" t="s">
        <v>52</v>
      </c>
      <c r="C143" t="s">
        <v>119</v>
      </c>
      <c r="D143" t="s">
        <v>128</v>
      </c>
      <c r="E143">
        <v>0</v>
      </c>
    </row>
    <row r="144" spans="1:5" x14ac:dyDescent="0.25">
      <c r="A144">
        <v>29</v>
      </c>
      <c r="B144" t="s">
        <v>53</v>
      </c>
      <c r="C144" t="s">
        <v>119</v>
      </c>
      <c r="D144" t="s">
        <v>128</v>
      </c>
      <c r="E144">
        <v>0</v>
      </c>
    </row>
    <row r="145" spans="1:5" x14ac:dyDescent="0.25">
      <c r="A145">
        <v>30</v>
      </c>
      <c r="B145" t="s">
        <v>54</v>
      </c>
      <c r="C145" t="s">
        <v>119</v>
      </c>
      <c r="D145" t="s">
        <v>128</v>
      </c>
      <c r="E14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Study id</vt:lpstr>
      <vt:lpstr>Stages description</vt:lpstr>
      <vt:lpstr>Actor types</vt:lpstr>
      <vt:lpstr>Farm gate price In final price</vt:lpstr>
      <vt:lpstr>Flow by actor type</vt:lpstr>
      <vt:lpstr>AFA Translations</vt:lpstr>
      <vt:lpstr>Indicator by actor type</vt:lpstr>
      <vt:lpstr>Imported And exported goods</vt:lpstr>
      <vt:lpstr>Direct value added receivers</vt:lpstr>
      <vt:lpstr>Employment</vt:lpstr>
      <vt:lpstr>Account by actor 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Frédéric LANCON</dc:creator>
  <cp:lastModifiedBy>Frédéric LANCON</cp:lastModifiedBy>
  <dcterms:created xsi:type="dcterms:W3CDTF">2026-10-06T14:33:04Z</dcterms:created>
  <dcterms:modified xsi:type="dcterms:W3CDTF">2026-10-07T15:14:09Z</dcterms:modified>
</cp:coreProperties>
</file>