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codeName="ThisWorkbook" autoCompressPictures="0" defaultThemeVersion="124226"/>
  <mc:AlternateContent xmlns:mc="http://schemas.openxmlformats.org/markup-compatibility/2006">
    <mc:Choice Requires="x15">
      <x15ac:absPath xmlns:x15ac="http://schemas.microsoft.com/office/spreadsheetml/2010/11/ac" url="T:\3.2 The VCA Studies Phase II\15. PTOM - Volaille\5. Final Report\social\"/>
    </mc:Choice>
  </mc:AlternateContent>
  <xr:revisionPtr revIDLastSave="0" documentId="13_ncr:1_{8B5E7C46-630E-449C-8823-E6C6C55B5CA7}" xr6:coauthVersionLast="47" xr6:coauthVersionMax="47" xr10:uidLastSave="{00000000-0000-0000-0000-000000000000}"/>
  <bookViews>
    <workbookView xWindow="-110" yWindow="-110" windowWidth="19420" windowHeight="10300" xr2:uid="{00000000-000D-0000-FFFF-FFFF00000000}"/>
  </bookViews>
  <sheets>
    <sheet name="Profile" sheetId="1" r:id="rId1"/>
    <sheet name="Register" sheetId="2" r:id="rId2"/>
    <sheet name="Questionnaire" sheetId="3" r:id="rId3"/>
    <sheet name="Guidance" sheetId="4" r:id="rId4"/>
  </sheets>
  <definedNames>
    <definedName name="_xlnm._FilterDatabase" localSheetId="2" hidden="1">Questionnaire!$A$1:$N$120</definedName>
    <definedName name="_xlnm.Print_Area" localSheetId="0">Profile!$A$1:$G$29</definedName>
    <definedName name="_xlnm.Print_Area" localSheetId="2">Questionnaire!$A$1:$L$121</definedName>
    <definedName name="_xlnm.Print_Area" localSheetId="1">Register!$A$1:$I$39</definedName>
    <definedName name="_xlnm.Print_Titles" localSheetId="2">Questionnaire!$2:$2</definedName>
    <definedName name="_xlnm.Print_Titles" localSheetId="1">Register!$1:$4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34" i="2" l="1"/>
  <c r="A13" i="2"/>
  <c r="E5" i="3"/>
  <c r="E113" i="3"/>
  <c r="E25" i="3"/>
  <c r="A10" i="4" l="1"/>
  <c r="A11" i="4" s="1"/>
  <c r="A12" i="4" s="1"/>
  <c r="A13" i="4" s="1"/>
  <c r="A15" i="4" s="1"/>
  <c r="A16" i="4" s="1"/>
  <c r="A17" i="4" s="1"/>
  <c r="A18" i="4" s="1"/>
  <c r="A20" i="4" s="1"/>
  <c r="E119" i="3" l="1"/>
  <c r="E118" i="3"/>
  <c r="E117" i="3"/>
  <c r="E114" i="3"/>
  <c r="E112" i="3"/>
  <c r="E109" i="3"/>
  <c r="E108" i="3"/>
  <c r="E105" i="3"/>
  <c r="E104" i="3"/>
  <c r="E103" i="3"/>
  <c r="E99" i="3"/>
  <c r="E98" i="3"/>
  <c r="E97" i="3"/>
  <c r="E94" i="3"/>
  <c r="E93" i="3"/>
  <c r="E90" i="3"/>
  <c r="E89" i="3"/>
  <c r="E88" i="3"/>
  <c r="E84" i="3"/>
  <c r="D84" i="3" s="1"/>
  <c r="E43" i="3"/>
  <c r="D43" i="3" s="1"/>
  <c r="E37" i="3"/>
  <c r="E36" i="3"/>
  <c r="E35" i="3"/>
  <c r="E34" i="3"/>
  <c r="E31" i="3"/>
  <c r="E30" i="3"/>
  <c r="E29" i="3"/>
  <c r="E28" i="3"/>
  <c r="E24" i="3"/>
  <c r="E26" i="3" s="1"/>
  <c r="E20" i="3"/>
  <c r="E19" i="3"/>
  <c r="E16" i="3"/>
  <c r="E17" i="3" s="1"/>
  <c r="E13" i="3"/>
  <c r="E12" i="3"/>
  <c r="E9" i="3"/>
  <c r="E8" i="3"/>
  <c r="E7" i="3"/>
  <c r="E6" i="3"/>
  <c r="E66" i="3" l="1"/>
  <c r="D66" i="3" s="1"/>
  <c r="E75" i="3"/>
  <c r="D75" i="3" s="1"/>
  <c r="E106" i="3"/>
  <c r="D106" i="3" s="1"/>
  <c r="E120" i="3"/>
  <c r="D120" i="3" s="1"/>
  <c r="E49" i="3"/>
  <c r="D49" i="3" s="1"/>
  <c r="E56" i="3"/>
  <c r="D56" i="3" s="1"/>
  <c r="E91" i="3"/>
  <c r="D91" i="3" s="1"/>
  <c r="E95" i="3"/>
  <c r="D95" i="3" s="1"/>
  <c r="E110" i="3"/>
  <c r="D110" i="3" s="1"/>
  <c r="E62" i="3"/>
  <c r="D62" i="3" s="1"/>
  <c r="E32" i="3"/>
  <c r="D32" i="3" s="1"/>
  <c r="E38" i="3"/>
  <c r="D38" i="3" s="1"/>
  <c r="E100" i="3"/>
  <c r="D100" i="3" s="1"/>
  <c r="E71" i="3"/>
  <c r="D71" i="3" s="1"/>
  <c r="E80" i="3"/>
  <c r="D80" i="3" s="1"/>
  <c r="E21" i="3"/>
  <c r="E115" i="3"/>
  <c r="D115" i="3" s="1"/>
  <c r="E14" i="3"/>
  <c r="D14" i="3" s="1"/>
  <c r="E10" i="3"/>
  <c r="D10" i="3" s="1"/>
  <c r="D26" i="3"/>
  <c r="H33" i="2"/>
  <c r="A32" i="2"/>
  <c r="A31" i="2"/>
  <c r="A30" i="2"/>
  <c r="A18" i="1"/>
  <c r="G18" i="1" l="1"/>
  <c r="F100" i="3"/>
  <c r="I100" i="3"/>
  <c r="I95" i="3"/>
  <c r="F91" i="3"/>
  <c r="I91" i="3"/>
  <c r="F95" i="3"/>
  <c r="D1" i="2"/>
  <c r="G1" i="2"/>
  <c r="J1" i="3"/>
  <c r="D1" i="3"/>
  <c r="B1" i="3"/>
  <c r="A1" i="2"/>
  <c r="J100" i="3" l="1"/>
  <c r="B32" i="2" s="1"/>
  <c r="J91" i="3"/>
  <c r="B30" i="2" s="1"/>
  <c r="C30" i="2" s="1"/>
  <c r="J95" i="3"/>
  <c r="B31" i="2" s="1"/>
  <c r="L7" i="2"/>
  <c r="L6" i="2"/>
  <c r="L5" i="2"/>
  <c r="L4" i="2"/>
  <c r="L3" i="2"/>
  <c r="A38" i="2"/>
  <c r="A37" i="2"/>
  <c r="A36" i="2"/>
  <c r="A35" i="2"/>
  <c r="A19" i="1"/>
  <c r="A27" i="2"/>
  <c r="A26" i="2"/>
  <c r="A25" i="2"/>
  <c r="A24" i="2"/>
  <c r="A23" i="2"/>
  <c r="A17" i="1" s="1"/>
  <c r="A21" i="2"/>
  <c r="A20" i="2"/>
  <c r="A19" i="2"/>
  <c r="A18" i="2"/>
  <c r="A17" i="2"/>
  <c r="A16" i="2"/>
  <c r="A16" i="1" s="1"/>
  <c r="A14" i="2"/>
  <c r="A12" i="2"/>
  <c r="A11" i="2"/>
  <c r="A15" i="1" s="1"/>
  <c r="A5" i="2"/>
  <c r="A14" i="1" s="1"/>
  <c r="A9" i="2"/>
  <c r="A8" i="2"/>
  <c r="A7" i="2"/>
  <c r="A6" i="2"/>
  <c r="D31" i="2" l="1"/>
  <c r="C31" i="2"/>
  <c r="C32" i="2"/>
  <c r="D32" i="2"/>
  <c r="B33" i="2"/>
  <c r="D18" i="1" s="1"/>
  <c r="I35" i="2"/>
  <c r="I30" i="2"/>
  <c r="I25" i="2"/>
  <c r="I20" i="2"/>
  <c r="I6" i="2"/>
  <c r="I24" i="2"/>
  <c r="I19" i="2"/>
  <c r="I14" i="2"/>
  <c r="I9" i="2"/>
  <c r="I32" i="2"/>
  <c r="I13" i="2"/>
  <c r="I38" i="2"/>
  <c r="I36" i="2"/>
  <c r="I31" i="2"/>
  <c r="I26" i="2"/>
  <c r="I21" i="2"/>
  <c r="I17" i="2"/>
  <c r="I12" i="2"/>
  <c r="I7" i="2"/>
  <c r="I37" i="2"/>
  <c r="I27" i="2"/>
  <c r="I18" i="2"/>
  <c r="I8" i="2"/>
  <c r="I33" i="2"/>
  <c r="F18" i="1" s="1"/>
  <c r="D30" i="2"/>
  <c r="I26" i="3"/>
  <c r="J26" i="3" s="1"/>
  <c r="D17" i="3"/>
  <c r="D33" i="2" l="1"/>
  <c r="E18" i="1" s="1"/>
  <c r="C33" i="2"/>
  <c r="C18" i="1" s="1"/>
  <c r="F49" i="3"/>
  <c r="I14" i="3"/>
  <c r="J14" i="3" s="1"/>
  <c r="D21" i="3"/>
  <c r="I10" i="3" l="1"/>
  <c r="J10" i="3" l="1"/>
  <c r="B6" i="2" s="1"/>
  <c r="C6" i="2" s="1"/>
  <c r="F80" i="3"/>
  <c r="I80" i="3"/>
  <c r="F75" i="3"/>
  <c r="I75" i="3"/>
  <c r="F71" i="3"/>
  <c r="J75" i="3" l="1"/>
  <c r="B25" i="2" s="1"/>
  <c r="C25" i="2" s="1"/>
  <c r="J80" i="3"/>
  <c r="B26" i="2" s="1"/>
  <c r="C26" i="2" s="1"/>
  <c r="H39" i="2"/>
  <c r="G12" i="1"/>
  <c r="H28" i="2"/>
  <c r="H22" i="2"/>
  <c r="I22" i="2" s="1"/>
  <c r="H10" i="2"/>
  <c r="H15" i="2"/>
  <c r="I15" i="1"/>
  <c r="I19" i="1"/>
  <c r="I14" i="1"/>
  <c r="I20" i="1" s="1"/>
  <c r="I17" i="1"/>
  <c r="I16" i="1"/>
  <c r="I28" i="2" l="1"/>
  <c r="F17" i="1" s="1"/>
  <c r="I15" i="2"/>
  <c r="F15" i="1" s="1"/>
  <c r="I10" i="2"/>
  <c r="F14" i="1" s="1"/>
  <c r="I39" i="2"/>
  <c r="F19" i="1" s="1"/>
  <c r="G19" i="1"/>
  <c r="G17" i="1"/>
  <c r="G14" i="1"/>
  <c r="G15" i="1"/>
  <c r="G16" i="1"/>
  <c r="F16" i="1"/>
  <c r="I17" i="3"/>
  <c r="I71" i="3"/>
  <c r="F84" i="3"/>
  <c r="I43" i="3"/>
  <c r="J43" i="3" s="1"/>
  <c r="F62" i="3"/>
  <c r="I66" i="3"/>
  <c r="J66" i="3" s="1"/>
  <c r="F106" i="3"/>
  <c r="I120" i="3"/>
  <c r="I32" i="3"/>
  <c r="J32" i="3" s="1"/>
  <c r="I49" i="3"/>
  <c r="J49" i="3" s="1"/>
  <c r="F115" i="3"/>
  <c r="F66" i="3"/>
  <c r="F38" i="3"/>
  <c r="I38" i="3"/>
  <c r="I56" i="3"/>
  <c r="J56" i="3" s="1"/>
  <c r="F56" i="3"/>
  <c r="B12" i="2"/>
  <c r="C12" i="2" s="1"/>
  <c r="F26" i="3"/>
  <c r="F21" i="3"/>
  <c r="F17" i="3"/>
  <c r="J38" i="3" l="1"/>
  <c r="B14" i="2" s="1"/>
  <c r="C14" i="2" s="1"/>
  <c r="J71" i="3"/>
  <c r="B24" i="2" s="1"/>
  <c r="J120" i="3"/>
  <c r="B38" i="2" s="1"/>
  <c r="C38" i="2" s="1"/>
  <c r="J17" i="3"/>
  <c r="B8" i="2" s="1"/>
  <c r="C8" i="2" s="1"/>
  <c r="D12" i="2"/>
  <c r="I110" i="3"/>
  <c r="F110" i="3"/>
  <c r="B19" i="2"/>
  <c r="C19" i="2" s="1"/>
  <c r="B18" i="2"/>
  <c r="C18" i="2" s="1"/>
  <c r="B21" i="2"/>
  <c r="C21" i="2" s="1"/>
  <c r="B17" i="2"/>
  <c r="C17" i="2" s="1"/>
  <c r="I62" i="3"/>
  <c r="J62" i="3" s="1"/>
  <c r="B13" i="2"/>
  <c r="C13" i="2" s="1"/>
  <c r="I21" i="3"/>
  <c r="F32" i="3"/>
  <c r="F14" i="3"/>
  <c r="I106" i="3"/>
  <c r="J106" i="3" s="1"/>
  <c r="F43" i="3"/>
  <c r="I84" i="3"/>
  <c r="J84" i="3" s="1"/>
  <c r="F120" i="3"/>
  <c r="I115" i="3"/>
  <c r="J115" i="3" s="1"/>
  <c r="F10" i="3"/>
  <c r="C24" i="2" l="1"/>
  <c r="D24" i="2"/>
  <c r="J21" i="3"/>
  <c r="B9" i="2" s="1"/>
  <c r="J110" i="3"/>
  <c r="B36" i="2" s="1"/>
  <c r="C36" i="2" s="1"/>
  <c r="B15" i="2"/>
  <c r="C15" i="2" s="1"/>
  <c r="D21" i="2"/>
  <c r="D19" i="2"/>
  <c r="D18" i="2"/>
  <c r="B35" i="2"/>
  <c r="C35" i="2" s="1"/>
  <c r="B37" i="2"/>
  <c r="C37" i="2" s="1"/>
  <c r="B27" i="2"/>
  <c r="D14" i="2"/>
  <c r="D17" i="2"/>
  <c r="D25" i="2"/>
  <c r="B20" i="2"/>
  <c r="D13" i="2"/>
  <c r="B7" i="2"/>
  <c r="D8" i="2"/>
  <c r="C9" i="2" l="1"/>
  <c r="D9" i="2"/>
  <c r="B28" i="2"/>
  <c r="C28" i="2" s="1"/>
  <c r="C27" i="2"/>
  <c r="B22" i="2"/>
  <c r="C22" i="2" s="1"/>
  <c r="C20" i="2"/>
  <c r="D15" i="2"/>
  <c r="E15" i="1" s="1"/>
  <c r="B10" i="2"/>
  <c r="C10" i="2" s="1"/>
  <c r="C7" i="2"/>
  <c r="B39" i="2"/>
  <c r="C15" i="1"/>
  <c r="D37" i="2"/>
  <c r="D27" i="2"/>
  <c r="D20" i="2"/>
  <c r="D15" i="1"/>
  <c r="D7" i="2"/>
  <c r="D38" i="2"/>
  <c r="D36" i="2"/>
  <c r="D35" i="2"/>
  <c r="D26" i="2"/>
  <c r="D6" i="2"/>
  <c r="D22" i="2" l="1"/>
  <c r="E16" i="1" s="1"/>
  <c r="D39" i="2"/>
  <c r="E19" i="1" s="1"/>
  <c r="D17" i="1"/>
  <c r="D28" i="2"/>
  <c r="E17" i="1" s="1"/>
  <c r="C17" i="1"/>
  <c r="C16" i="1"/>
  <c r="D16" i="1"/>
  <c r="D10" i="2"/>
  <c r="E14" i="1" s="1"/>
  <c r="C14" i="1"/>
  <c r="C19" i="1"/>
  <c r="D19" i="1"/>
  <c r="D14" i="1"/>
</calcChain>
</file>

<file path=xl/sharedStrings.xml><?xml version="1.0" encoding="utf-8"?>
<sst xmlns="http://schemas.openxmlformats.org/spreadsheetml/2006/main" count="494" uniqueCount="311">
  <si>
    <t>Question</t>
  </si>
  <si>
    <t>Score</t>
  </si>
  <si>
    <t>Source</t>
  </si>
  <si>
    <t>Low</t>
  </si>
  <si>
    <t>High</t>
  </si>
  <si>
    <t>Substantial</t>
  </si>
  <si>
    <t>Level</t>
  </si>
  <si>
    <t>Trend</t>
  </si>
  <si>
    <t>Dimension</t>
  </si>
  <si>
    <t>Major risks and possible negative consequences</t>
  </si>
  <si>
    <t>↑</t>
  </si>
  <si>
    <t>↓</t>
  </si>
  <si>
    <t>↔</t>
  </si>
  <si>
    <t>Average</t>
  </si>
  <si>
    <t>Tr_score</t>
  </si>
  <si>
    <t>Please add justification.</t>
  </si>
  <si>
    <t>Mitigating measures</t>
  </si>
  <si>
    <t>n/a</t>
  </si>
  <si>
    <t>Zero</t>
  </si>
  <si>
    <t>Medium</t>
  </si>
  <si>
    <t>Country:</t>
  </si>
  <si>
    <t>Final:</t>
  </si>
  <si>
    <t>Average:</t>
  </si>
  <si>
    <t>Date last modif.</t>
  </si>
  <si>
    <t xml:space="preserve">  Date Last Modification: </t>
  </si>
  <si>
    <t>Value chain:</t>
  </si>
  <si>
    <t>1.2 Child Labour</t>
  </si>
  <si>
    <t>1.1 Respect of labour rights</t>
  </si>
  <si>
    <t>1.1.2 Is freedom of association allowed and effective (collective bargaining)?</t>
  </si>
  <si>
    <t>1.3 Job safety</t>
  </si>
  <si>
    <t>Good reasons for restictions make the question non applicable</t>
  </si>
  <si>
    <t>3.1 Economic activities</t>
  </si>
  <si>
    <t>3.2 Access to resources and services</t>
  </si>
  <si>
    <t xml:space="preserve">3.4.2 Do women have leadership positions within the organisations they are part of? </t>
  </si>
  <si>
    <t xml:space="preserve">3.4.3 Do women have the power to influence services, territorial power and policy decision making? </t>
  </si>
  <si>
    <t>3.4.4 Do women speak in public?</t>
  </si>
  <si>
    <t>3.4.1 Are women members of groups, trade unions, farmers' organisations?</t>
  </si>
  <si>
    <t>3.2.2 Do women have equal land rights as men?</t>
  </si>
  <si>
    <t>1.1.4 To what extent are risks of forced labour in any segment of the value chain minimised?</t>
  </si>
  <si>
    <t>3.1.1 Are risks of women being excluded from certain segments of the value chain minimised?</t>
  </si>
  <si>
    <t>Moderate/Low</t>
  </si>
  <si>
    <t xml:space="preserve">4.2 Accessibility of food </t>
  </si>
  <si>
    <t xml:space="preserve">2.1 Adherence to VGGT </t>
  </si>
  <si>
    <t>2.2.2 Level of accessibility of intervention policies, laws, procedures and decisions to all stakeholders of the value chain?</t>
  </si>
  <si>
    <t>Respond 'High' if formal contract exists</t>
  </si>
  <si>
    <t>2.2 Transparency, participation and consultation</t>
  </si>
  <si>
    <t>2.3  Equity,compensation and justice</t>
  </si>
  <si>
    <t>2.3.1  Do the locally applied rules promote secure and equitable tenure rights or access to land and water?</t>
  </si>
  <si>
    <t>2.3.2 In case disruption of livelihoods is expected, have alternative strategies been considered?</t>
  </si>
  <si>
    <t xml:space="preserve">4.1.1 Does the local production of food increase?
</t>
  </si>
  <si>
    <t xml:space="preserve">4.1.2 Are food supplies increasing on local markets? 
</t>
  </si>
  <si>
    <t xml:space="preserve">4.3 Utilisation and nutritional adequacy </t>
  </si>
  <si>
    <r>
      <t xml:space="preserve">4.3.1 Is the nutritional quality of available food improving?  </t>
    </r>
    <r>
      <rPr>
        <i/>
        <sz val="11"/>
        <rFont val="Arial"/>
        <family val="2"/>
      </rPr>
      <t xml:space="preserve">
</t>
    </r>
  </si>
  <si>
    <t>4.3.2 Are nutritional practices being improved?</t>
  </si>
  <si>
    <t xml:space="preserve">4.2.2 Are (relative) consumers food prices decreasing? </t>
  </si>
  <si>
    <t xml:space="preserve">4.4 Stability </t>
  </si>
  <si>
    <t xml:space="preserve">1.1.5 To what extent are any risks of discrimination in employment for specific categories of the population minimised? </t>
  </si>
  <si>
    <t xml:space="preserve">2.2.3  Level of participation and consultation of all individuals and groups in the decision-making process? </t>
  </si>
  <si>
    <t xml:space="preserve">2.2.4 To what extent prior consent of those affected by the decisions was reached? </t>
  </si>
  <si>
    <t>2.1.2 If large scale investments for land aquisition are at stake, do the involved companies/institutions apply the 'Guide to due diligence of agribusiness projects that affect land and property rights'?</t>
  </si>
  <si>
    <t>Consider as entry point for the analysis the current state of play of the country specific land governance (policy, legislation, institutions/actors, enacting and application of legislation in particular as regards the consideration/impact on smallholders, land administration). This is important to know/judge if government legislation and/or customary rights matter</t>
  </si>
  <si>
    <t xml:space="preserve">How is adherence to VGGT done and is this publically acknowledged? </t>
  </si>
  <si>
    <t>2.2.1  Level of prior disclosure of project related information to local stakeholders?</t>
  </si>
  <si>
    <t>Practice of legal recognition and allocation of land rights in the sphere of value chain investment: formal, customary and informal land rights, rights of indigenous people, pastoralists, contracts… To which extent doeas the value chain investment impact on local/traditional land governance?</t>
  </si>
  <si>
    <t xml:space="preserve">2.3.3 Where expropriation is indispensable: is a system for ensuring fair and prompt compensation in place (in accordance with the national law and publically acknowledged as being fair)?  </t>
  </si>
  <si>
    <t>2.3.4 Are there provisions foreseen to address stakeholder complains and for arbitration of possible conflicts caused by value chain investments?</t>
  </si>
  <si>
    <t>1.4 Attractiveness</t>
  </si>
  <si>
    <t>1.4.2 Are conditions of activities attractive for youth?</t>
  </si>
  <si>
    <t>1.1.1 To what extent do companies involved in the value chain respect the standards elaborated in the 8 fundamental ILO international labour conventions and in the ICESCR  and ICCPR?</t>
  </si>
  <si>
    <t>Risk assessment</t>
  </si>
  <si>
    <t>1.4.1 To what extent are remunerations in accordance with local standards?</t>
  </si>
  <si>
    <t xml:space="preserve">4.2.1 Do people have more income to allocate to food?  </t>
  </si>
  <si>
    <t>4.3.3 Is dietary diversity increased?</t>
  </si>
  <si>
    <t>Minimum number of food groups consumed by an individual over a reference period. Ref.: FAO Manual Minimum Dietary Diversity in Women (in preparation). This is relevant only if the baseline score is low.</t>
  </si>
  <si>
    <t>4.4.1 Is risk of periodic food shortage for household reduced?</t>
  </si>
  <si>
    <t xml:space="preserve">4.4.2 Is excessive food price variation reduced? </t>
  </si>
  <si>
    <t>Not at all</t>
  </si>
  <si>
    <t>Previous Analysis</t>
  </si>
  <si>
    <t>../../20..</t>
  </si>
  <si>
    <t>date:</t>
  </si>
  <si>
    <t>Domain</t>
  </si>
  <si>
    <t>Present profile</t>
  </si>
  <si>
    <t>Previous profile</t>
  </si>
  <si>
    <t>Comments</t>
  </si>
  <si>
    <t>Score level</t>
  </si>
  <si>
    <t>Count</t>
  </si>
  <si>
    <t>Risk/Cost of Non-Intervention vs. Benefits</t>
  </si>
  <si>
    <r>
      <rPr>
        <b/>
        <i/>
        <sz val="9"/>
        <rFont val="Arial"/>
        <family val="2"/>
      </rPr>
      <t>Justification if adjustment of the score level =</t>
    </r>
    <r>
      <rPr>
        <i/>
        <sz val="9"/>
        <rFont val="Arial"/>
        <family val="2"/>
      </rPr>
      <t xml:space="preserve"> …</t>
    </r>
  </si>
  <si>
    <t>Explanations on questions</t>
  </si>
  <si>
    <t>Question n°</t>
  </si>
  <si>
    <t>1.2.1</t>
  </si>
  <si>
    <t>1.2.2</t>
  </si>
  <si>
    <t>Cf: Guidance</t>
  </si>
  <si>
    <t>1.4.1</t>
  </si>
  <si>
    <t>Remuneration: provision of income allowing workers to support themselves and their families.</t>
  </si>
  <si>
    <t>2.1.1</t>
  </si>
  <si>
    <t>2.2.4</t>
  </si>
  <si>
    <t>2.3.1</t>
  </si>
  <si>
    <t>3.1.1</t>
  </si>
  <si>
    <t xml:space="preserve">The complexity of the food and nutrition security sector implies that, for the purpose of this social profile, it should be analysed from the point of view of changes and evolution of the systems </t>
  </si>
  <si>
    <t>4.1.1</t>
  </si>
  <si>
    <t>4.1.2</t>
  </si>
  <si>
    <t>4.2.2</t>
  </si>
  <si>
    <t>4.3.2</t>
  </si>
  <si>
    <t xml:space="preserve">As nutritional practices please consider: nutrition policies and strategies, nutrition-training, education, the setting up of coordination mechanisms between agriculture, health, education, and social protection sectors. Do such nutritional practises target pregnant and lactating women as well as children under five (with a stronger emphasis on those under the age of two)? </t>
  </si>
  <si>
    <t>4.3.3</t>
  </si>
  <si>
    <t>4.4.2</t>
  </si>
  <si>
    <t>5.1.2</t>
  </si>
  <si>
    <t>Health facilities: health center, buildings, equipments…</t>
  </si>
  <si>
    <t>Health services: availabilty of nurse, doctors…</t>
  </si>
  <si>
    <t>5.3.2</t>
  </si>
  <si>
    <t>Impact on food prices; impact on revenues =&gt; link with Economic analysis.</t>
  </si>
  <si>
    <t>Import, transport, stock, market institutions.</t>
  </si>
  <si>
    <t>Price variation can be seasonal or transitory due to any type of shock.</t>
  </si>
  <si>
    <t>Affordability: consider prices for health services or possible existance of health insurance.</t>
  </si>
  <si>
    <t>The reply to this question might be 'non applicable' if the reply to 5.3.2 is 'high'.</t>
  </si>
  <si>
    <t>CFS RAI: principle 9 on meanigful information, consultation and decision making processes.</t>
  </si>
  <si>
    <t>CFS RAI: principle 7 on respect cultural heritage and traditional knowledge and support diversity and innovation.</t>
  </si>
  <si>
    <t>How to use the Social Profile Tool</t>
  </si>
  <si>
    <t>Warning</t>
  </si>
  <si>
    <t>Country :</t>
  </si>
  <si>
    <t>Initial count</t>
  </si>
  <si>
    <t>Used in sheets:</t>
  </si>
  <si>
    <t>Ranges used for averages</t>
  </si>
  <si>
    <t>"Questionnaire"</t>
  </si>
  <si>
    <t>"Questionnaire", "Register" and "Profile"</t>
  </si>
  <si>
    <t>-</t>
  </si>
  <si>
    <t>&lt; 1.50</t>
  </si>
  <si>
    <r>
      <t xml:space="preserve">Questionnaire </t>
    </r>
    <r>
      <rPr>
        <sz val="12"/>
        <rFont val="Times New Roman"/>
        <family val="1"/>
      </rPr>
      <t>sheet</t>
    </r>
  </si>
  <si>
    <r>
      <t xml:space="preserve">Register </t>
    </r>
    <r>
      <rPr>
        <sz val="12"/>
        <rFont val="Times New Roman"/>
        <family val="1"/>
      </rPr>
      <t>sheet</t>
    </r>
  </si>
  <si>
    <r>
      <t xml:space="preserve">Profile </t>
    </r>
    <r>
      <rPr>
        <sz val="12"/>
        <rFont val="Times New Roman"/>
        <family val="1"/>
      </rPr>
      <t>sheet</t>
    </r>
  </si>
  <si>
    <r>
      <t xml:space="preserve">How does the profile calculate?           </t>
    </r>
    <r>
      <rPr>
        <b/>
        <sz val="10"/>
        <color rgb="FFC00000"/>
        <rFont val="Wingdings"/>
        <charset val="2"/>
      </rPr>
      <t>è     è     è     è     è     è     è     è</t>
    </r>
  </si>
  <si>
    <r>
      <rPr>
        <sz val="10"/>
        <rFont val="Calibri"/>
        <family val="2"/>
      </rPr>
      <t>≥</t>
    </r>
    <r>
      <rPr>
        <sz val="10"/>
        <rFont val="Arial"/>
        <family val="2"/>
      </rPr>
      <t xml:space="preserve"> 3.5</t>
    </r>
  </si>
  <si>
    <t>2.50 ≤     &lt; 3.50</t>
  </si>
  <si>
    <t>1.50 ≤     &lt; 2.50</t>
  </si>
  <si>
    <t xml:space="preserve">3.1.2 To what extent are women active in the value chain (as producers, processors, workers, traders…)? </t>
  </si>
  <si>
    <t>3.2.1 Do women have ownership of assets (other than land)?</t>
  </si>
  <si>
    <t>3.3.2 To what extent are women autonomous in the organisation of their work?</t>
  </si>
  <si>
    <t>3.2.3 Do women have access to credit?</t>
  </si>
  <si>
    <t xml:space="preserve">3.2.4 Do women have access to other services (extension services, inputs…)? </t>
  </si>
  <si>
    <t>3.3.3 Do women have control over income?</t>
  </si>
  <si>
    <t>3.3.1 To what extent do women take part in the decisions related to production?</t>
  </si>
  <si>
    <t>3.3 Decision making</t>
  </si>
  <si>
    <t>3.3.4 Do women earn independent income?</t>
  </si>
  <si>
    <t>3.2.5 Do women take part in decisions on the purchase, sale or transfer of assets?</t>
  </si>
  <si>
    <t>3.4 Leadership and empowerment</t>
  </si>
  <si>
    <t>3.5 Hardship and division of labour</t>
  </si>
  <si>
    <t>3.5.1 To what extent are the overall work loads of men and women equal (including domestic work and child care)?</t>
  </si>
  <si>
    <t>3.5.2 Are risks of women being subject to strenuous work minimised (e.g. using labour saving technologies…)?</t>
  </si>
  <si>
    <t>5.1.1 Do formal and informal farmer organisations /cooperatives participate in the value chain?</t>
  </si>
  <si>
    <t>5.1.2 How inclusive is group/cooperative membership?</t>
  </si>
  <si>
    <t xml:space="preserve">5.1.3 Do groups have representative and accountable leadership? </t>
  </si>
  <si>
    <t>Inclusiveness viewed from different perspectives: wealth strata, age, gender, ethnic or social groups…</t>
  </si>
  <si>
    <t>5.3 Social involvement</t>
  </si>
  <si>
    <t xml:space="preserve">5.3.1 Do communities participate in decisions that impact their livelihood? </t>
  </si>
  <si>
    <t>5.3.2 Are there actions to ensure respect of traditional knowledge and resources?</t>
  </si>
  <si>
    <t xml:space="preserve">5.3.3 Is there participation in voluntary communal activities for benefit of the community </t>
  </si>
  <si>
    <t>5.3.1</t>
  </si>
  <si>
    <t>6.1 Health services</t>
  </si>
  <si>
    <t>6.2 Housing</t>
  </si>
  <si>
    <t>6.3 Education and training</t>
  </si>
  <si>
    <t xml:space="preserve">6.3.3 Existence and quality of in-service vocational training provided by the investors in the value chain?
</t>
  </si>
  <si>
    <t>5.2 Information and confidence</t>
  </si>
  <si>
    <t xml:space="preserve">5.2.1 Do farmers in the value chain have access to information on agricultural practices, agricultural policies, and market prices? </t>
  </si>
  <si>
    <t>6.4 Mobility ??????</t>
  </si>
  <si>
    <t xml:space="preserve">6.4.1  </t>
  </si>
  <si>
    <t xml:space="preserve">6.4.2 </t>
  </si>
  <si>
    <t>6.1.1</t>
  </si>
  <si>
    <t>6.1.2</t>
  </si>
  <si>
    <t>6.1.3</t>
  </si>
  <si>
    <t>6.3.3</t>
  </si>
  <si>
    <t>5.1 Strength of producer organisations</t>
  </si>
  <si>
    <t>5.1.4 Are farmer groups, cooperatives and associations able to negotiate in input or output markets?</t>
  </si>
  <si>
    <t>5.2.2</t>
  </si>
  <si>
    <t>5.2.2 To what extent is the relation between value chain actors perceived as trustworthy?</t>
  </si>
  <si>
    <t>Explanations</t>
  </si>
  <si>
    <t>Verbal agreement, long lasting collaboration, contract, market, hierarchy… Looking upstream and downstream the VC.</t>
  </si>
  <si>
    <t>6.1.1 Do households have access to health facilities?</t>
  </si>
  <si>
    <t>6.1.2 Do households have access to health services?</t>
  </si>
  <si>
    <t>6.1.3  Are health services affordable for households?</t>
  </si>
  <si>
    <t>6.2.1 Do households have access to good quality accomodations?</t>
  </si>
  <si>
    <t xml:space="preserve">6.2.2 Do households have access to good quality water and sanitation facilities? </t>
  </si>
  <si>
    <t>6.3.1 Is primary education accessible to households?</t>
  </si>
  <si>
    <t>6.3.2 Are secondary and/or vocational education accessible to households?</t>
  </si>
  <si>
    <t xml:space="preserve">1.1.3 To what extent do workers benefit from enforceable and fair contracts </t>
  </si>
  <si>
    <t xml:space="preserve">1.2.1 Degree of school attendance in case  children are working (in any segment of the value chain)? </t>
  </si>
  <si>
    <t>1.2.2 Are children protected from exposure to harmful jobs?</t>
  </si>
  <si>
    <t>1.3.1 Degree of protection from accidents and health damages (in any segment of the value chain)?</t>
  </si>
  <si>
    <t>Does food availability increase? Production,export Yc transports (trucks…).</t>
  </si>
  <si>
    <t xml:space="preserve">6.4.3 </t>
  </si>
  <si>
    <r>
      <rPr>
        <b/>
        <sz val="12"/>
        <rFont val="Times New Roman"/>
        <family val="1"/>
      </rPr>
      <t>Only fill in blank cells and select score levels as they appear in the drop-down lists of the questionnaire!</t>
    </r>
    <r>
      <rPr>
        <sz val="12"/>
        <rFont val="Times New Roman"/>
        <family val="1"/>
      </rPr>
      <t xml:space="preserve">
Grey cells are automatically filled based on previous entries. Grey cells should never be changed by the user.</t>
    </r>
  </si>
  <si>
    <t>It is recommended to follow the steps below:</t>
  </si>
  <si>
    <t>Be careful in using "copy and paste" function that covers more than one cell, as you might interfere with non-visible formulas or cells used for calculations.</t>
  </si>
  <si>
    <r>
      <rPr>
        <b/>
        <sz val="12"/>
        <rFont val="Times New Roman"/>
        <family val="1"/>
      </rPr>
      <t>Fill in the name of the value chain, country and the date</t>
    </r>
    <r>
      <rPr>
        <sz val="12"/>
        <rFont val="Times New Roman"/>
        <family val="1"/>
      </rPr>
      <t xml:space="preserve"> of assessment in the first sheet "Profile". 
They will be copied automatically in the other sheets from where you cannot access these elements.</t>
    </r>
  </si>
  <si>
    <t>*</t>
  </si>
  <si>
    <t>**</t>
  </si>
  <si>
    <r>
      <rPr>
        <b/>
        <sz val="12"/>
        <rFont val="Times New Roman"/>
        <family val="1"/>
      </rPr>
      <t>Give a short justification for your choice</t>
    </r>
    <r>
      <rPr>
        <sz val="12"/>
        <rFont val="Times New Roman"/>
        <family val="1"/>
      </rPr>
      <t xml:space="preserve"> in the "Comments" column. </t>
    </r>
  </si>
  <si>
    <r>
      <rPr>
        <b/>
        <sz val="12"/>
        <rFont val="Times New Roman"/>
        <family val="1"/>
      </rPr>
      <t>Describe the major risks,</t>
    </r>
    <r>
      <rPr>
        <sz val="12"/>
        <rFont val="Times New Roman"/>
        <family val="1"/>
      </rPr>
      <t xml:space="preserve"> if any, in column E. 
All the questions assessed as "not at all" or "moderate/low" in the questionnaire need to be analyzed as possible risks or negative outcomes.
Major risks and negative consequences may be identified by the questionnaire, but could also include further issues to be pointed at. </t>
    </r>
  </si>
  <si>
    <r>
      <t xml:space="preserve">Describe the </t>
    </r>
    <r>
      <rPr>
        <b/>
        <sz val="12"/>
        <rFont val="Times New Roman"/>
        <family val="1"/>
      </rPr>
      <t>major mitigating measures</t>
    </r>
    <r>
      <rPr>
        <sz val="12"/>
        <rFont val="Times New Roman"/>
        <family val="1"/>
      </rPr>
      <t xml:space="preserve"> in column F.</t>
    </r>
  </si>
  <si>
    <r>
      <t xml:space="preserve">Insert date and </t>
    </r>
    <r>
      <rPr>
        <b/>
        <sz val="12"/>
        <rFont val="Times New Roman"/>
        <family val="1"/>
      </rPr>
      <t>copy scores of previous social profile</t>
    </r>
    <r>
      <rPr>
        <sz val="12"/>
        <rFont val="Times New Roman"/>
        <family val="1"/>
      </rPr>
      <t xml:space="preserve"> assessment (column H), if there has been one.</t>
    </r>
  </si>
  <si>
    <r>
      <rPr>
        <b/>
        <sz val="12"/>
        <rFont val="Times New Roman"/>
        <family val="1"/>
      </rPr>
      <t>Highlight progress done</t>
    </r>
    <r>
      <rPr>
        <sz val="12"/>
        <rFont val="Times New Roman"/>
        <family val="1"/>
      </rPr>
      <t xml:space="preserve"> in the implementation of specific measures since previous social profile assessment in column G "Comments".</t>
    </r>
  </si>
  <si>
    <r>
      <t xml:space="preserve">Provide an </t>
    </r>
    <r>
      <rPr>
        <b/>
        <sz val="12"/>
        <rFont val="Times New Roman"/>
        <family val="1"/>
      </rPr>
      <t>overall summary of the key issues and recommendations</t>
    </r>
    <r>
      <rPr>
        <sz val="12"/>
        <rFont val="Times New Roman"/>
        <family val="1"/>
      </rPr>
      <t xml:space="preserve">, the Risk and Cost of Non-Intervention vs. Benefits and the key mitigating measures. </t>
    </r>
  </si>
  <si>
    <r>
      <t>After some time of work and changes,</t>
    </r>
    <r>
      <rPr>
        <b/>
        <sz val="12"/>
        <color rgb="FFC00000"/>
        <rFont val="Arial"/>
        <family val="2"/>
      </rPr>
      <t xml:space="preserve">
                                  it happens that colours are not automatically selected</t>
    </r>
    <r>
      <rPr>
        <sz val="10"/>
        <color rgb="FFC00000"/>
        <rFont val="Arial"/>
        <family val="2"/>
      </rPr>
      <t>.</t>
    </r>
    <r>
      <rPr>
        <b/>
        <sz val="10"/>
        <color rgb="FFC00000"/>
        <rFont val="Arial"/>
        <family val="2"/>
      </rPr>
      <t xml:space="preserve"> 
                                                                      </t>
    </r>
    <r>
      <rPr>
        <b/>
        <sz val="12"/>
        <color rgb="FFC00000"/>
        <rFont val="Arial"/>
        <family val="2"/>
      </rPr>
      <t xml:space="preserve">=&gt; Save your work, close the file and open it again… </t>
    </r>
    <r>
      <rPr>
        <b/>
        <sz val="10"/>
        <color rgb="FFC00000"/>
        <rFont val="Arial"/>
        <family val="2"/>
      </rPr>
      <t>and it will work afresh!</t>
    </r>
  </si>
  <si>
    <r>
      <t xml:space="preserve">In the column "Source", you should include which </t>
    </r>
    <r>
      <rPr>
        <b/>
        <sz val="12"/>
        <rFont val="Times New Roman"/>
        <family val="1"/>
      </rPr>
      <t>source of information</t>
    </r>
    <r>
      <rPr>
        <sz val="12"/>
        <rFont val="Times New Roman"/>
        <family val="1"/>
      </rPr>
      <t xml:space="preserve"> you used for your judgement.</t>
    </r>
  </si>
  <si>
    <r>
      <t>The "</t>
    </r>
    <r>
      <rPr>
        <b/>
        <sz val="12"/>
        <rFont val="Times New Roman"/>
        <family val="1"/>
      </rPr>
      <t>Average</t>
    </r>
    <r>
      <rPr>
        <sz val="12"/>
        <rFont val="Times New Roman"/>
        <family val="1"/>
      </rPr>
      <t>" score level is automatically set as the unweighted average of the score levels for the underlying questions. 
In exceptional cases,</t>
    </r>
    <r>
      <rPr>
        <b/>
        <sz val="12"/>
        <rFont val="Times New Roman"/>
        <family val="1"/>
      </rPr>
      <t xml:space="preserve"> the average score level can be manually modified</t>
    </r>
    <r>
      <rPr>
        <sz val="12"/>
        <rFont val="Times New Roman"/>
        <family val="1"/>
      </rPr>
      <t xml:space="preserve"> using column I (cell next to "Final:"). This may be used in order to take into account important aspects not covered by the questions. 
In this case, </t>
    </r>
    <r>
      <rPr>
        <b/>
        <sz val="12"/>
        <rFont val="Times New Roman"/>
        <family val="1"/>
      </rPr>
      <t>a justification should be provided</t>
    </r>
    <r>
      <rPr>
        <sz val="12"/>
        <rFont val="Times New Roman"/>
        <family val="1"/>
      </rPr>
      <t xml:space="preserve"> (under "Comments", column K). 
Change can only be done to the immediate nearest score level or to n/a (otherwise the calculations will be wrong). 
</t>
    </r>
    <r>
      <rPr>
        <u/>
        <sz val="12"/>
        <rFont val="Times New Roman"/>
        <family val="1"/>
      </rPr>
      <t>NB</t>
    </r>
    <r>
      <rPr>
        <sz val="12"/>
        <rFont val="Times New Roman"/>
        <family val="1"/>
      </rPr>
      <t>: After making trials of adjustment of this cell, if you eventually want to let the initial automatic calculation work, it is necessary to reintroduce manually the reference of the corresponding D cell ("=Dx" for line x) to come back to the intial state of the spreadsheet.</t>
    </r>
  </si>
  <si>
    <t>When using this Excel tool, please take into account the following guiding principles:</t>
  </si>
  <si>
    <r>
      <rPr>
        <b/>
        <sz val="12"/>
        <rFont val="Times New Roman"/>
        <family val="1"/>
      </rPr>
      <t>Respond to each question by using the score levels</t>
    </r>
    <r>
      <rPr>
        <sz val="12"/>
        <rFont val="Times New Roman"/>
        <family val="1"/>
      </rPr>
      <t xml:space="preserve">: 
- </t>
    </r>
    <r>
      <rPr>
        <b/>
        <sz val="12"/>
        <color rgb="FF00B050"/>
        <rFont val="Times New Roman"/>
        <family val="1"/>
      </rPr>
      <t>High</t>
    </r>
    <r>
      <rPr>
        <sz val="12"/>
        <rFont val="Times New Roman"/>
        <family val="1"/>
      </rPr>
      <t xml:space="preserve">, 
- </t>
    </r>
    <r>
      <rPr>
        <b/>
        <sz val="12"/>
        <color rgb="FF92D050"/>
        <rFont val="Times New Roman"/>
        <family val="1"/>
      </rPr>
      <t>Substantial</t>
    </r>
    <r>
      <rPr>
        <sz val="12"/>
        <rFont val="Times New Roman"/>
        <family val="1"/>
      </rPr>
      <t xml:space="preserve">, 
- </t>
    </r>
    <r>
      <rPr>
        <b/>
        <sz val="12"/>
        <color rgb="FFFFC000"/>
        <rFont val="Times New Roman"/>
        <family val="1"/>
      </rPr>
      <t>Moderate/Low</t>
    </r>
    <r>
      <rPr>
        <sz val="12"/>
        <rFont val="Times New Roman"/>
        <family val="1"/>
      </rPr>
      <t xml:space="preserve">, 
- </t>
    </r>
    <r>
      <rPr>
        <b/>
        <sz val="12"/>
        <color rgb="FFFF0000"/>
        <rFont val="Times New Roman"/>
        <family val="1"/>
      </rPr>
      <t>Not at all</t>
    </r>
    <r>
      <rPr>
        <sz val="12"/>
        <rFont val="Times New Roman"/>
        <family val="1"/>
      </rPr>
      <t xml:space="preserve">,
- </t>
    </r>
    <r>
      <rPr>
        <b/>
        <sz val="12"/>
        <rFont val="Times New Roman"/>
        <family val="1"/>
      </rPr>
      <t>n/a</t>
    </r>
    <r>
      <rPr>
        <sz val="12"/>
        <rFont val="Times New Roman"/>
        <family val="1"/>
      </rPr>
      <t xml:space="preserve"> = </t>
    </r>
    <r>
      <rPr>
        <b/>
        <sz val="12"/>
        <rFont val="Times New Roman"/>
        <family val="1"/>
      </rPr>
      <t>not applicable</t>
    </r>
    <r>
      <rPr>
        <sz val="12"/>
        <rFont val="Times New Roman"/>
        <family val="1"/>
      </rPr>
      <t xml:space="preserve"> (when not relevant) or </t>
    </r>
    <r>
      <rPr>
        <b/>
        <sz val="12"/>
        <rFont val="Times New Roman"/>
        <family val="1"/>
      </rPr>
      <t>not available</t>
    </r>
    <r>
      <rPr>
        <sz val="12"/>
        <rFont val="Times New Roman"/>
        <family val="1"/>
      </rPr>
      <t xml:space="preserve"> (when not possible to reply). 
In your assessment, take into account the likelihood and the impact and consider the stage of the chain the most at risk.</t>
    </r>
  </si>
  <si>
    <t xml:space="preserve">4.1 Availability of food </t>
  </si>
  <si>
    <r>
      <t xml:space="preserve">SOCIAL PROFILE  </t>
    </r>
    <r>
      <rPr>
        <b/>
        <sz val="9"/>
        <color rgb="FFFF0000"/>
        <rFont val="Arial"/>
        <family val="2"/>
      </rPr>
      <t>(V.2017-0)</t>
    </r>
  </si>
  <si>
    <t>***</t>
  </si>
  <si>
    <r>
      <t>When writing comments and observation with text ending beyond the limits of the cell,</t>
    </r>
    <r>
      <rPr>
        <b/>
        <sz val="12"/>
        <rFont val="Times New Roman"/>
        <family val="1"/>
      </rPr>
      <t xml:space="preserve"> you can adjust the row height</t>
    </r>
    <r>
      <rPr>
        <sz val="12"/>
        <rFont val="Times New Roman"/>
        <family val="1"/>
      </rPr>
      <t xml:space="preserve"> by dragging down the bottom line of the row from the far left colum which shows the row numbers.</t>
    </r>
  </si>
  <si>
    <t>1. WORKING CONDITIONS</t>
  </si>
  <si>
    <t>2. LAND &amp; WATER RIGHTS</t>
  </si>
  <si>
    <t>3. GENDER EQUALITY</t>
  </si>
  <si>
    <t>4. FOOD AND NUTRITION SECURITY</t>
  </si>
  <si>
    <t>5. SOCIAL CAPITAL</t>
  </si>
  <si>
    <t>6. LIVING CONDITIONS</t>
  </si>
  <si>
    <t xml:space="preserve">Overall Recommendation by type of actor </t>
  </si>
  <si>
    <t>Major Issues - questions replied in red</t>
  </si>
  <si>
    <t xml:space="preserve">Key Mitigating Measures </t>
  </si>
  <si>
    <t>2.1.1 Do the companies/institutions involved in the value chain declare adhering/are aware to the VGGT? (Voluntary guidelines on the responsible governance of tenure)</t>
  </si>
  <si>
    <t>Poultry</t>
  </si>
  <si>
    <t xml:space="preserve"> 08 / 07 / 2024</t>
  </si>
  <si>
    <t xml:space="preserve">  </t>
  </si>
  <si>
    <t>5.SOCIAL CAPITAL</t>
  </si>
  <si>
    <t>La Nouvelle-Calédonie est signataire des six conventions internationales fondamentales du travail de l’organisation internationale du travail (OIT) à part entière. Le code du travail de la Nouvelle-Calédonie, basé sur la législation française du travail, est en vigueur et inclut un salaire minimum garanti ainsi qu’un temps de travail hebdomadaire maximal. Cependant, il y a très peu d’emplois rémunérés dans le secteur avicole, probablement moins de 150 postes. La plupart des entreprises artisanales étaient basées sur le travail familial.</t>
  </si>
  <si>
    <t xml:space="preserve">La liberté d’association est autorisée, mais les moyens de négociation collective dans le secteur agricole sont limités. </t>
  </si>
  <si>
    <t>Le code du travail de la Nouvelle-Calédonie couvre le contrat initial, les conditions de travail quotidiennes, la santé et la sécurité, ainsi que la résiliation d’emploi, ainsi que les mécanismes de résolution des différends, mais très peu de personnes sont employées dans le secteur de la volaille.</t>
  </si>
  <si>
    <t>Le code du travail de Nouvelle-Calédonie, basé sur la législation française du travail en vigueur et le travail forcé, est illégal. Le travail forcé est peu probable.</t>
  </si>
  <si>
    <t>Le code du travail de Nouvelle-Calédonie interdit la discrimination à l’emploi fondée sur plusieurs caractéristiques protégées. Les employeurs n’ont pas le droit de discriminer les employés ou les candidats lors du recrutement, de l’embauche, de la formation, de la promotion, de la rémunération et des licenciements. Cependant, les rôles dans le secteur de la volaille et du soutien tendent à être attribués au genre.</t>
  </si>
  <si>
    <t>Le nouveau système éducatif de Calédonie reflète celui de la France continentale et l’école est obligatoire de 6 à 16 ans. le code du travail de Nouvelle-Calédonie inclut des politiques visant à soutenir les enfants dans de telles situations à la transition vers l’éducation.</t>
  </si>
  <si>
    <t>Le Code du travail de Nouvelle-Calédonie interdit l’emploi des enfants et des jeunes de moins de 18 ans dans le travail de nuit ou dans des conditions dangereuses.</t>
  </si>
  <si>
    <t>Le droit du travail assure une protection de la santé et de la sécurité, mais les travailleurs de la production avicole sont exposés à la poussière avicole et doivent travailler dans des environnements chauds et humides. Les travailleurs de la transformation avicole sont exposés à accrocher des membres dans des machines, à se couper avec des couteaux et des objets tranchants, au sang et aux surfaces humides, et à développer des blessures dues à des tâches répétitives.</t>
  </si>
  <si>
    <t>Les travailleurs formels dans le secteur agricole reçoivent le SMAG ; ce chiffre était auparavant inférieur à celui des ouvriers industriels qui reçoivent la SMG pour le même nombre d’heures de travail mensuelles, mais cela a été modifié en janvier 2024 pour aligner le SMAG sur le SMG.</t>
  </si>
  <si>
    <t>Les jeunes ne sont généralement pas attirés par le travail dans le secteur avicole en raison du salaire plus bas, des conditions de travail difficiles et du travail le week-end.</t>
  </si>
  <si>
    <t>Une grande partie des terres destinées à la production commerciale de volailles a été achetée il y a plus de 30 ans par les parents des propriétaires actuels. Gie Meru opère sur des terres coutumières sous un GDPL.</t>
  </si>
  <si>
    <t>Sans rapport avec le secteur avicole en Nouvelle-Calédonie.</t>
  </si>
  <si>
    <t>Les questions ou changements proposés ayant des implications environnementales, comme la génération de pollution agricole, sont publiés en ligne par la province du Sud.</t>
  </si>
  <si>
    <t>Ces projets peuvent être partagés par la Chambre d’agriculture avec ses membres, par provinces (par exemple projet Province Sud Petits poulets) ou par Biocalédonie. Le site web de l’ADRAF fournit des détails sur ses procédures concernant l’attribution coutumière des terres. L’utilisation des terres est traitée au niveau provincial. Le Département de l’Urbanisme, du Développement et des Terres de la Province du Sud ainsi que la Direction de l’Urbanisme et des Terres - Province Nord (DAF) traitent des questions et questions relatives aux terrains privés.</t>
  </si>
  <si>
    <t>L’ADRAF rapporte que l’attribution coutumière des terres peut nécessiter des dizaines de réunions ou de contacts sur plusieurs mois, car toutes les parties prenantes doivent être identifiées et identifiées.</t>
  </si>
  <si>
    <t>L’attribution coutumière des terres de l’ADRAF doit être assurée par consensus auprès des parties prenantes. La décision sur la biocalédonie, comme la suspension de la certification des œufs biologiques en raison de problèmes liés à l’obtention d’aliments biologiques, a peut-être été discutée avec les personnes concernées.</t>
  </si>
  <si>
    <t xml:space="preserve"> L’ADRAF applique les règles locales pour la réaffectation des terres aux clans et aux familles pour les terres coutumières.</t>
  </si>
  <si>
    <t>Sans rapport avec le secteur avicole.</t>
  </si>
  <si>
    <t>Les femmes sont exclues ou non recrutées par certains employeurs dans certains secteurs de la chaîne de valeur (gestion de poulailler, atelier d’usine de fourrerie) mais recherchées pour d’autres activités (collecte et emballage d’œufs, gestion d’écloseries).</t>
  </si>
  <si>
    <t>Les femmes exploitent leurs propres entreprises artisanales de production d’œufs qui approvisionnent les supermarchés locaux et spécialisés ; sont impliqués en tant que co-directeurs de grandes entreprises avicoles ; impliqué dans l’organisation de la normalisation organique ; Offrir une formation à l’élevage de poulets en plein air.</t>
  </si>
  <si>
    <t>Les femmes peuvent acheter et hériter de biens privés.</t>
  </si>
  <si>
    <t>Les femmes peuvent posséder des terres privées. Les droits d’héritage des terres tribales sont inférieurs à ceux des hommes.</t>
  </si>
  <si>
    <t>Les femmes ont un accès plus ou moins égal à de petits microcrédits de l’ADIE (Association for the Right to Economic Initiatives), mais ont tendance à avoir un accès plus faible à des prêts d’investissement plus importants.</t>
  </si>
  <si>
    <t>Dans le cadre d’une entreprise sociale, comme Gie Meru, ou d’un projet tel que Protege, les femmes ont un accès égal aux services de la chaîne de valeur avicole et peuvent bénéficier d’une Carte d’Agriculteur de la Chambre d’Agriculture, qui autorise le titulaire à certaines réductions et services.</t>
  </si>
  <si>
    <t>Lorsque les femmes ont leur propre entreprise avicole ou sont codirectrices ou membres d’une entreprise sociale, elles participent aux décisions de production.</t>
  </si>
  <si>
    <t>Cela dépend du type et de la taille de l’opération. Peu de femmes exploitent des entreprises avicoles entièrement seules.</t>
  </si>
  <si>
    <t>Travailleurs du secteur informel</t>
  </si>
  <si>
    <t>Abandon scolaire - manque de données</t>
  </si>
  <si>
    <t>Insuffisance d’attention portée à l’environnement de travail du secteur avicole</t>
  </si>
  <si>
    <t>Salaire minimum bas dans le secteur agricole ; Meilleures opportunités dans d’autres secteurs</t>
  </si>
  <si>
    <t>La question clé est la redistribution des terres coutumières ; processus en place</t>
  </si>
  <si>
    <t>Des procédures existent pour la redistribution</t>
  </si>
  <si>
    <t>Règles locales pour la réaffectation des terres aux clans et aux familles pour les terres coutumières</t>
  </si>
  <si>
    <t>Les femmes étaient très impliquées dans le secteur avicole mais davantage dans la production artisanale</t>
  </si>
  <si>
    <t>De plus en plus accessibles, mais des facteurs culturels peuvent freiner les femmes</t>
  </si>
  <si>
    <t>Moins évident dans le secteur de la volaille commerciale</t>
  </si>
  <si>
    <t>La production artisanale de volaille est physiquement difficile mais possible pour les femmes</t>
  </si>
  <si>
    <t>La Nouvelle-Calédonie dépend fortement des aliments importés, mais des œufs locaux sont disponibles</t>
  </si>
  <si>
    <t>Accessible en zone urbaine ; Nourriture locale cultivée et chassée en milieu rural</t>
  </si>
  <si>
    <t>Il est difficile de suivre une alimentation saine, en particulier dans les zones urbaines pour les travailleurs à faibles revenus</t>
  </si>
  <si>
    <t>Une seule coopérative a été notée ; L’association Bio Caledonia soutient les producteurs biologiques</t>
  </si>
  <si>
    <t>Très canalisé ; Différences régionales</t>
  </si>
  <si>
    <t>Les groupes ecclésiastique et traditionnels jouent un rôle important</t>
  </si>
  <si>
    <t>Les zones plus isolées ont un accès limité</t>
  </si>
  <si>
    <t>Le logement rural peut être insuffisant, en particulier dans la région nord et sur les îles</t>
  </si>
  <si>
    <t>L’incertitude et le manque de contrôle affectent tous les aspects de la vie dans les zones tribales</t>
  </si>
  <si>
    <t>Éducation gratuite jusqu’à 16 ans ; Le taux d’abandon peut être une source d’inquiétude</t>
  </si>
  <si>
    <t>Comme indiqué dans la version 3.3.2 ci-dessus. Une productrice nous a dit que ses revenus issus de l’élevage de volailles serviraient à payer les frais de scolarité de ses enfants (plus le repas et le transport).</t>
  </si>
  <si>
    <t>Comme indiqué dans la version 3.3.2 ci-dessus. Oui, s’ils ont leur propre entreprise ou sont employés.</t>
  </si>
  <si>
    <t>Oui, s’ils en sont propriétaires.</t>
  </si>
  <si>
    <t>Les femmes sont membres de Bio Caledonia et Gie Meru.</t>
  </si>
  <si>
    <t>40 % des dirigeants de Bio Caledonia sont des femmes. Beaucoup de femmes sont membres d’organisations féminines basées sur l’Église.</t>
  </si>
  <si>
    <t>La directrice de l’Agence Rurale est une femme.</t>
  </si>
  <si>
    <t>Des femmes responsables et des femmes du secteur avicole prennent la parole.</t>
  </si>
  <si>
    <t>Les femmes ont tendance à avoir plus de responsabilités de soin et domestiques.</t>
  </si>
  <si>
    <t>Dans le secteur de la volaille artisanale, les femmes sont encore soumises à un travail pénible – déplacer des arcs, porter des sacs de nourriture, rouler sur des sentiers ruraux.</t>
  </si>
  <si>
    <t>Élever de la volaille signifie que les familles ont accès à de la viande de poulet fraîche et des œufs. Les agriculteurs Gie Meru ont mentionné qu’ils tuaient et consommaient des oiseaux déformés ou blessés. Le modèle de production signifie qu’il y aura des oiseaux en excédent si les producteurs les élèvent bien, qui pourront être conservés pour un usage familial ou une vente. Un producteur gardait quelques femelles et les laissait devenir pondeuses, fournissant ainsi des œufs à sa famille. La vente de poulets réformés (pondeuses, dépassées de leur utilité économique), est vendue à bas prix et largement consommée.</t>
  </si>
  <si>
    <t>Le territoire est autosuffisant en approvisionnement commercial en œufs et la production locale de poulets de chair représente 10 % de la consommation de poulets.</t>
  </si>
  <si>
    <t>Les agriculteurs de Gie Meru peuvent générer entre 50 et 80 000 FPF par an. Ces revenus permettent aux parents de payer les repas scolaires de leurs enfants et d’acheter de la nourriture (par exemple des œufs) en magasin.</t>
  </si>
  <si>
    <t>La production de poulet et d’œufs dépend fortement des matières premières importées et la faible production ne peut pas compenser le faible prix du poulet importé et d’autres importations.</t>
  </si>
  <si>
    <t>Avoir accès à de l’argent peut augmenter la consommation d’aliments moins nutritifs, comme les sucrés et les morceaux de viande gras. La consommation de fruits et légumes peut être irrégulière, tandis que la consommation de matières grasses, de sucre et de sel peut dépasser les recommandations nutritionnelles.</t>
  </si>
  <si>
    <t>Si le foyer a accès à des œufs et/ou du poulet frais, la qualité nutritionnelle de leur alimentation s’améliore.</t>
  </si>
  <si>
    <t>Cela a pu mais générer des revenus financiers peut être utilisé pour acheter des aliments moins nutritifs, comme des boissons gazeuses, des bonbons, du pain blanc, etc.</t>
  </si>
  <si>
    <t>Le territoire dépend beaucoup des produits alimentaires importants et les prix ont augmenté en raison des circonstances extérieures. La rupture de l’ordre public aurait également perturbé les approvisionnements alimentaires et entraîné une hausse des prix.</t>
  </si>
  <si>
    <t xml:space="preserve"> Les produits avicoles produits localement apportent très peu aux régimes alimentaires nationaux, en particulier pour la viande avicolique. </t>
  </si>
  <si>
    <t>Très peu existent ou participent à la chaîne de valeur avicole. Gie Meru est le principal type d’organisation formelle existant (un groupement d’intérêt économique est un consortium d’entreprises apparentées qui mettent en commun leurs efforts pour obtenir un avantage concurrentiel). Une coopérative de producteurs de maïs existe pour les producteurs de maïs dans la province du Sud, et une autre à Pouembout a été mentionnée.</t>
  </si>
  <si>
    <t>L’adhésion au groupe Gie Meru dépend de la localisation et de l’affiliation tribale.</t>
  </si>
  <si>
    <t>Gie Meru a un président élu et un directeur.</t>
  </si>
  <si>
    <t>Gie Meru pourrait obtenir des coûts unitaires plus bas pour ses achats d’aliments.</t>
  </si>
  <si>
    <t>Les grands agriculteurs commerciaux peuvent obtenir des informations sur les pratiques avicoles, notamment à l’étranger, les politiques agricoles locales et les prix auprès des chaînes de supermarchés locales.</t>
  </si>
  <si>
    <t>Les éleveurs de volailles Caldoche avaient tendance à se faire confiance mutuellement et à leurs fournisseurs tout au long de la chaîne, y compris pour les œufs fécondés et les poussins d’un jour.</t>
  </si>
  <si>
    <t>Oui, mais il y a peu de mélange entre les communautés Caldoche et Kanak. Les congrégations ecclésiastiques et les partis politiques offrent un espace pour les discussions sur les questions locales.</t>
  </si>
  <si>
    <t>Oui, particulièrement dans la province du Nord, dans la province des Îles de la Loyauté ainsi que dans la province du Sud.</t>
  </si>
  <si>
    <t>Les groupes paroissiaux et les partis politiques représentent probablement la plus grande opportunité d’activités communautaires volontaires qui peuvent bénéficier à toute la communauté.</t>
  </si>
  <si>
    <t>Le système public de santé de la Nouvelle-Calédonie est financé par des cotisations à la sécurité sociale ; Les résidents peuvent accéder à une gamme de services à faible coût ou gratuit.</t>
  </si>
  <si>
    <t>Les ménages ruraux en Nouvelle-Calédonie ont généralement accès aux services de santé, bien que des défis existent, notamment dans les zones et îles isolées et pour les groupes marginalisés. Le système de santé assure l’accès par divers moyens, y compris les hôpitaux publics et les structures de santé relevant de la juridiction provinciale. En raison de la distance ou des mauvaises conditions routières, certains groupes peuvent avoir moins d’accès que d’autres.</t>
  </si>
  <si>
    <t>Le système public de santé de la Nouvelle-Calédonie est financé par des cotisations à la sécurité sociale ; Les résidents peuvent accéder à une gamme de services à faible coût ou gratuit. L’accès aux services de santé est gratuit pour tous.</t>
  </si>
  <si>
    <t>La plupart des maisons ont accès à une eau de bonne qualité (98 %) et à l’assainissement, mais il existe des différences entre provinces, notamment pour les communautés kanakes.</t>
  </si>
  <si>
    <t>L’enseignement primaire est accessible aux ménages, bien que dans certains endroits les enfants doivent parcourir une certaine distance pour se rendre à l’école. Il est gratuit et obligatoire pour les enfants âgés de 5 à 16 ans.</t>
  </si>
  <si>
    <t>Le secondaire est proposé. Il y a deux lycées agricoles.</t>
  </si>
  <si>
    <t>Les deux lycées agricoles de Nouvelle-Calédonie proposent désormais une formation à la production d’œufs de poules élevées en plein air dispensée par un membre de Bio Caledonia.</t>
  </si>
  <si>
    <t xml:space="preserve">Le secteur avicole est très vulnérable aux variations des prix des intrants importés, ainsi qu’aux retards dans leur livraison en provenance d’Australie, de Nouvelle-Zélande et d’Europe. Elle est également à risque de la grippe aviaire. L’interaction entre les parties prenantes et les régions est limitée. La volaille n’est pas considérée comme un secteur agricole clé.Dans le secteur privée accès à un terrain pour commencer ou diversifier une entreprise agricole, surtout pour les jeunes, est problématique. Il n’y a pas de contrôle sur l’utilisation des terres, de sorte que les produits agricoles de première qualité peuvent être vendus à des fins de loisir, ce qui peut empêcher l’expansion d’une entreprise agricole. Les terres coutumières représentent 27 % du total et les terres privées 16 %. Les Groupements de droit particulier local (GDPL) ont été introduits dans le cadre des réformes agraires, afin de combler le fossé entre la coutume et le développement et de donner aux tribus des droits formels sur la terre et de développement et de donner aux tribus des droits formels sur la terre et de faciliter l’accès à l’investissement et la formation de Groupements d’intérêt économique (Gie) (Cassouret et Salenson, 2020). Le Gie Meru, une entreprise de volaille de la Province Nord, en est un exemple. </t>
  </si>
  <si>
    <t>Le soutien à l’interaction avec les parties prenantes pourrait aider le secteur avicole à relever de nombreux défis identifiés.</t>
  </si>
  <si>
    <t xml:space="preserve">Le poulet est devenu une partie importante de l’alimentation de la plupart des ménages et sa disponibilité a contribué à améliorer l’apport en protéines. La majeure partie de la viande consommée est importée sous forme de morceaux congelés. La viande de poulet produite localement est recherchée par les personnes désireuses de soutenir les entreprises locales ou qui estiment que la viande fraîche est plus saine et vaut le coût supplémentaire. </t>
  </si>
  <si>
    <t>Les ménages ruraux, en particulier au sein de la communauté kanak, peuvent rencontrer des défis liés à la qualité, à la disponibilité et à l’accessibilité du logement.</t>
  </si>
  <si>
    <t>French polynesia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</si>
</sst>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0"/>
      <name val="Arial"/>
    </font>
    <font>
      <sz val="8"/>
      <name val="Arial"/>
      <family val="2"/>
    </font>
    <font>
      <b/>
      <sz val="10"/>
      <name val="Arial"/>
      <family val="2"/>
    </font>
    <font>
      <sz val="12"/>
      <name val="Times New Roman"/>
      <family val="1"/>
    </font>
    <font>
      <b/>
      <sz val="12"/>
      <name val="Times New Roman"/>
      <family val="1"/>
    </font>
    <font>
      <b/>
      <sz val="12"/>
      <color indexed="8"/>
      <name val="Times New Roman"/>
      <family val="1"/>
    </font>
    <font>
      <sz val="9"/>
      <name val="Arial"/>
      <family val="2"/>
    </font>
    <font>
      <sz val="10"/>
      <name val="Arial"/>
      <family val="2"/>
    </font>
    <font>
      <b/>
      <sz val="11"/>
      <name val="Arial"/>
      <family val="2"/>
    </font>
    <font>
      <sz val="11"/>
      <name val="Arial"/>
      <family val="2"/>
    </font>
    <font>
      <i/>
      <sz val="11"/>
      <name val="Arial"/>
      <family val="2"/>
    </font>
    <font>
      <i/>
      <sz val="9"/>
      <name val="Arial"/>
      <family val="2"/>
    </font>
    <font>
      <b/>
      <sz val="10"/>
      <color rgb="FFC00000"/>
      <name val="Arial"/>
      <family val="2"/>
    </font>
    <font>
      <sz val="10"/>
      <color rgb="FFFF0000"/>
      <name val="Arial"/>
      <family val="2"/>
    </font>
    <font>
      <sz val="12"/>
      <color rgb="FF555555"/>
      <name val="Arial"/>
      <family val="2"/>
    </font>
    <font>
      <b/>
      <sz val="10"/>
      <color rgb="FFFF0000"/>
      <name val="Arial"/>
      <family val="2"/>
    </font>
    <font>
      <b/>
      <sz val="12"/>
      <name val="Arial"/>
      <family val="2"/>
    </font>
    <font>
      <b/>
      <i/>
      <sz val="9"/>
      <name val="Arial"/>
      <family val="2"/>
    </font>
    <font>
      <b/>
      <sz val="9"/>
      <name val="Arial"/>
      <family val="2"/>
    </font>
    <font>
      <b/>
      <sz val="8"/>
      <name val="Arial"/>
      <family val="2"/>
    </font>
    <font>
      <b/>
      <i/>
      <sz val="10"/>
      <name val="Arial"/>
      <family val="2"/>
    </font>
    <font>
      <b/>
      <i/>
      <sz val="14"/>
      <name val="Arial"/>
      <family val="2"/>
    </font>
    <font>
      <i/>
      <sz val="10"/>
      <name val="Arial"/>
      <family val="2"/>
    </font>
    <font>
      <b/>
      <i/>
      <sz val="12"/>
      <name val="Arial"/>
      <family val="2"/>
    </font>
    <font>
      <b/>
      <sz val="12"/>
      <color rgb="FFC00000"/>
      <name val="Arial"/>
      <family val="2"/>
    </font>
    <font>
      <sz val="10"/>
      <color rgb="FFC00000"/>
      <name val="Arial"/>
      <family val="2"/>
    </font>
    <font>
      <b/>
      <sz val="10"/>
      <color rgb="FFC00000"/>
      <name val="Wingdings"/>
      <charset val="2"/>
    </font>
    <font>
      <sz val="10"/>
      <name val="Calibri"/>
      <family val="2"/>
    </font>
    <font>
      <b/>
      <sz val="12"/>
      <color rgb="FF00B050"/>
      <name val="Times New Roman"/>
      <family val="1"/>
    </font>
    <font>
      <b/>
      <sz val="12"/>
      <color rgb="FF92D050"/>
      <name val="Times New Roman"/>
      <family val="1"/>
    </font>
    <font>
      <b/>
      <sz val="12"/>
      <color rgb="FFFFC000"/>
      <name val="Times New Roman"/>
      <family val="1"/>
    </font>
    <font>
      <b/>
      <sz val="12"/>
      <color rgb="FFFF0000"/>
      <name val="Times New Roman"/>
      <family val="1"/>
    </font>
    <font>
      <u/>
      <sz val="12"/>
      <name val="Times New Roman"/>
      <family val="1"/>
    </font>
    <font>
      <b/>
      <sz val="14"/>
      <color rgb="FFC00000"/>
      <name val="Arial"/>
      <family val="2"/>
    </font>
    <font>
      <b/>
      <sz val="12"/>
      <color rgb="FFFF0000"/>
      <name val="Arial"/>
      <family val="2"/>
    </font>
    <font>
      <b/>
      <sz val="9"/>
      <color rgb="FFFF0000"/>
      <name val="Arial"/>
      <family val="2"/>
    </font>
  </fonts>
  <fills count="34">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rgb="FFFF00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785B97"/>
        <bgColor indexed="64"/>
      </patternFill>
    </fill>
    <fill>
      <patternFill patternType="solid">
        <fgColor rgb="FFB1A0C7"/>
        <bgColor indexed="64"/>
      </patternFill>
    </fill>
    <fill>
      <patternFill patternType="solid">
        <fgColor theme="2" tint="-0.249977111117893"/>
        <bgColor indexed="64"/>
      </patternFill>
    </fill>
    <fill>
      <patternFill patternType="solid">
        <fgColor theme="9"/>
        <bgColor indexed="64"/>
      </patternFill>
    </fill>
    <fill>
      <patternFill patternType="solid">
        <fgColor theme="6" tint="0.59999389629810485"/>
        <bgColor indexed="64"/>
      </patternFill>
    </fill>
    <fill>
      <patternFill patternType="solid">
        <fgColor rgb="FFFFC000"/>
        <bgColor indexed="64"/>
      </patternFill>
    </fill>
    <fill>
      <patternFill patternType="solid">
        <fgColor rgb="FF00B05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2" tint="-0.499984740745262"/>
        <bgColor indexed="64"/>
      </patternFill>
    </fill>
    <fill>
      <patternFill patternType="solid">
        <fgColor theme="2" tint="-9.9978637043366805E-2"/>
        <bgColor indexed="64"/>
      </patternFill>
    </fill>
  </fills>
  <borders count="86">
    <border>
      <left/>
      <right/>
      <top/>
      <bottom/>
      <diagonal/>
    </border>
    <border>
      <left/>
      <right style="medium">
        <color auto="1"/>
      </right>
      <top/>
      <bottom/>
      <diagonal/>
    </border>
    <border>
      <left style="medium">
        <color auto="1"/>
      </left>
      <right/>
      <top/>
      <bottom/>
      <diagonal/>
    </border>
    <border>
      <left style="medium">
        <color auto="1"/>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double">
        <color auto="1"/>
      </bottom>
      <diagonal/>
    </border>
    <border>
      <left style="medium">
        <color auto="1"/>
      </left>
      <right/>
      <top style="thin">
        <color auto="1"/>
      </top>
      <bottom style="thin">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style="double">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style="medium">
        <color auto="1"/>
      </right>
      <top/>
      <bottom style="thin">
        <color auto="1"/>
      </bottom>
      <diagonal/>
    </border>
    <border>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medium">
        <color auto="1"/>
      </right>
      <top/>
      <bottom style="double">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style="thin">
        <color auto="1"/>
      </bottom>
      <diagonal/>
    </border>
    <border>
      <left/>
      <right/>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right/>
      <top style="medium">
        <color auto="1"/>
      </top>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medium">
        <color auto="1"/>
      </bottom>
      <diagonal/>
    </border>
    <border>
      <left/>
      <right style="thin">
        <color auto="1"/>
      </right>
      <top style="medium">
        <color auto="1"/>
      </top>
      <bottom style="medium">
        <color auto="1"/>
      </bottom>
      <diagonal/>
    </border>
    <border>
      <left/>
      <right style="thin">
        <color auto="1"/>
      </right>
      <top style="thin">
        <color auto="1"/>
      </top>
      <bottom style="thin">
        <color auto="1"/>
      </bottom>
      <diagonal/>
    </border>
    <border>
      <left/>
      <right style="medium">
        <color auto="1"/>
      </right>
      <top/>
      <bottom style="double">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style="medium">
        <color auto="1"/>
      </top>
      <bottom/>
      <diagonal/>
    </border>
    <border>
      <left/>
      <right style="thin">
        <color auto="1"/>
      </right>
      <top/>
      <bottom style="thin">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style="medium">
        <color auto="1"/>
      </right>
      <top style="thin">
        <color auto="1"/>
      </top>
      <bottom/>
      <diagonal/>
    </border>
    <border>
      <left style="thin">
        <color auto="1"/>
      </left>
      <right/>
      <top style="medium">
        <color auto="1"/>
      </top>
      <bottom style="medium">
        <color auto="1"/>
      </bottom>
      <diagonal/>
    </border>
    <border>
      <left style="thin">
        <color auto="1"/>
      </left>
      <right/>
      <top/>
      <bottom style="medium">
        <color auto="1"/>
      </bottom>
      <diagonal/>
    </border>
    <border>
      <left style="thin">
        <color indexed="64"/>
      </left>
      <right style="thin">
        <color auto="1"/>
      </right>
      <top style="thin">
        <color auto="1"/>
      </top>
      <bottom/>
      <diagonal/>
    </border>
    <border>
      <left style="thin">
        <color auto="1"/>
      </left>
      <right style="thin">
        <color auto="1"/>
      </right>
      <top style="thin">
        <color indexed="64"/>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medium">
        <color auto="1"/>
      </top>
      <bottom style="thin">
        <color indexed="64"/>
      </bottom>
      <diagonal/>
    </border>
    <border>
      <left style="medium">
        <color auto="1"/>
      </left>
      <right/>
      <top style="thin">
        <color auto="1"/>
      </top>
      <bottom/>
      <diagonal/>
    </border>
    <border>
      <left/>
      <right style="thin">
        <color auto="1"/>
      </right>
      <top style="thin">
        <color indexed="64"/>
      </top>
      <bottom/>
      <diagonal/>
    </border>
    <border>
      <left style="thin">
        <color auto="1"/>
      </left>
      <right style="thin">
        <color auto="1"/>
      </right>
      <top style="medium">
        <color auto="1"/>
      </top>
      <bottom style="thin">
        <color indexed="64"/>
      </bottom>
      <diagonal/>
    </border>
    <border>
      <left/>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indexed="64"/>
      </bottom>
      <diagonal/>
    </border>
    <border>
      <left/>
      <right style="thin">
        <color auto="1"/>
      </right>
      <top/>
      <bottom style="medium">
        <color auto="1"/>
      </bottom>
      <diagonal/>
    </border>
    <border>
      <left style="thin">
        <color auto="1"/>
      </left>
      <right/>
      <top style="medium">
        <color auto="1"/>
      </top>
      <bottom/>
      <diagonal/>
    </border>
    <border>
      <left style="medium">
        <color auto="1"/>
      </left>
      <right style="medium">
        <color auto="1"/>
      </right>
      <top style="thin">
        <color indexed="64"/>
      </top>
      <bottom/>
      <diagonal/>
    </border>
    <border>
      <left style="medium">
        <color indexed="64"/>
      </left>
      <right style="medium">
        <color auto="1"/>
      </right>
      <top style="double">
        <color auto="1"/>
      </top>
      <bottom style="medium">
        <color auto="1"/>
      </bottom>
      <diagonal/>
    </border>
    <border>
      <left style="thin">
        <color auto="1"/>
      </left>
      <right style="medium">
        <color auto="1"/>
      </right>
      <top/>
      <bottom style="thin">
        <color auto="1"/>
      </bottom>
      <diagonal/>
    </border>
    <border>
      <left style="medium">
        <color auto="1"/>
      </left>
      <right style="medium">
        <color auto="1"/>
      </right>
      <top style="double">
        <color indexed="64"/>
      </top>
      <bottom/>
      <diagonal/>
    </border>
    <border>
      <left style="thin">
        <color auto="1"/>
      </left>
      <right/>
      <top/>
      <bottom/>
      <diagonal/>
    </border>
    <border>
      <left/>
      <right style="thin">
        <color auto="1"/>
      </right>
      <top/>
      <bottom/>
      <diagonal/>
    </border>
    <border>
      <left style="medium">
        <color auto="1"/>
      </left>
      <right style="thin">
        <color indexed="64"/>
      </right>
      <top/>
      <bottom/>
      <diagonal/>
    </border>
    <border>
      <left style="thin">
        <color indexed="64"/>
      </left>
      <right style="medium">
        <color auto="1"/>
      </right>
      <top/>
      <bottom/>
      <diagonal/>
    </border>
    <border>
      <left style="medium">
        <color auto="1"/>
      </left>
      <right/>
      <top style="double">
        <color auto="1"/>
      </top>
      <bottom style="medium">
        <color auto="1"/>
      </bottom>
      <diagonal/>
    </border>
    <border>
      <left/>
      <right style="medium">
        <color auto="1"/>
      </right>
      <top style="double">
        <color auto="1"/>
      </top>
      <bottom style="medium">
        <color auto="1"/>
      </bottom>
      <diagonal/>
    </border>
    <border>
      <left/>
      <right/>
      <top style="thin">
        <color auto="1"/>
      </top>
      <bottom style="double">
        <color auto="1"/>
      </bottom>
      <diagonal/>
    </border>
  </borders>
  <cellStyleXfs count="1">
    <xf numFmtId="0" fontId="0" fillId="0" borderId="0"/>
  </cellStyleXfs>
  <cellXfs count="622">
    <xf numFmtId="0" fontId="0" fillId="0" borderId="0" xfId="0"/>
    <xf numFmtId="2" fontId="7" fillId="4" borderId="14" xfId="0" applyNumberFormat="1" applyFont="1" applyFill="1" applyBorder="1" applyAlignment="1">
      <alignment horizontal="center" vertical="center"/>
    </xf>
    <xf numFmtId="0" fontId="0" fillId="0" borderId="2" xfId="0" applyBorder="1"/>
    <xf numFmtId="0" fontId="0" fillId="0" borderId="1" xfId="0" applyBorder="1"/>
    <xf numFmtId="0" fontId="2" fillId="2" borderId="8" xfId="0" applyFont="1" applyFill="1" applyBorder="1" applyAlignment="1">
      <alignment horizontal="left" vertical="center"/>
    </xf>
    <xf numFmtId="0" fontId="2" fillId="0" borderId="0" xfId="0" applyFont="1" applyAlignment="1">
      <alignment horizontal="center"/>
    </xf>
    <xf numFmtId="0" fontId="6" fillId="2" borderId="41" xfId="0" applyFont="1" applyFill="1" applyBorder="1" applyAlignment="1">
      <alignment horizontal="right"/>
    </xf>
    <xf numFmtId="49" fontId="6" fillId="2" borderId="18" xfId="0" applyNumberFormat="1" applyFont="1" applyFill="1" applyBorder="1" applyAlignment="1">
      <alignment horizontal="left"/>
    </xf>
    <xf numFmtId="0" fontId="6" fillId="2" borderId="27" xfId="0" applyFont="1" applyFill="1" applyBorder="1" applyAlignment="1">
      <alignment horizontal="center"/>
    </xf>
    <xf numFmtId="0" fontId="6" fillId="2" borderId="34" xfId="0" applyFont="1" applyFill="1" applyBorder="1" applyAlignment="1">
      <alignment horizontal="center" vertical="center"/>
    </xf>
    <xf numFmtId="0" fontId="6" fillId="3" borderId="41" xfId="0" applyFont="1" applyFill="1" applyBorder="1" applyAlignment="1">
      <alignment horizontal="center" vertical="center"/>
    </xf>
    <xf numFmtId="0" fontId="6" fillId="3" borderId="36" xfId="0" applyFont="1" applyFill="1" applyBorder="1" applyAlignment="1">
      <alignment horizontal="center" vertical="center"/>
    </xf>
    <xf numFmtId="0" fontId="6" fillId="3" borderId="50" xfId="0" applyFont="1" applyFill="1" applyBorder="1" applyAlignment="1">
      <alignment horizontal="center" vertical="center"/>
    </xf>
    <xf numFmtId="0" fontId="0" fillId="0" borderId="2" xfId="0" applyBorder="1" applyAlignment="1">
      <alignment horizontal="center"/>
    </xf>
    <xf numFmtId="0" fontId="0" fillId="0" borderId="0" xfId="0" applyAlignment="1">
      <alignment horizontal="center"/>
    </xf>
    <xf numFmtId="0" fontId="2" fillId="5" borderId="49" xfId="0" applyFont="1" applyFill="1" applyBorder="1" applyAlignment="1" applyProtection="1">
      <alignment horizontal="center" vertical="center"/>
      <protection locked="0"/>
    </xf>
    <xf numFmtId="0" fontId="2" fillId="2" borderId="49" xfId="0" applyFont="1" applyFill="1" applyBorder="1" applyAlignment="1">
      <alignment horizontal="center" vertical="center"/>
    </xf>
    <xf numFmtId="2" fontId="2" fillId="2" borderId="28" xfId="0" applyNumberFormat="1" applyFont="1" applyFill="1" applyBorder="1" applyAlignment="1">
      <alignment horizontal="center" vertical="center"/>
    </xf>
    <xf numFmtId="0" fontId="2" fillId="2" borderId="48" xfId="0" applyFont="1" applyFill="1" applyBorder="1" applyAlignment="1">
      <alignment horizontal="center" vertical="center"/>
    </xf>
    <xf numFmtId="2" fontId="2" fillId="4" borderId="49" xfId="0" applyNumberFormat="1" applyFont="1" applyFill="1" applyBorder="1" applyAlignment="1">
      <alignment horizontal="center" vertical="center"/>
    </xf>
    <xf numFmtId="0" fontId="2" fillId="17" borderId="2" xfId="0" applyFont="1" applyFill="1" applyBorder="1" applyAlignment="1">
      <alignment vertical="center"/>
    </xf>
    <xf numFmtId="0" fontId="2" fillId="17" borderId="0" xfId="0" applyFont="1" applyFill="1" applyAlignment="1">
      <alignment vertical="center"/>
    </xf>
    <xf numFmtId="0" fontId="2" fillId="17" borderId="40" xfId="0" applyFont="1" applyFill="1" applyBorder="1" applyAlignment="1">
      <alignment horizontal="right" vertical="center"/>
    </xf>
    <xf numFmtId="2" fontId="2" fillId="17" borderId="40" xfId="0" applyNumberFormat="1" applyFont="1" applyFill="1" applyBorder="1" applyAlignment="1">
      <alignment horizontal="center" vertical="center"/>
    </xf>
    <xf numFmtId="0" fontId="2" fillId="17" borderId="40" xfId="0" applyFont="1" applyFill="1" applyBorder="1" applyAlignment="1">
      <alignment horizontal="center" vertical="center"/>
    </xf>
    <xf numFmtId="0" fontId="2" fillId="19" borderId="48" xfId="0" applyFont="1" applyFill="1" applyBorder="1" applyAlignment="1">
      <alignment horizontal="right" vertical="center"/>
    </xf>
    <xf numFmtId="0" fontId="6" fillId="11" borderId="22" xfId="0" applyFont="1" applyFill="1" applyBorder="1" applyAlignment="1" applyProtection="1">
      <alignment horizontal="left" vertical="top" wrapText="1"/>
      <protection locked="0"/>
    </xf>
    <xf numFmtId="0" fontId="6" fillId="19" borderId="22" xfId="0" applyFont="1" applyFill="1" applyBorder="1" applyAlignment="1" applyProtection="1">
      <alignment vertical="top" wrapText="1"/>
      <protection locked="0"/>
    </xf>
    <xf numFmtId="0" fontId="2" fillId="21" borderId="48" xfId="0" applyFont="1" applyFill="1" applyBorder="1" applyAlignment="1">
      <alignment vertical="top"/>
    </xf>
    <xf numFmtId="0" fontId="2" fillId="12" borderId="48" xfId="0" applyFont="1" applyFill="1" applyBorder="1" applyAlignment="1">
      <alignment horizontal="right" vertical="center"/>
    </xf>
    <xf numFmtId="0" fontId="6" fillId="12" borderId="22" xfId="0" applyFont="1" applyFill="1" applyBorder="1" applyAlignment="1" applyProtection="1">
      <alignment horizontal="left" vertical="top" wrapText="1"/>
      <protection locked="0"/>
    </xf>
    <xf numFmtId="0" fontId="2" fillId="12" borderId="16" xfId="0" applyFont="1" applyFill="1" applyBorder="1" applyAlignment="1">
      <alignment vertical="center"/>
    </xf>
    <xf numFmtId="0" fontId="2" fillId="12" borderId="27" xfId="0" applyFont="1" applyFill="1" applyBorder="1" applyAlignment="1">
      <alignment vertical="center"/>
    </xf>
    <xf numFmtId="0" fontId="2" fillId="12" borderId="53" xfId="0" applyFont="1" applyFill="1" applyBorder="1" applyAlignment="1">
      <alignment horizontal="right" vertical="center"/>
    </xf>
    <xf numFmtId="0" fontId="8" fillId="7" borderId="29" xfId="0" applyFont="1" applyFill="1" applyBorder="1" applyAlignment="1">
      <alignment horizontal="right" vertical="center" wrapText="1"/>
    </xf>
    <xf numFmtId="0" fontId="2" fillId="2" borderId="54" xfId="0" applyFont="1" applyFill="1" applyBorder="1" applyAlignment="1">
      <alignment horizontal="center" vertical="center"/>
    </xf>
    <xf numFmtId="0" fontId="6" fillId="12" borderId="35" xfId="0" applyFont="1" applyFill="1" applyBorder="1" applyAlignment="1" applyProtection="1">
      <alignment horizontal="left" vertical="top" wrapText="1"/>
      <protection locked="0"/>
    </xf>
    <xf numFmtId="0" fontId="0" fillId="0" borderId="22" xfId="0" applyBorder="1" applyAlignment="1" applyProtection="1">
      <alignment horizontal="center" vertical="top"/>
      <protection locked="0"/>
    </xf>
    <xf numFmtId="2" fontId="2" fillId="2" borderId="57" xfId="0" applyNumberFormat="1" applyFont="1" applyFill="1" applyBorder="1" applyAlignment="1">
      <alignment horizontal="center" vertical="center"/>
    </xf>
    <xf numFmtId="0" fontId="2" fillId="2" borderId="53" xfId="0" applyFont="1" applyFill="1" applyBorder="1" applyAlignment="1">
      <alignment horizontal="center" vertical="center"/>
    </xf>
    <xf numFmtId="0" fontId="2" fillId="2" borderId="48" xfId="0" applyFont="1" applyFill="1" applyBorder="1" applyAlignment="1">
      <alignment vertical="center"/>
    </xf>
    <xf numFmtId="0" fontId="2" fillId="9" borderId="24" xfId="0" applyFont="1" applyFill="1" applyBorder="1" applyAlignment="1">
      <alignment vertical="center"/>
    </xf>
    <xf numFmtId="0" fontId="2" fillId="15" borderId="24" xfId="0" applyFont="1" applyFill="1" applyBorder="1" applyAlignment="1">
      <alignment vertical="center"/>
    </xf>
    <xf numFmtId="0" fontId="2" fillId="15" borderId="40" xfId="0" applyFont="1" applyFill="1" applyBorder="1" applyAlignment="1">
      <alignment vertical="center"/>
    </xf>
    <xf numFmtId="0" fontId="2" fillId="15" borderId="25" xfId="0" applyFont="1" applyFill="1" applyBorder="1" applyAlignment="1">
      <alignment vertical="center"/>
    </xf>
    <xf numFmtId="0" fontId="7" fillId="16" borderId="26" xfId="0" applyFont="1" applyFill="1" applyBorder="1" applyAlignment="1">
      <alignment horizontal="left" vertical="center"/>
    </xf>
    <xf numFmtId="0" fontId="7" fillId="16" borderId="6" xfId="0" applyFont="1" applyFill="1" applyBorder="1" applyAlignment="1">
      <alignment horizontal="left" vertical="center"/>
    </xf>
    <xf numFmtId="0" fontId="7" fillId="16" borderId="7" xfId="0" applyFont="1" applyFill="1" applyBorder="1" applyAlignment="1">
      <alignment horizontal="left" vertical="center"/>
    </xf>
    <xf numFmtId="0" fontId="7" fillId="16" borderId="2" xfId="0" applyFont="1" applyFill="1" applyBorder="1" applyAlignment="1">
      <alignment horizontal="right" vertical="center"/>
    </xf>
    <xf numFmtId="0" fontId="2" fillId="13" borderId="24" xfId="0" applyFont="1" applyFill="1" applyBorder="1" applyAlignment="1">
      <alignment vertical="center"/>
    </xf>
    <xf numFmtId="0" fontId="2" fillId="13" borderId="25" xfId="0" applyFont="1" applyFill="1" applyBorder="1" applyAlignment="1">
      <alignment vertical="center"/>
    </xf>
    <xf numFmtId="0" fontId="7" fillId="14" borderId="26" xfId="0" applyFont="1" applyFill="1" applyBorder="1" applyAlignment="1">
      <alignment horizontal="left" vertical="center" wrapText="1"/>
    </xf>
    <xf numFmtId="0" fontId="7" fillId="14" borderId="6" xfId="0" applyFont="1" applyFill="1" applyBorder="1" applyAlignment="1">
      <alignment horizontal="left" vertical="center"/>
    </xf>
    <xf numFmtId="0" fontId="7" fillId="14" borderId="7" xfId="0" applyFont="1" applyFill="1" applyBorder="1" applyAlignment="1">
      <alignment horizontal="left" vertical="center" wrapText="1"/>
    </xf>
    <xf numFmtId="0" fontId="7" fillId="14" borderId="14" xfId="0" applyFont="1" applyFill="1" applyBorder="1" applyAlignment="1">
      <alignment horizontal="right" vertical="center"/>
    </xf>
    <xf numFmtId="0" fontId="2" fillId="17" borderId="24" xfId="0" applyFont="1" applyFill="1" applyBorder="1" applyAlignment="1">
      <alignment vertical="center"/>
    </xf>
    <xf numFmtId="0" fontId="2" fillId="17" borderId="25" xfId="0" applyFont="1" applyFill="1" applyBorder="1" applyAlignment="1">
      <alignment vertical="center"/>
    </xf>
    <xf numFmtId="0" fontId="7" fillId="18" borderId="17" xfId="0" applyFont="1" applyFill="1" applyBorder="1" applyAlignment="1">
      <alignment horizontal="left" vertical="center"/>
    </xf>
    <xf numFmtId="0" fontId="7" fillId="18" borderId="7" xfId="0" applyFont="1" applyFill="1" applyBorder="1" applyAlignment="1">
      <alignment horizontal="left" vertical="center"/>
    </xf>
    <xf numFmtId="0" fontId="2" fillId="9" borderId="25" xfId="0" applyFont="1" applyFill="1" applyBorder="1" applyAlignment="1">
      <alignment vertical="center"/>
    </xf>
    <xf numFmtId="0" fontId="7" fillId="8" borderId="17" xfId="0" applyFont="1" applyFill="1" applyBorder="1" applyAlignment="1">
      <alignment horizontal="left" vertical="center" wrapText="1"/>
    </xf>
    <xf numFmtId="0" fontId="7" fillId="8" borderId="3" xfId="0" applyFont="1" applyFill="1" applyBorder="1" applyAlignment="1">
      <alignment horizontal="left" vertical="center" wrapText="1"/>
    </xf>
    <xf numFmtId="0" fontId="7" fillId="8" borderId="2" xfId="0" applyFont="1" applyFill="1" applyBorder="1" applyAlignment="1">
      <alignment horizontal="left" vertical="center"/>
    </xf>
    <xf numFmtId="0" fontId="7" fillId="8" borderId="5" xfId="0" applyFont="1" applyFill="1" applyBorder="1" applyAlignment="1">
      <alignment horizontal="left" vertical="center" wrapText="1"/>
    </xf>
    <xf numFmtId="0" fontId="7" fillId="8" borderId="14" xfId="0" applyFont="1" applyFill="1" applyBorder="1" applyAlignment="1">
      <alignment horizontal="right" vertical="center" wrapText="1"/>
    </xf>
    <xf numFmtId="0" fontId="2" fillId="22" borderId="24" xfId="0" applyFont="1" applyFill="1" applyBorder="1" applyAlignment="1">
      <alignment horizontal="left" vertical="center"/>
    </xf>
    <xf numFmtId="2" fontId="2" fillId="22" borderId="25" xfId="0" applyNumberFormat="1" applyFont="1" applyFill="1" applyBorder="1" applyAlignment="1">
      <alignment horizontal="left" vertical="center"/>
    </xf>
    <xf numFmtId="0" fontId="2" fillId="22" borderId="25" xfId="0" applyFont="1" applyFill="1" applyBorder="1" applyAlignment="1">
      <alignment horizontal="left" vertical="center"/>
    </xf>
    <xf numFmtId="0" fontId="7" fillId="23" borderId="2" xfId="0" applyFont="1" applyFill="1" applyBorder="1" applyAlignment="1">
      <alignment horizontal="left" vertical="center"/>
    </xf>
    <xf numFmtId="0" fontId="7" fillId="23" borderId="14" xfId="0" applyFont="1" applyFill="1" applyBorder="1" applyAlignment="1">
      <alignment horizontal="right" vertical="center"/>
    </xf>
    <xf numFmtId="0" fontId="7" fillId="18" borderId="14" xfId="0" applyFont="1" applyFill="1" applyBorder="1" applyAlignment="1">
      <alignment horizontal="right" vertical="center"/>
    </xf>
    <xf numFmtId="2" fontId="7" fillId="24" borderId="14" xfId="0" applyNumberFormat="1" applyFont="1" applyFill="1" applyBorder="1" applyAlignment="1">
      <alignment horizontal="center" vertical="center"/>
    </xf>
    <xf numFmtId="0" fontId="7" fillId="24" borderId="14" xfId="0" applyFont="1" applyFill="1" applyBorder="1" applyAlignment="1">
      <alignment horizontal="center" vertical="center"/>
    </xf>
    <xf numFmtId="0" fontId="2" fillId="2" borderId="52" xfId="0" applyFont="1" applyFill="1" applyBorder="1" applyAlignment="1">
      <alignment horizontal="center" vertical="center"/>
    </xf>
    <xf numFmtId="0" fontId="2" fillId="2" borderId="58" xfId="0" applyFont="1" applyFill="1" applyBorder="1" applyAlignment="1">
      <alignment horizontal="center" vertical="center"/>
    </xf>
    <xf numFmtId="0" fontId="6" fillId="7" borderId="22" xfId="0" applyFont="1" applyFill="1" applyBorder="1" applyAlignment="1">
      <alignment vertical="top" wrapText="1"/>
    </xf>
    <xf numFmtId="0" fontId="11" fillId="5" borderId="60" xfId="0" applyFont="1" applyFill="1" applyBorder="1" applyAlignment="1" applyProtection="1">
      <alignment horizontal="left" vertical="center" wrapText="1"/>
      <protection locked="0"/>
    </xf>
    <xf numFmtId="0" fontId="2" fillId="2" borderId="56" xfId="0" applyFont="1" applyFill="1" applyBorder="1" applyAlignment="1">
      <alignment horizontal="center" vertical="center"/>
    </xf>
    <xf numFmtId="2" fontId="2" fillId="4" borderId="56" xfId="0" applyNumberFormat="1" applyFont="1" applyFill="1" applyBorder="1" applyAlignment="1">
      <alignment horizontal="center" vertical="center"/>
    </xf>
    <xf numFmtId="0" fontId="11" fillId="5" borderId="61" xfId="0" applyFont="1" applyFill="1" applyBorder="1" applyAlignment="1" applyProtection="1">
      <alignment horizontal="left" vertical="center" wrapText="1"/>
      <protection locked="0"/>
    </xf>
    <xf numFmtId="0" fontId="0" fillId="0" borderId="2" xfId="0" applyBorder="1" applyAlignment="1">
      <alignment horizontal="center" vertical="top"/>
    </xf>
    <xf numFmtId="0" fontId="3" fillId="0" borderId="1" xfId="0" applyFont="1" applyBorder="1" applyAlignment="1">
      <alignment horizontal="left" vertical="top" wrapText="1" indent="2"/>
    </xf>
    <xf numFmtId="0" fontId="6" fillId="11" borderId="22" xfId="0" applyFont="1" applyFill="1" applyBorder="1" applyAlignment="1">
      <alignment horizontal="left" vertical="top" wrapText="1"/>
    </xf>
    <xf numFmtId="0" fontId="6" fillId="11" borderId="22" xfId="0" applyFont="1" applyFill="1" applyBorder="1" applyAlignment="1">
      <alignment horizontal="left" vertical="center" wrapText="1"/>
    </xf>
    <xf numFmtId="0" fontId="6" fillId="14" borderId="22" xfId="0" applyFont="1" applyFill="1" applyBorder="1" applyAlignment="1">
      <alignment horizontal="left" vertical="top" wrapText="1"/>
    </xf>
    <xf numFmtId="0" fontId="6" fillId="14" borderId="22" xfId="0" applyFont="1" applyFill="1" applyBorder="1" applyAlignment="1">
      <alignment wrapText="1"/>
    </xf>
    <xf numFmtId="0" fontId="6" fillId="26" borderId="22" xfId="0" applyFont="1" applyFill="1" applyBorder="1" applyAlignment="1">
      <alignment wrapText="1"/>
    </xf>
    <xf numFmtId="0" fontId="6" fillId="26" borderId="22" xfId="0" applyFont="1" applyFill="1" applyBorder="1" applyAlignment="1">
      <alignment vertical="top" wrapText="1"/>
    </xf>
    <xf numFmtId="0" fontId="6" fillId="19" borderId="22" xfId="0" applyFont="1" applyFill="1" applyBorder="1" applyAlignment="1">
      <alignment vertical="top" wrapText="1"/>
    </xf>
    <xf numFmtId="0" fontId="6" fillId="9" borderId="22" xfId="0" applyFont="1" applyFill="1" applyBorder="1" applyAlignment="1">
      <alignment horizontal="left" vertical="top" wrapText="1"/>
    </xf>
    <xf numFmtId="0" fontId="6" fillId="21" borderId="22" xfId="0" applyFont="1" applyFill="1" applyBorder="1" applyAlignment="1">
      <alignment vertical="top" wrapText="1"/>
    </xf>
    <xf numFmtId="0" fontId="6" fillId="21" borderId="22" xfId="0" applyFont="1" applyFill="1" applyBorder="1"/>
    <xf numFmtId="0" fontId="0" fillId="0" borderId="0" xfId="0" applyAlignment="1">
      <alignment vertical="center"/>
    </xf>
    <xf numFmtId="0" fontId="7"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xf>
    <xf numFmtId="0" fontId="7" fillId="0" borderId="0" xfId="0" applyFont="1" applyAlignment="1">
      <alignment horizontal="left" vertical="center"/>
    </xf>
    <xf numFmtId="0" fontId="7" fillId="2" borderId="14" xfId="0" applyFont="1" applyFill="1" applyBorder="1" applyAlignment="1">
      <alignment vertical="center"/>
    </xf>
    <xf numFmtId="0" fontId="13" fillId="0" borderId="0" xfId="0" applyFont="1" applyAlignment="1">
      <alignment horizontal="left"/>
    </xf>
    <xf numFmtId="0" fontId="7" fillId="0" borderId="0" xfId="0" quotePrefix="1" applyFont="1"/>
    <xf numFmtId="0" fontId="0" fillId="4" borderId="0" xfId="0" applyFill="1"/>
    <xf numFmtId="0" fontId="2" fillId="15" borderId="23" xfId="0" applyFont="1" applyFill="1" applyBorder="1" applyAlignment="1">
      <alignment horizontal="left" vertical="center"/>
    </xf>
    <xf numFmtId="0" fontId="2" fillId="15" borderId="40" xfId="0" applyFont="1" applyFill="1" applyBorder="1" applyAlignment="1">
      <alignment horizontal="left" vertical="center"/>
    </xf>
    <xf numFmtId="0" fontId="2" fillId="16" borderId="23" xfId="0" applyFont="1" applyFill="1" applyBorder="1" applyAlignment="1">
      <alignment horizontal="left" vertical="center"/>
    </xf>
    <xf numFmtId="0" fontId="2" fillId="16" borderId="40" xfId="0" applyFont="1" applyFill="1" applyBorder="1" applyAlignment="1">
      <alignment horizontal="left" vertical="center" wrapText="1"/>
    </xf>
    <xf numFmtId="0" fontId="0" fillId="2" borderId="22" xfId="0" applyFill="1" applyBorder="1" applyAlignment="1">
      <alignment horizontal="center" vertical="top"/>
    </xf>
    <xf numFmtId="0" fontId="2" fillId="0" borderId="0" xfId="0" applyFont="1" applyAlignment="1">
      <alignment horizontal="left" vertical="center"/>
    </xf>
    <xf numFmtId="0" fontId="2" fillId="0" borderId="27" xfId="0" applyFont="1" applyBorder="1" applyAlignment="1">
      <alignment horizontal="center" vertical="center"/>
    </xf>
    <xf numFmtId="0" fontId="2" fillId="16" borderId="0" xfId="0" applyFont="1" applyFill="1" applyAlignment="1">
      <alignment vertical="center"/>
    </xf>
    <xf numFmtId="0" fontId="2" fillId="16" borderId="0" xfId="0" applyFont="1" applyFill="1" applyAlignment="1">
      <alignment horizontal="left" vertical="center" wrapText="1"/>
    </xf>
    <xf numFmtId="0" fontId="2" fillId="16" borderId="25" xfId="0" applyFont="1" applyFill="1" applyBorder="1" applyAlignment="1">
      <alignment horizontal="left" vertical="center" wrapText="1"/>
    </xf>
    <xf numFmtId="0" fontId="9" fillId="0" borderId="0" xfId="0" applyFont="1"/>
    <xf numFmtId="0" fontId="2" fillId="13" borderId="2" xfId="0" applyFont="1" applyFill="1" applyBorder="1" applyAlignment="1">
      <alignment horizontal="left" vertical="center"/>
    </xf>
    <xf numFmtId="0" fontId="2" fillId="13" borderId="0" xfId="0" applyFont="1" applyFill="1" applyAlignment="1">
      <alignment horizontal="left" vertical="center"/>
    </xf>
    <xf numFmtId="0" fontId="2" fillId="13" borderId="40" xfId="0" applyFont="1" applyFill="1" applyBorder="1" applyAlignment="1">
      <alignment horizontal="left" vertical="center"/>
    </xf>
    <xf numFmtId="0" fontId="2" fillId="14" borderId="24" xfId="0" applyFont="1" applyFill="1" applyBorder="1" applyAlignment="1">
      <alignment horizontal="left" vertical="center"/>
    </xf>
    <xf numFmtId="0" fontId="2" fillId="14" borderId="25" xfId="0" applyFont="1" applyFill="1" applyBorder="1" applyAlignment="1">
      <alignment horizontal="left" vertical="center" wrapText="1"/>
    </xf>
    <xf numFmtId="0" fontId="2" fillId="14" borderId="23" xfId="0" applyFont="1" applyFill="1" applyBorder="1" applyAlignment="1">
      <alignment horizontal="left" vertical="center"/>
    </xf>
    <xf numFmtId="0" fontId="2" fillId="14" borderId="40" xfId="0" applyFont="1" applyFill="1" applyBorder="1" applyAlignment="1">
      <alignment horizontal="left" vertical="center" wrapText="1"/>
    </xf>
    <xf numFmtId="0" fontId="2" fillId="14" borderId="0" xfId="0" applyFont="1" applyFill="1" applyAlignment="1">
      <alignment horizontal="left" vertical="center" wrapText="1"/>
    </xf>
    <xf numFmtId="0" fontId="2" fillId="14" borderId="27" xfId="0" applyFont="1" applyFill="1" applyBorder="1" applyAlignment="1">
      <alignment horizontal="left" vertical="center" wrapText="1"/>
    </xf>
    <xf numFmtId="0" fontId="9" fillId="0" borderId="0" xfId="0" applyFont="1" applyAlignment="1">
      <alignment vertical="center"/>
    </xf>
    <xf numFmtId="0" fontId="2" fillId="17" borderId="0" xfId="0" applyFont="1" applyFill="1" applyAlignment="1">
      <alignment horizontal="center" vertical="center"/>
    </xf>
    <xf numFmtId="0" fontId="11" fillId="17" borderId="40" xfId="0" applyFont="1" applyFill="1" applyBorder="1" applyAlignment="1">
      <alignment horizontal="left" vertical="center" wrapText="1"/>
    </xf>
    <xf numFmtId="0" fontId="2" fillId="18" borderId="23" xfId="0" applyFont="1" applyFill="1" applyBorder="1" applyAlignment="1">
      <alignment horizontal="left" vertical="center"/>
    </xf>
    <xf numFmtId="0" fontId="2" fillId="18" borderId="40" xfId="0" applyFont="1" applyFill="1" applyBorder="1" applyAlignment="1">
      <alignment horizontal="left" vertical="center" wrapText="1"/>
    </xf>
    <xf numFmtId="0" fontId="2" fillId="18" borderId="2" xfId="0" applyFont="1" applyFill="1" applyBorder="1" applyAlignment="1">
      <alignment horizontal="left" vertical="center"/>
    </xf>
    <xf numFmtId="0" fontId="2" fillId="18" borderId="0" xfId="0" applyFont="1" applyFill="1" applyAlignment="1">
      <alignment horizontal="left" vertical="center"/>
    </xf>
    <xf numFmtId="0" fontId="2" fillId="18" borderId="40" xfId="0" applyFont="1" applyFill="1" applyBorder="1" applyAlignment="1">
      <alignment horizontal="left" vertical="center"/>
    </xf>
    <xf numFmtId="0" fontId="2" fillId="18" borderId="2" xfId="0" applyFont="1" applyFill="1" applyBorder="1" applyAlignment="1">
      <alignment vertical="center"/>
    </xf>
    <xf numFmtId="0" fontId="2" fillId="18" borderId="0" xfId="0" applyFont="1" applyFill="1" applyAlignment="1">
      <alignment vertical="center" wrapText="1"/>
    </xf>
    <xf numFmtId="0" fontId="2" fillId="18" borderId="25" xfId="0" applyFont="1" applyFill="1" applyBorder="1" applyAlignment="1">
      <alignment vertical="center" wrapText="1"/>
    </xf>
    <xf numFmtId="2" fontId="2" fillId="2" borderId="49" xfId="0" applyNumberFormat="1" applyFont="1" applyFill="1" applyBorder="1" applyAlignment="1">
      <alignment horizontal="center" vertical="center"/>
    </xf>
    <xf numFmtId="0" fontId="2" fillId="18" borderId="0" xfId="0" applyFont="1" applyFill="1" applyAlignment="1">
      <alignment horizontal="left" vertical="center" wrapText="1"/>
    </xf>
    <xf numFmtId="0" fontId="2" fillId="18" borderId="25" xfId="0" applyFont="1" applyFill="1" applyBorder="1" applyAlignment="1">
      <alignment horizontal="left" vertical="center" wrapText="1"/>
    </xf>
    <xf numFmtId="0" fontId="9" fillId="0" borderId="0" xfId="0" applyFont="1" applyAlignment="1">
      <alignment vertical="top"/>
    </xf>
    <xf numFmtId="0" fontId="0" fillId="0" borderId="0" xfId="0" applyAlignment="1">
      <alignment vertical="top" wrapText="1"/>
    </xf>
    <xf numFmtId="0" fontId="2" fillId="9" borderId="23" xfId="0" applyFont="1" applyFill="1" applyBorder="1" applyAlignment="1">
      <alignment horizontal="left" vertical="center"/>
    </xf>
    <xf numFmtId="0" fontId="2" fillId="9" borderId="40" xfId="0" applyFont="1" applyFill="1" applyBorder="1" applyAlignment="1">
      <alignment horizontal="left" vertical="center" wrapText="1"/>
    </xf>
    <xf numFmtId="0" fontId="0" fillId="0" borderId="0" xfId="0" applyAlignment="1">
      <alignment vertical="top"/>
    </xf>
    <xf numFmtId="0" fontId="15" fillId="0" borderId="0" xfId="0" applyFont="1" applyAlignment="1">
      <alignment vertical="top"/>
    </xf>
    <xf numFmtId="0" fontId="13" fillId="0" borderId="0" xfId="0" applyFont="1" applyAlignment="1">
      <alignment vertical="top"/>
    </xf>
    <xf numFmtId="0" fontId="13" fillId="0" borderId="0" xfId="0" applyFont="1"/>
    <xf numFmtId="0" fontId="2" fillId="22" borderId="23" xfId="0" applyFont="1" applyFill="1" applyBorder="1" applyAlignment="1">
      <alignment horizontal="left" vertical="center"/>
    </xf>
    <xf numFmtId="0" fontId="2" fillId="22" borderId="40" xfId="0" applyFont="1" applyFill="1" applyBorder="1" applyAlignment="1">
      <alignment horizontal="left" vertical="center" wrapText="1"/>
    </xf>
    <xf numFmtId="0" fontId="2" fillId="0" borderId="0" xfId="0" applyFont="1" applyAlignment="1">
      <alignment vertical="top"/>
    </xf>
    <xf numFmtId="0" fontId="14" fillId="0" borderId="0" xfId="0" applyFont="1"/>
    <xf numFmtId="0" fontId="6" fillId="0" borderId="0" xfId="0" applyFont="1"/>
    <xf numFmtId="0" fontId="0" fillId="0" borderId="0" xfId="0" applyAlignment="1">
      <alignment horizontal="center" vertical="top"/>
    </xf>
    <xf numFmtId="0" fontId="0" fillId="2" borderId="43" xfId="0" applyFill="1" applyBorder="1" applyAlignment="1">
      <alignment horizontal="center" vertical="top"/>
    </xf>
    <xf numFmtId="0" fontId="0" fillId="2" borderId="46" xfId="0" applyFill="1" applyBorder="1" applyAlignment="1">
      <alignment horizontal="center" vertical="top"/>
    </xf>
    <xf numFmtId="0" fontId="0" fillId="0" borderId="66" xfId="0" applyBorder="1" applyAlignment="1" applyProtection="1">
      <alignment horizontal="center" vertical="top"/>
      <protection locked="0"/>
    </xf>
    <xf numFmtId="0" fontId="0" fillId="0" borderId="71" xfId="0" applyBorder="1" applyAlignment="1" applyProtection="1">
      <alignment horizontal="center" vertical="top"/>
      <protection locked="0"/>
    </xf>
    <xf numFmtId="0" fontId="0" fillId="0" borderId="69" xfId="0" applyBorder="1" applyAlignment="1" applyProtection="1">
      <alignment horizontal="center" vertical="top"/>
      <protection locked="0"/>
    </xf>
    <xf numFmtId="0" fontId="0" fillId="0" borderId="63" xfId="0" applyBorder="1" applyAlignment="1" applyProtection="1">
      <alignment horizontal="center" vertical="top"/>
      <protection locked="0"/>
    </xf>
    <xf numFmtId="0" fontId="0" fillId="0" borderId="35" xfId="0" applyBorder="1" applyAlignment="1" applyProtection="1">
      <alignment horizontal="center" vertical="top"/>
      <protection locked="0"/>
    </xf>
    <xf numFmtId="0" fontId="2" fillId="18" borderId="41" xfId="0" applyFont="1" applyFill="1" applyBorder="1" applyAlignment="1">
      <alignment vertical="center" wrapText="1"/>
    </xf>
    <xf numFmtId="0" fontId="2" fillId="18" borderId="40" xfId="0" applyFont="1" applyFill="1" applyBorder="1" applyAlignment="1">
      <alignment vertical="center" wrapText="1"/>
    </xf>
    <xf numFmtId="0" fontId="0" fillId="2" borderId="36" xfId="0" applyFill="1" applyBorder="1" applyAlignment="1">
      <alignment horizontal="center" vertical="top"/>
    </xf>
    <xf numFmtId="0" fontId="0" fillId="2" borderId="71" xfId="0" applyFill="1" applyBorder="1" applyAlignment="1">
      <alignment horizontal="center" vertical="top"/>
    </xf>
    <xf numFmtId="0" fontId="6" fillId="12" borderId="69" xfId="0" applyFont="1" applyFill="1" applyBorder="1" applyAlignment="1" applyProtection="1">
      <alignment horizontal="left" vertical="top" wrapText="1"/>
      <protection locked="0"/>
    </xf>
    <xf numFmtId="0" fontId="0" fillId="2" borderId="69" xfId="0" applyFill="1" applyBorder="1" applyAlignment="1">
      <alignment horizontal="center" vertical="top"/>
    </xf>
    <xf numFmtId="0" fontId="0" fillId="2" borderId="63" xfId="0" applyFill="1" applyBorder="1" applyAlignment="1">
      <alignment horizontal="center" vertical="top"/>
    </xf>
    <xf numFmtId="0" fontId="0" fillId="0" borderId="36" xfId="0" applyBorder="1" applyAlignment="1" applyProtection="1">
      <alignment horizontal="center" vertical="top"/>
      <protection locked="0"/>
    </xf>
    <xf numFmtId="0" fontId="0" fillId="2" borderId="66" xfId="0" applyFill="1" applyBorder="1" applyAlignment="1">
      <alignment horizontal="center" vertical="top"/>
    </xf>
    <xf numFmtId="0" fontId="0" fillId="2" borderId="65" xfId="0" applyFill="1" applyBorder="1" applyAlignment="1">
      <alignment horizontal="center" vertical="top"/>
    </xf>
    <xf numFmtId="0" fontId="6" fillId="11" borderId="63" xfId="0" applyFont="1" applyFill="1" applyBorder="1" applyAlignment="1" applyProtection="1">
      <alignment horizontal="left" vertical="top" wrapText="1"/>
      <protection locked="0"/>
    </xf>
    <xf numFmtId="0" fontId="2" fillId="16" borderId="41" xfId="0" applyFont="1" applyFill="1" applyBorder="1" applyAlignment="1">
      <alignment horizontal="left" vertical="center" wrapText="1"/>
    </xf>
    <xf numFmtId="0" fontId="11" fillId="5" borderId="49" xfId="0" applyFont="1" applyFill="1" applyBorder="1" applyAlignment="1" applyProtection="1">
      <alignment horizontal="left" vertical="center" wrapText="1"/>
      <protection locked="0"/>
    </xf>
    <xf numFmtId="0" fontId="0" fillId="0" borderId="62" xfId="0" applyBorder="1" applyAlignment="1" applyProtection="1">
      <alignment horizontal="center" vertical="top"/>
      <protection locked="0"/>
    </xf>
    <xf numFmtId="0" fontId="2" fillId="11" borderId="48" xfId="0" applyFont="1" applyFill="1" applyBorder="1" applyAlignment="1">
      <alignment horizontal="right" vertical="center"/>
    </xf>
    <xf numFmtId="0" fontId="6" fillId="11" borderId="62" xfId="0" applyFont="1" applyFill="1" applyBorder="1" applyAlignment="1" applyProtection="1">
      <alignment horizontal="left" vertical="top" wrapText="1"/>
      <protection locked="0"/>
    </xf>
    <xf numFmtId="0" fontId="6" fillId="12" borderId="62" xfId="0" applyFont="1" applyFill="1" applyBorder="1" applyAlignment="1" applyProtection="1">
      <alignment horizontal="left" vertical="top" wrapText="1"/>
      <protection locked="0"/>
    </xf>
    <xf numFmtId="0" fontId="2" fillId="14" borderId="39" xfId="0" applyFont="1" applyFill="1" applyBorder="1" applyAlignment="1">
      <alignment horizontal="left" vertical="center"/>
    </xf>
    <xf numFmtId="0" fontId="2" fillId="14" borderId="70" xfId="0" applyFont="1" applyFill="1" applyBorder="1" applyAlignment="1">
      <alignment horizontal="left" vertical="center" wrapText="1"/>
    </xf>
    <xf numFmtId="0" fontId="2" fillId="12" borderId="24" xfId="0" applyFont="1" applyFill="1" applyBorder="1" applyAlignment="1">
      <alignment vertical="center"/>
    </xf>
    <xf numFmtId="0" fontId="2" fillId="12" borderId="21" xfId="0" applyFont="1" applyFill="1" applyBorder="1" applyAlignment="1">
      <alignment vertical="center"/>
    </xf>
    <xf numFmtId="0" fontId="6" fillId="12" borderId="63" xfId="0" applyFont="1" applyFill="1" applyBorder="1" applyAlignment="1" applyProtection="1">
      <alignment horizontal="left" vertical="top" wrapText="1"/>
      <protection locked="0"/>
    </xf>
    <xf numFmtId="0" fontId="6" fillId="19" borderId="63" xfId="0" applyFont="1" applyFill="1" applyBorder="1" applyAlignment="1" applyProtection="1">
      <alignment vertical="top" wrapText="1"/>
      <protection locked="0"/>
    </xf>
    <xf numFmtId="0" fontId="11" fillId="5" borderId="28" xfId="0" applyFont="1" applyFill="1" applyBorder="1" applyAlignment="1" applyProtection="1">
      <alignment horizontal="left" vertical="center" wrapText="1"/>
      <protection locked="0"/>
    </xf>
    <xf numFmtId="0" fontId="6" fillId="19" borderId="62" xfId="0" applyFont="1" applyFill="1" applyBorder="1" applyAlignment="1" applyProtection="1">
      <alignment vertical="top" wrapText="1"/>
      <protection locked="0"/>
    </xf>
    <xf numFmtId="0" fontId="2" fillId="18" borderId="41" xfId="0" applyFont="1" applyFill="1" applyBorder="1" applyAlignment="1">
      <alignment horizontal="left" vertical="center" wrapText="1"/>
    </xf>
    <xf numFmtId="0" fontId="0" fillId="0" borderId="46" xfId="0" applyBorder="1" applyAlignment="1" applyProtection="1">
      <alignment horizontal="center" vertical="top"/>
      <protection locked="0"/>
    </xf>
    <xf numFmtId="0" fontId="0" fillId="2" borderId="55" xfId="0" applyFill="1" applyBorder="1" applyAlignment="1">
      <alignment horizontal="center" vertical="top"/>
    </xf>
    <xf numFmtId="0" fontId="2" fillId="18" borderId="66" xfId="0" applyFont="1" applyFill="1" applyBorder="1" applyAlignment="1">
      <alignment horizontal="left" vertical="center" wrapText="1"/>
    </xf>
    <xf numFmtId="0" fontId="2" fillId="18" borderId="31" xfId="0" applyFont="1" applyFill="1" applyBorder="1" applyAlignment="1">
      <alignment horizontal="left" vertical="center"/>
    </xf>
    <xf numFmtId="0" fontId="2" fillId="8" borderId="41" xfId="0" applyFont="1" applyFill="1" applyBorder="1" applyAlignment="1">
      <alignment horizontal="left" vertical="center" wrapText="1"/>
    </xf>
    <xf numFmtId="0" fontId="2" fillId="8" borderId="36" xfId="0" applyFont="1" applyFill="1" applyBorder="1" applyAlignment="1">
      <alignment horizontal="left" vertical="center" wrapText="1"/>
    </xf>
    <xf numFmtId="0" fontId="2" fillId="8" borderId="66" xfId="0" applyFont="1" applyFill="1" applyBorder="1" applyAlignment="1">
      <alignment horizontal="left" vertical="center" wrapText="1"/>
    </xf>
    <xf numFmtId="0" fontId="2" fillId="8" borderId="23" xfId="0" applyFont="1" applyFill="1" applyBorder="1" applyAlignment="1">
      <alignment horizontal="left" vertical="center"/>
    </xf>
    <xf numFmtId="0" fontId="2" fillId="8" borderId="40" xfId="0" applyFont="1" applyFill="1" applyBorder="1" applyAlignment="1">
      <alignment horizontal="left" vertical="center" wrapText="1"/>
    </xf>
    <xf numFmtId="0" fontId="2" fillId="8" borderId="31" xfId="0" applyFont="1" applyFill="1" applyBorder="1" applyAlignment="1">
      <alignment horizontal="left" vertical="center"/>
    </xf>
    <xf numFmtId="0" fontId="2" fillId="8" borderId="39" xfId="0" applyFont="1" applyFill="1" applyBorder="1" applyAlignment="1">
      <alignment horizontal="left" vertical="center" wrapText="1"/>
    </xf>
    <xf numFmtId="0" fontId="2" fillId="8" borderId="70" xfId="0" applyFont="1" applyFill="1" applyBorder="1" applyAlignment="1">
      <alignment horizontal="left" vertical="center" wrapText="1"/>
    </xf>
    <xf numFmtId="0" fontId="2" fillId="8" borderId="55" xfId="0" applyFont="1" applyFill="1" applyBorder="1" applyAlignment="1">
      <alignment horizontal="left" vertical="center" wrapText="1"/>
    </xf>
    <xf numFmtId="0" fontId="2" fillId="9" borderId="25" xfId="0" applyFont="1" applyFill="1" applyBorder="1" applyAlignment="1">
      <alignment horizontal="left" vertical="center" wrapText="1"/>
    </xf>
    <xf numFmtId="0" fontId="2" fillId="9" borderId="45" xfId="0" applyFont="1" applyFill="1" applyBorder="1" applyAlignment="1">
      <alignment horizontal="left" vertical="center" wrapText="1"/>
    </xf>
    <xf numFmtId="0" fontId="2" fillId="7" borderId="16" xfId="0" applyFont="1" applyFill="1" applyBorder="1" applyAlignment="1">
      <alignment vertical="top"/>
    </xf>
    <xf numFmtId="0" fontId="2" fillId="7" borderId="27" xfId="0" applyFont="1" applyFill="1" applyBorder="1" applyAlignment="1">
      <alignment vertical="top"/>
    </xf>
    <xf numFmtId="0" fontId="8" fillId="7" borderId="48" xfId="0" applyFont="1" applyFill="1" applyBorder="1" applyAlignment="1">
      <alignment horizontal="right" vertical="center" wrapText="1"/>
    </xf>
    <xf numFmtId="0" fontId="0" fillId="2" borderId="35" xfId="0" applyFill="1" applyBorder="1" applyAlignment="1">
      <alignment horizontal="center" vertical="top"/>
    </xf>
    <xf numFmtId="0" fontId="2" fillId="20" borderId="41" xfId="0" applyFont="1" applyFill="1" applyBorder="1" applyAlignment="1">
      <alignment vertical="top" wrapText="1"/>
    </xf>
    <xf numFmtId="0" fontId="2" fillId="20" borderId="66" xfId="0" applyFont="1" applyFill="1" applyBorder="1" applyAlignment="1">
      <alignment vertical="top" wrapText="1"/>
    </xf>
    <xf numFmtId="0" fontId="2" fillId="0" borderId="14" xfId="0" applyFont="1" applyBorder="1" applyAlignment="1">
      <alignment horizontal="center" vertical="center"/>
    </xf>
    <xf numFmtId="0" fontId="2" fillId="0" borderId="14" xfId="0" applyFont="1" applyBorder="1" applyAlignment="1">
      <alignment vertical="top"/>
    </xf>
    <xf numFmtId="0" fontId="2" fillId="0" borderId="0" xfId="0" applyFont="1"/>
    <xf numFmtId="0" fontId="2" fillId="2" borderId="23" xfId="0" applyFont="1" applyFill="1" applyBorder="1" applyAlignment="1">
      <alignment horizontal="center"/>
    </xf>
    <xf numFmtId="0" fontId="0" fillId="3" borderId="31" xfId="0" applyFill="1" applyBorder="1" applyAlignment="1">
      <alignment horizontal="center"/>
    </xf>
    <xf numFmtId="0" fontId="0" fillId="3" borderId="6" xfId="0" applyFill="1" applyBorder="1" applyAlignment="1">
      <alignment horizontal="center"/>
    </xf>
    <xf numFmtId="0" fontId="0" fillId="3" borderId="32" xfId="0" applyFill="1" applyBorder="1" applyAlignment="1">
      <alignment horizontal="center"/>
    </xf>
    <xf numFmtId="0" fontId="0" fillId="0" borderId="14" xfId="0" applyBorder="1" applyAlignment="1">
      <alignment horizontal="center"/>
    </xf>
    <xf numFmtId="0" fontId="9" fillId="7" borderId="62" xfId="0" applyFont="1" applyFill="1" applyBorder="1" applyAlignment="1" applyProtection="1">
      <alignment vertical="top" wrapText="1"/>
      <protection locked="0"/>
    </xf>
    <xf numFmtId="0" fontId="0" fillId="0" borderId="55" xfId="0" applyBorder="1" applyAlignment="1" applyProtection="1">
      <alignment horizontal="center" vertical="top"/>
      <protection locked="0"/>
    </xf>
    <xf numFmtId="0" fontId="9" fillId="7" borderId="63" xfId="0" applyFont="1" applyFill="1" applyBorder="1" applyAlignment="1" applyProtection="1">
      <alignment vertical="top" wrapText="1"/>
      <protection locked="0"/>
    </xf>
    <xf numFmtId="0" fontId="10" fillId="7" borderId="22" xfId="0" applyFont="1" applyFill="1" applyBorder="1" applyAlignment="1" applyProtection="1">
      <alignment vertical="top" wrapText="1"/>
      <protection locked="0"/>
    </xf>
    <xf numFmtId="0" fontId="10" fillId="7" borderId="46" xfId="0" applyFont="1" applyFill="1" applyBorder="1" applyAlignment="1" applyProtection="1">
      <alignment vertical="top" wrapText="1"/>
      <protection locked="0"/>
    </xf>
    <xf numFmtId="0" fontId="10" fillId="7" borderId="55" xfId="0" applyFont="1" applyFill="1" applyBorder="1" applyAlignment="1" applyProtection="1">
      <alignment vertical="top" wrapText="1"/>
      <protection locked="0"/>
    </xf>
    <xf numFmtId="0" fontId="10" fillId="7" borderId="63" xfId="0" applyFont="1" applyFill="1" applyBorder="1" applyAlignment="1" applyProtection="1">
      <alignment vertical="top" wrapText="1"/>
      <protection locked="0"/>
    </xf>
    <xf numFmtId="0" fontId="6" fillId="21" borderId="55" xfId="0" applyFont="1" applyFill="1" applyBorder="1" applyAlignment="1" applyProtection="1">
      <alignment vertical="top" wrapText="1"/>
      <protection locked="0"/>
    </xf>
    <xf numFmtId="0" fontId="6" fillId="21" borderId="22" xfId="0" applyFont="1" applyFill="1" applyBorder="1" applyAlignment="1" applyProtection="1">
      <alignment vertical="top" wrapText="1"/>
      <protection locked="0"/>
    </xf>
    <xf numFmtId="0" fontId="6" fillId="21" borderId="73" xfId="0" applyFont="1" applyFill="1" applyBorder="1" applyAlignment="1" applyProtection="1">
      <alignment vertical="top" wrapText="1"/>
      <protection locked="0"/>
    </xf>
    <xf numFmtId="0" fontId="6" fillId="21" borderId="63" xfId="0" applyFont="1" applyFill="1" applyBorder="1" applyAlignment="1" applyProtection="1">
      <alignment vertical="top" wrapText="1"/>
      <protection locked="0"/>
    </xf>
    <xf numFmtId="0" fontId="6" fillId="21" borderId="70" xfId="0" applyFont="1" applyFill="1" applyBorder="1" applyAlignment="1" applyProtection="1">
      <alignment vertical="top" wrapText="1"/>
      <protection locked="0"/>
    </xf>
    <xf numFmtId="2" fontId="7" fillId="0" borderId="17" xfId="0" applyNumberFormat="1" applyFont="1" applyBorder="1" applyAlignment="1" applyProtection="1">
      <alignment horizontal="center" vertical="center"/>
      <protection locked="0"/>
    </xf>
    <xf numFmtId="2" fontId="7" fillId="0" borderId="3" xfId="0" applyNumberFormat="1" applyFont="1" applyBorder="1" applyAlignment="1" applyProtection="1">
      <alignment horizontal="center" vertical="center"/>
      <protection locked="0"/>
    </xf>
    <xf numFmtId="2" fontId="7" fillId="0" borderId="5" xfId="0" applyNumberFormat="1" applyFont="1" applyBorder="1" applyAlignment="1" applyProtection="1">
      <alignment horizontal="center" vertical="center"/>
      <protection locked="0"/>
    </xf>
    <xf numFmtId="2" fontId="7" fillId="0" borderId="20" xfId="0" applyNumberFormat="1" applyFont="1" applyBorder="1" applyAlignment="1" applyProtection="1">
      <alignment horizontal="center" vertical="center"/>
      <protection locked="0"/>
    </xf>
    <xf numFmtId="2" fontId="7" fillId="0" borderId="12" xfId="0" applyNumberFormat="1" applyFont="1" applyBorder="1" applyAlignment="1" applyProtection="1">
      <alignment horizontal="center" vertical="center"/>
      <protection locked="0"/>
    </xf>
    <xf numFmtId="0" fontId="7" fillId="2" borderId="5" xfId="0" applyFont="1" applyFill="1" applyBorder="1" applyAlignment="1">
      <alignment horizontal="center" vertical="center"/>
    </xf>
    <xf numFmtId="0" fontId="7" fillId="23" borderId="4" xfId="0" applyFont="1" applyFill="1" applyBorder="1" applyAlignment="1">
      <alignment horizontal="left" vertical="center"/>
    </xf>
    <xf numFmtId="0" fontId="7" fillId="23" borderId="75" xfId="0" applyFont="1" applyFill="1" applyBorder="1" applyAlignment="1">
      <alignment horizontal="left" vertical="center"/>
    </xf>
    <xf numFmtId="0" fontId="7" fillId="23" borderId="5" xfId="0" applyFont="1" applyFill="1" applyBorder="1" applyAlignment="1">
      <alignment horizontal="left" vertical="center"/>
    </xf>
    <xf numFmtId="0" fontId="7" fillId="2" borderId="19" xfId="0" applyFont="1" applyFill="1" applyBorder="1" applyAlignment="1">
      <alignment horizontal="center" vertical="center"/>
    </xf>
    <xf numFmtId="2" fontId="2" fillId="2" borderId="56" xfId="0" applyNumberFormat="1" applyFont="1" applyFill="1" applyBorder="1" applyAlignment="1">
      <alignment horizontal="center" vertical="center"/>
    </xf>
    <xf numFmtId="0" fontId="12" fillId="0" borderId="0" xfId="0" applyFont="1" applyAlignment="1">
      <alignment horizontal="center" vertical="center"/>
    </xf>
    <xf numFmtId="0" fontId="12" fillId="0" borderId="0" xfId="0" applyFont="1" applyAlignment="1">
      <alignment horizontal="left" vertical="center"/>
    </xf>
    <xf numFmtId="0" fontId="4" fillId="30" borderId="1" xfId="0" applyFont="1" applyFill="1" applyBorder="1" applyAlignment="1">
      <alignment horizontal="left"/>
    </xf>
    <xf numFmtId="0" fontId="3" fillId="30" borderId="1" xfId="0" applyFont="1" applyFill="1" applyBorder="1" applyAlignment="1">
      <alignment horizontal="left" vertical="top" wrapText="1" indent="2"/>
    </xf>
    <xf numFmtId="0" fontId="12" fillId="6" borderId="21" xfId="0" applyFont="1" applyFill="1" applyBorder="1" applyAlignment="1">
      <alignment horizontal="left" vertical="center" wrapText="1"/>
    </xf>
    <xf numFmtId="0" fontId="0" fillId="0" borderId="15" xfId="0" applyBorder="1" applyAlignment="1">
      <alignment horizontal="center" wrapText="1"/>
    </xf>
    <xf numFmtId="0" fontId="2" fillId="4" borderId="28" xfId="0" applyFont="1" applyFill="1" applyBorder="1" applyAlignment="1">
      <alignment horizontal="center" wrapText="1"/>
    </xf>
    <xf numFmtId="0" fontId="7" fillId="0" borderId="33" xfId="0" applyFont="1" applyBorder="1" applyAlignment="1">
      <alignment horizontal="center" vertical="center" wrapText="1"/>
    </xf>
    <xf numFmtId="0" fontId="7" fillId="0" borderId="34" xfId="0" quotePrefix="1" applyFont="1" applyBorder="1" applyAlignment="1">
      <alignment horizontal="center" vertical="center" wrapText="1"/>
    </xf>
    <xf numFmtId="0" fontId="7" fillId="0" borderId="77" xfId="0" applyFont="1" applyBorder="1" applyAlignment="1">
      <alignment horizontal="center" vertical="center" wrapText="1"/>
    </xf>
    <xf numFmtId="0" fontId="22" fillId="30" borderId="28" xfId="0" applyFont="1" applyFill="1" applyBorder="1" applyAlignment="1">
      <alignment horizontal="center" vertical="center" wrapText="1"/>
    </xf>
    <xf numFmtId="0" fontId="2" fillId="4" borderId="45" xfId="0" applyFont="1" applyFill="1" applyBorder="1" applyAlignment="1">
      <alignment horizontal="center" vertical="center" wrapText="1"/>
    </xf>
    <xf numFmtId="0" fontId="22" fillId="30" borderId="45" xfId="0" applyFont="1" applyFill="1" applyBorder="1" applyAlignment="1">
      <alignment horizontal="center" vertical="center" wrapText="1"/>
    </xf>
    <xf numFmtId="0" fontId="0" fillId="0" borderId="55" xfId="0" applyBorder="1" applyAlignment="1">
      <alignment horizontal="center" vertical="center" wrapText="1"/>
    </xf>
    <xf numFmtId="0" fontId="0" fillId="0" borderId="46" xfId="0" applyBorder="1" applyAlignment="1">
      <alignment horizontal="center" vertical="center" wrapText="1"/>
    </xf>
    <xf numFmtId="0" fontId="7" fillId="0" borderId="71" xfId="0" quotePrefix="1" applyFont="1" applyBorder="1" applyAlignment="1">
      <alignment horizontal="center" vertical="center" wrapText="1"/>
    </xf>
    <xf numFmtId="0" fontId="22" fillId="30" borderId="8" xfId="0" applyFont="1" applyFill="1" applyBorder="1" applyAlignment="1">
      <alignment horizontal="center" vertical="center" wrapText="1"/>
    </xf>
    <xf numFmtId="0" fontId="2" fillId="28" borderId="11" xfId="0" applyFont="1" applyFill="1" applyBorder="1" applyAlignment="1">
      <alignment horizontal="center" vertical="center" wrapText="1"/>
    </xf>
    <xf numFmtId="0" fontId="2" fillId="29" borderId="12" xfId="0" applyFont="1" applyFill="1" applyBorder="1" applyAlignment="1">
      <alignment horizontal="center" vertical="center" wrapText="1"/>
    </xf>
    <xf numFmtId="0" fontId="2" fillId="27" borderId="12" xfId="0" applyFont="1" applyFill="1" applyBorder="1" applyAlignment="1">
      <alignment horizontal="center" vertical="center" wrapText="1"/>
    </xf>
    <xf numFmtId="0" fontId="2" fillId="10" borderId="12" xfId="0" applyFont="1" applyFill="1" applyBorder="1" applyAlignment="1">
      <alignment horizontal="center" vertical="center" wrapText="1"/>
    </xf>
    <xf numFmtId="0" fontId="2" fillId="0" borderId="44" xfId="0" applyFont="1" applyBorder="1" applyAlignment="1">
      <alignment horizontal="center" vertical="center" wrapText="1"/>
    </xf>
    <xf numFmtId="2" fontId="7" fillId="0" borderId="0" xfId="0" quotePrefix="1" applyNumberFormat="1" applyFont="1" applyAlignment="1">
      <alignment horizontal="center"/>
    </xf>
    <xf numFmtId="2" fontId="13" fillId="0" borderId="0" xfId="0" applyNumberFormat="1" applyFont="1" applyAlignment="1">
      <alignment horizontal="left"/>
    </xf>
    <xf numFmtId="2" fontId="0" fillId="0" borderId="0" xfId="0" applyNumberFormat="1" applyAlignment="1">
      <alignment horizontal="center"/>
    </xf>
    <xf numFmtId="0" fontId="0" fillId="0" borderId="40" xfId="0" applyBorder="1" applyAlignment="1">
      <alignment horizontal="center"/>
    </xf>
    <xf numFmtId="0" fontId="7" fillId="2" borderId="76" xfId="0" applyFont="1" applyFill="1" applyBorder="1" applyAlignment="1">
      <alignment horizontal="center" vertical="center"/>
    </xf>
    <xf numFmtId="0" fontId="7" fillId="2" borderId="17" xfId="0" applyFont="1" applyFill="1" applyBorder="1" applyAlignment="1">
      <alignment horizontal="center" vertical="center"/>
    </xf>
    <xf numFmtId="0" fontId="2" fillId="15" borderId="21" xfId="0" applyFont="1" applyFill="1" applyBorder="1" applyAlignment="1">
      <alignment vertical="center"/>
    </xf>
    <xf numFmtId="0" fontId="2" fillId="13" borderId="21" xfId="0" applyFont="1" applyFill="1" applyBorder="1" applyAlignment="1">
      <alignment vertical="center"/>
    </xf>
    <xf numFmtId="0" fontId="2" fillId="17" borderId="21" xfId="0" applyFont="1" applyFill="1" applyBorder="1" applyAlignment="1">
      <alignment vertical="center"/>
    </xf>
    <xf numFmtId="0" fontId="2" fillId="9" borderId="21" xfId="0" applyFont="1" applyFill="1" applyBorder="1" applyAlignment="1">
      <alignment vertical="center"/>
    </xf>
    <xf numFmtId="0" fontId="2" fillId="22" borderId="21" xfId="0" applyFont="1" applyFill="1" applyBorder="1" applyAlignment="1">
      <alignment horizontal="left" vertical="center"/>
    </xf>
    <xf numFmtId="0" fontId="7" fillId="2" borderId="78" xfId="0" applyFont="1" applyFill="1" applyBorder="1" applyAlignment="1">
      <alignment horizontal="center" vertical="center"/>
    </xf>
    <xf numFmtId="0" fontId="12" fillId="0" borderId="0" xfId="0" applyFont="1"/>
    <xf numFmtId="0" fontId="7" fillId="2" borderId="14" xfId="0" applyFont="1" applyFill="1" applyBorder="1" applyAlignment="1">
      <alignment horizontal="center" vertical="center"/>
    </xf>
    <xf numFmtId="0" fontId="0" fillId="0" borderId="73" xfId="0" applyBorder="1" applyAlignment="1" applyProtection="1">
      <alignment horizontal="center" vertical="top"/>
      <protection locked="0"/>
    </xf>
    <xf numFmtId="0" fontId="0" fillId="2" borderId="56" xfId="0" applyFill="1" applyBorder="1" applyAlignment="1">
      <alignment horizontal="center" vertical="top"/>
    </xf>
    <xf numFmtId="0" fontId="2" fillId="32" borderId="40" xfId="0" applyFont="1" applyFill="1" applyBorder="1" applyAlignment="1">
      <alignment horizontal="left" vertical="center" wrapText="1"/>
    </xf>
    <xf numFmtId="0" fontId="2" fillId="32" borderId="23" xfId="0" applyFont="1" applyFill="1" applyBorder="1" applyAlignment="1">
      <alignment horizontal="left" vertical="center"/>
    </xf>
    <xf numFmtId="0" fontId="2" fillId="24" borderId="41" xfId="0" applyFont="1" applyFill="1" applyBorder="1" applyAlignment="1">
      <alignment vertical="top" wrapText="1"/>
    </xf>
    <xf numFmtId="0" fontId="2" fillId="24" borderId="66" xfId="0" applyFont="1" applyFill="1" applyBorder="1" applyAlignment="1">
      <alignment vertical="top" wrapText="1"/>
    </xf>
    <xf numFmtId="0" fontId="6" fillId="33" borderId="55" xfId="0" applyFont="1" applyFill="1" applyBorder="1" applyAlignment="1" applyProtection="1">
      <alignment vertical="top" wrapText="1"/>
      <protection locked="0"/>
    </xf>
    <xf numFmtId="0" fontId="2" fillId="33" borderId="48" xfId="0" applyFont="1" applyFill="1" applyBorder="1" applyAlignment="1">
      <alignment vertical="top"/>
    </xf>
    <xf numFmtId="0" fontId="6" fillId="33" borderId="63" xfId="0" applyFont="1" applyFill="1" applyBorder="1" applyAlignment="1" applyProtection="1">
      <alignment vertical="top" wrapText="1"/>
      <protection locked="0"/>
    </xf>
    <xf numFmtId="0" fontId="6" fillId="33" borderId="70" xfId="0" applyFont="1" applyFill="1" applyBorder="1" applyAlignment="1" applyProtection="1">
      <alignment vertical="top" wrapText="1"/>
      <protection locked="0"/>
    </xf>
    <xf numFmtId="0" fontId="6" fillId="33" borderId="73" xfId="0" applyFont="1" applyFill="1" applyBorder="1" applyAlignment="1" applyProtection="1">
      <alignment vertical="top" wrapText="1"/>
      <protection locked="0"/>
    </xf>
    <xf numFmtId="0" fontId="7" fillId="32" borderId="27" xfId="0" applyFont="1" applyFill="1" applyBorder="1" applyAlignment="1">
      <alignment vertical="center"/>
    </xf>
    <xf numFmtId="2" fontId="7" fillId="32" borderId="27" xfId="0" applyNumberFormat="1" applyFont="1" applyFill="1" applyBorder="1" applyAlignment="1">
      <alignment horizontal="center" vertical="center"/>
    </xf>
    <xf numFmtId="0" fontId="7" fillId="32" borderId="15" xfId="0" applyFont="1" applyFill="1" applyBorder="1" applyAlignment="1">
      <alignment horizontal="center" vertical="center"/>
    </xf>
    <xf numFmtId="0" fontId="7" fillId="24" borderId="14" xfId="0" applyFont="1" applyFill="1" applyBorder="1" applyAlignment="1">
      <alignment horizontal="right" vertical="center"/>
    </xf>
    <xf numFmtId="0" fontId="7" fillId="24" borderId="4" xfId="0" applyFont="1" applyFill="1" applyBorder="1" applyAlignment="1">
      <alignment horizontal="left" vertical="center" wrapText="1"/>
    </xf>
    <xf numFmtId="0" fontId="7" fillId="24" borderId="17" xfId="0" applyFont="1" applyFill="1" applyBorder="1" applyAlignment="1">
      <alignment horizontal="left" vertical="center" wrapText="1"/>
    </xf>
    <xf numFmtId="0" fontId="7" fillId="24" borderId="20" xfId="0" applyFont="1" applyFill="1" applyBorder="1" applyAlignment="1">
      <alignment horizontal="left" vertical="center" wrapText="1"/>
    </xf>
    <xf numFmtId="0" fontId="2" fillId="32" borderId="16" xfId="0" applyFont="1" applyFill="1" applyBorder="1" applyAlignment="1">
      <alignment horizontal="left" vertical="center" wrapText="1"/>
    </xf>
    <xf numFmtId="0" fontId="0" fillId="3" borderId="67" xfId="0" applyFill="1" applyBorder="1" applyAlignment="1">
      <alignment horizontal="center"/>
    </xf>
    <xf numFmtId="0" fontId="6" fillId="10" borderId="65" xfId="0" applyFont="1" applyFill="1" applyBorder="1" applyAlignment="1">
      <alignment horizontal="center" vertical="center"/>
    </xf>
    <xf numFmtId="0" fontId="6" fillId="33" borderId="22" xfId="0" applyFont="1" applyFill="1" applyBorder="1" applyAlignment="1">
      <alignment vertical="top" wrapText="1"/>
    </xf>
    <xf numFmtId="0" fontId="6" fillId="33" borderId="22" xfId="0" applyFont="1" applyFill="1" applyBorder="1"/>
    <xf numFmtId="0" fontId="7" fillId="0" borderId="0" xfId="0" applyFont="1" applyAlignment="1">
      <alignment vertical="top"/>
    </xf>
    <xf numFmtId="0" fontId="0" fillId="0" borderId="65" xfId="0" applyBorder="1"/>
    <xf numFmtId="0" fontId="2" fillId="8" borderId="38" xfId="0" applyFont="1" applyFill="1" applyBorder="1" applyAlignment="1">
      <alignment horizontal="left" vertical="center"/>
    </xf>
    <xf numFmtId="2" fontId="0" fillId="30" borderId="30" xfId="0" applyNumberFormat="1" applyFill="1" applyBorder="1" applyAlignment="1">
      <alignment horizontal="center" vertical="center"/>
    </xf>
    <xf numFmtId="0" fontId="2" fillId="30" borderId="18" xfId="0" applyFont="1" applyFill="1" applyBorder="1" applyAlignment="1">
      <alignment horizontal="center" vertical="center"/>
    </xf>
    <xf numFmtId="2" fontId="0" fillId="30" borderId="33" xfId="0" applyNumberFormat="1" applyFill="1" applyBorder="1" applyAlignment="1">
      <alignment horizontal="center" vertical="center"/>
    </xf>
    <xf numFmtId="0" fontId="2" fillId="30" borderId="12" xfId="0" applyFont="1" applyFill="1" applyBorder="1" applyAlignment="1">
      <alignment horizontal="center" vertical="center"/>
    </xf>
    <xf numFmtId="2" fontId="0" fillId="30" borderId="58" xfId="0" applyNumberFormat="1" applyFill="1" applyBorder="1" applyAlignment="1">
      <alignment horizontal="center" vertical="center"/>
    </xf>
    <xf numFmtId="2" fontId="0" fillId="30" borderId="34" xfId="0" applyNumberFormat="1" applyFill="1" applyBorder="1" applyAlignment="1">
      <alignment horizontal="center" vertical="center"/>
    </xf>
    <xf numFmtId="0" fontId="2" fillId="30" borderId="44" xfId="0" applyFont="1" applyFill="1" applyBorder="1" applyAlignment="1">
      <alignment horizontal="center" vertical="center"/>
    </xf>
    <xf numFmtId="2" fontId="6" fillId="4" borderId="4" xfId="0" applyNumberFormat="1" applyFont="1" applyFill="1" applyBorder="1" applyAlignment="1">
      <alignment horizontal="center" vertical="center"/>
    </xf>
    <xf numFmtId="2" fontId="6" fillId="4" borderId="3" xfId="0" applyNumberFormat="1" applyFont="1" applyFill="1" applyBorder="1" applyAlignment="1">
      <alignment horizontal="center" vertical="center"/>
    </xf>
    <xf numFmtId="2" fontId="6" fillId="4" borderId="51" xfId="0" applyNumberFormat="1" applyFont="1" applyFill="1" applyBorder="1" applyAlignment="1">
      <alignment horizontal="center" vertical="center"/>
    </xf>
    <xf numFmtId="0" fontId="2" fillId="2" borderId="53" xfId="0" applyFont="1" applyFill="1" applyBorder="1" applyAlignment="1">
      <alignment vertical="center"/>
    </xf>
    <xf numFmtId="0" fontId="2" fillId="5" borderId="56" xfId="0" applyFont="1" applyFill="1" applyBorder="1" applyAlignment="1" applyProtection="1">
      <alignment horizontal="center" vertical="center"/>
      <protection locked="0"/>
    </xf>
    <xf numFmtId="0" fontId="11" fillId="5" borderId="56" xfId="0" applyFont="1" applyFill="1" applyBorder="1" applyAlignment="1" applyProtection="1">
      <alignment horizontal="left" vertical="center" wrapText="1"/>
      <protection locked="0"/>
    </xf>
    <xf numFmtId="0" fontId="11" fillId="5" borderId="57" xfId="0" applyFont="1" applyFill="1" applyBorder="1" applyAlignment="1" applyProtection="1">
      <alignment horizontal="left" vertical="center" wrapText="1"/>
      <protection locked="0"/>
    </xf>
    <xf numFmtId="0" fontId="2" fillId="4" borderId="25" xfId="0" applyFont="1" applyFill="1" applyBorder="1" applyAlignment="1">
      <alignment vertical="center"/>
    </xf>
    <xf numFmtId="0" fontId="2" fillId="4" borderId="24" xfId="0" applyFont="1" applyFill="1" applyBorder="1"/>
    <xf numFmtId="0" fontId="8" fillId="30" borderId="38" xfId="0" applyFont="1" applyFill="1" applyBorder="1" applyAlignment="1">
      <alignment horizontal="center" vertical="center"/>
    </xf>
    <xf numFmtId="0" fontId="8" fillId="30" borderId="42" xfId="0" applyFont="1" applyFill="1" applyBorder="1" applyAlignment="1">
      <alignment horizontal="center" vertical="center"/>
    </xf>
    <xf numFmtId="0" fontId="8" fillId="30" borderId="52" xfId="0" applyFont="1" applyFill="1" applyBorder="1" applyAlignment="1">
      <alignment horizontal="center" vertical="center"/>
    </xf>
    <xf numFmtId="2" fontId="7" fillId="30" borderId="31" xfId="0" applyNumberFormat="1" applyFont="1" applyFill="1" applyBorder="1" applyAlignment="1">
      <alignment horizontal="center" vertical="center"/>
    </xf>
    <xf numFmtId="0" fontId="7" fillId="30" borderId="4" xfId="0" applyFont="1" applyFill="1" applyBorder="1" applyAlignment="1">
      <alignment horizontal="center" vertical="center"/>
    </xf>
    <xf numFmtId="0" fontId="7" fillId="30" borderId="10" xfId="0" applyFont="1" applyFill="1" applyBorder="1" applyAlignment="1">
      <alignment horizontal="center" vertical="center"/>
    </xf>
    <xf numFmtId="2" fontId="7" fillId="30" borderId="6" xfId="0" applyNumberFormat="1" applyFont="1" applyFill="1" applyBorder="1" applyAlignment="1">
      <alignment horizontal="center" vertical="center"/>
    </xf>
    <xf numFmtId="0" fontId="7" fillId="30" borderId="19" xfId="0" applyFont="1" applyFill="1" applyBorder="1" applyAlignment="1">
      <alignment horizontal="center" vertical="center"/>
    </xf>
    <xf numFmtId="0" fontId="7" fillId="30" borderId="12" xfId="0" applyFont="1" applyFill="1" applyBorder="1" applyAlignment="1">
      <alignment horizontal="center" vertical="center"/>
    </xf>
    <xf numFmtId="0" fontId="7" fillId="30" borderId="3" xfId="0" applyFont="1" applyFill="1" applyBorder="1" applyAlignment="1">
      <alignment horizontal="center" vertical="center"/>
    </xf>
    <xf numFmtId="2" fontId="7" fillId="30" borderId="7" xfId="0" applyNumberFormat="1" applyFont="1" applyFill="1" applyBorder="1" applyAlignment="1">
      <alignment horizontal="center" vertical="center"/>
    </xf>
    <xf numFmtId="0" fontId="7" fillId="30" borderId="47" xfId="0" applyFont="1" applyFill="1" applyBorder="1" applyAlignment="1">
      <alignment horizontal="center" vertical="center"/>
    </xf>
    <xf numFmtId="2" fontId="7" fillId="30" borderId="76" xfId="0" quotePrefix="1" applyNumberFormat="1" applyFont="1" applyFill="1" applyBorder="1" applyAlignment="1">
      <alignment horizontal="center"/>
    </xf>
    <xf numFmtId="0" fontId="7" fillId="30" borderId="15" xfId="0" applyFont="1" applyFill="1" applyBorder="1" applyAlignment="1">
      <alignment horizontal="center" vertical="center"/>
    </xf>
    <xf numFmtId="0" fontId="2" fillId="30" borderId="25" xfId="0" applyFont="1" applyFill="1" applyBorder="1" applyAlignment="1">
      <alignment vertical="center"/>
    </xf>
    <xf numFmtId="0" fontId="2" fillId="30" borderId="27" xfId="0" applyFont="1" applyFill="1" applyBorder="1" applyAlignment="1">
      <alignment vertical="center"/>
    </xf>
    <xf numFmtId="2" fontId="7" fillId="30" borderId="17" xfId="0" applyNumberFormat="1" applyFont="1" applyFill="1" applyBorder="1" applyAlignment="1">
      <alignment horizontal="center" vertical="center"/>
    </xf>
    <xf numFmtId="0" fontId="7" fillId="30" borderId="9" xfId="0" applyFont="1" applyFill="1" applyBorder="1" applyAlignment="1">
      <alignment horizontal="center" vertical="center"/>
    </xf>
    <xf numFmtId="2" fontId="7" fillId="30" borderId="3" xfId="0" applyNumberFormat="1" applyFont="1" applyFill="1" applyBorder="1" applyAlignment="1">
      <alignment horizontal="center" vertical="center"/>
    </xf>
    <xf numFmtId="2" fontId="7" fillId="30" borderId="5" xfId="0" applyNumberFormat="1" applyFont="1" applyFill="1" applyBorder="1" applyAlignment="1">
      <alignment horizontal="center" vertical="center"/>
    </xf>
    <xf numFmtId="2" fontId="7" fillId="30" borderId="0" xfId="0" quotePrefix="1" applyNumberFormat="1" applyFont="1" applyFill="1" applyAlignment="1">
      <alignment horizontal="center"/>
    </xf>
    <xf numFmtId="0" fontId="7" fillId="30" borderId="76" xfId="0" applyFont="1" applyFill="1" applyBorder="1" applyAlignment="1">
      <alignment horizontal="center" vertical="center"/>
    </xf>
    <xf numFmtId="0" fontId="7" fillId="30" borderId="75" xfId="0" applyFont="1" applyFill="1" applyBorder="1" applyAlignment="1">
      <alignment horizontal="center" vertical="center"/>
    </xf>
    <xf numFmtId="0" fontId="7" fillId="30" borderId="36" xfId="0" applyFont="1" applyFill="1" applyBorder="1" applyAlignment="1">
      <alignment horizontal="center" vertical="center"/>
    </xf>
    <xf numFmtId="0" fontId="7" fillId="30" borderId="5" xfId="0" applyFont="1" applyFill="1" applyBorder="1" applyAlignment="1">
      <alignment horizontal="center" vertical="center"/>
    </xf>
    <xf numFmtId="0" fontId="7" fillId="30" borderId="17" xfId="0" applyFont="1" applyFill="1" applyBorder="1" applyAlignment="1">
      <alignment horizontal="center" vertical="center"/>
    </xf>
    <xf numFmtId="2" fontId="7" fillId="30" borderId="40" xfId="0" quotePrefix="1" applyNumberFormat="1" applyFont="1" applyFill="1" applyBorder="1" applyAlignment="1">
      <alignment horizontal="center"/>
    </xf>
    <xf numFmtId="0" fontId="7" fillId="30" borderId="27" xfId="0" applyFont="1" applyFill="1" applyBorder="1" applyAlignment="1">
      <alignment horizontal="center" vertical="center"/>
    </xf>
    <xf numFmtId="2" fontId="7" fillId="30" borderId="10" xfId="0" quotePrefix="1" applyNumberFormat="1" applyFont="1" applyFill="1" applyBorder="1" applyAlignment="1">
      <alignment horizontal="center"/>
    </xf>
    <xf numFmtId="2" fontId="7" fillId="30" borderId="59" xfId="0" quotePrefix="1" applyNumberFormat="1" applyFont="1" applyFill="1" applyBorder="1" applyAlignment="1">
      <alignment horizontal="center"/>
    </xf>
    <xf numFmtId="2" fontId="7" fillId="30" borderId="13" xfId="0" quotePrefix="1" applyNumberFormat="1" applyFont="1" applyFill="1" applyBorder="1" applyAlignment="1">
      <alignment horizontal="center"/>
    </xf>
    <xf numFmtId="2" fontId="2" fillId="30" borderId="25" xfId="0" applyNumberFormat="1" applyFont="1" applyFill="1" applyBorder="1" applyAlignment="1">
      <alignment horizontal="left" vertical="center"/>
    </xf>
    <xf numFmtId="0" fontId="2" fillId="30" borderId="25" xfId="0" applyFont="1" applyFill="1" applyBorder="1" applyAlignment="1">
      <alignment horizontal="left" vertical="center"/>
    </xf>
    <xf numFmtId="2" fontId="7" fillId="30" borderId="19" xfId="0" applyNumberFormat="1" applyFont="1" applyFill="1" applyBorder="1" applyAlignment="1">
      <alignment horizontal="center" vertical="center"/>
    </xf>
    <xf numFmtId="0" fontId="7" fillId="30" borderId="1" xfId="0" applyFont="1" applyFill="1" applyBorder="1" applyAlignment="1">
      <alignment horizontal="center" vertical="center"/>
    </xf>
    <xf numFmtId="0" fontId="2" fillId="4" borderId="24" xfId="0" applyFont="1" applyFill="1" applyBorder="1" applyAlignment="1">
      <alignment horizontal="left" vertical="center"/>
    </xf>
    <xf numFmtId="14" fontId="2" fillId="4" borderId="21" xfId="0" quotePrefix="1" applyNumberFormat="1" applyFont="1" applyFill="1" applyBorder="1" applyAlignment="1">
      <alignment horizontal="left" vertical="center"/>
    </xf>
    <xf numFmtId="0" fontId="2" fillId="4" borderId="24" xfId="0" applyFont="1" applyFill="1" applyBorder="1" applyAlignment="1">
      <alignment horizontal="center" vertical="center"/>
    </xf>
    <xf numFmtId="0" fontId="16" fillId="4" borderId="24" xfId="0" applyFont="1" applyFill="1" applyBorder="1" applyAlignment="1">
      <alignment horizontal="left"/>
    </xf>
    <xf numFmtId="0" fontId="21" fillId="4" borderId="21" xfId="0" applyFont="1" applyFill="1" applyBorder="1"/>
    <xf numFmtId="0" fontId="0" fillId="4" borderId="0" xfId="0" applyFill="1" applyAlignment="1">
      <alignment horizontal="center"/>
    </xf>
    <xf numFmtId="0" fontId="0" fillId="4" borderId="24" xfId="0" applyFill="1" applyBorder="1"/>
    <xf numFmtId="0" fontId="0" fillId="4" borderId="25" xfId="0" applyFill="1" applyBorder="1"/>
    <xf numFmtId="0" fontId="18" fillId="4" borderId="22" xfId="0" applyFont="1" applyFill="1" applyBorder="1" applyAlignment="1">
      <alignment horizontal="center"/>
    </xf>
    <xf numFmtId="0" fontId="2" fillId="4" borderId="8" xfId="0" applyFont="1" applyFill="1" applyBorder="1" applyAlignment="1">
      <alignment horizontal="center" vertical="center"/>
    </xf>
    <xf numFmtId="0" fontId="6" fillId="4" borderId="22" xfId="0" applyFont="1" applyFill="1" applyBorder="1" applyAlignment="1">
      <alignment vertical="center"/>
    </xf>
    <xf numFmtId="0" fontId="6" fillId="30" borderId="22" xfId="0" applyFont="1" applyFill="1" applyBorder="1" applyAlignment="1">
      <alignment vertical="center"/>
    </xf>
    <xf numFmtId="0" fontId="6" fillId="30" borderId="35" xfId="0" applyFont="1" applyFill="1" applyBorder="1" applyAlignment="1">
      <alignment vertical="center"/>
    </xf>
    <xf numFmtId="0" fontId="6" fillId="30" borderId="22" xfId="0" applyFont="1" applyFill="1" applyBorder="1" applyAlignment="1">
      <alignment vertical="top" wrapText="1"/>
    </xf>
    <xf numFmtId="0" fontId="18" fillId="30" borderId="22" xfId="0" applyFont="1" applyFill="1" applyBorder="1" applyAlignment="1">
      <alignment vertical="center"/>
    </xf>
    <xf numFmtId="0" fontId="6" fillId="30" borderId="22" xfId="0" applyFont="1" applyFill="1" applyBorder="1"/>
    <xf numFmtId="0" fontId="6" fillId="30" borderId="22" xfId="0" applyFont="1" applyFill="1" applyBorder="1" applyAlignment="1">
      <alignment horizontal="left" vertical="center" wrapText="1"/>
    </xf>
    <xf numFmtId="0" fontId="17" fillId="30" borderId="22" xfId="0" applyFont="1" applyFill="1" applyBorder="1" applyAlignment="1">
      <alignment vertical="center"/>
    </xf>
    <xf numFmtId="0" fontId="6" fillId="30" borderId="46" xfId="0" applyFont="1" applyFill="1" applyBorder="1"/>
    <xf numFmtId="0" fontId="6" fillId="30" borderId="62" xfId="0" applyFont="1" applyFill="1" applyBorder="1"/>
    <xf numFmtId="0" fontId="6" fillId="30" borderId="22" xfId="0" applyFont="1" applyFill="1" applyBorder="1" applyAlignment="1">
      <alignment vertical="top"/>
    </xf>
    <xf numFmtId="0" fontId="6" fillId="30" borderId="46" xfId="0" applyFont="1" applyFill="1" applyBorder="1" applyAlignment="1">
      <alignment vertical="top"/>
    </xf>
    <xf numFmtId="0" fontId="4" fillId="30" borderId="2" xfId="0" applyFont="1" applyFill="1" applyBorder="1" applyAlignment="1">
      <alignment horizontal="left" vertical="top"/>
    </xf>
    <xf numFmtId="0" fontId="7" fillId="0" borderId="2" xfId="0" applyFont="1" applyBorder="1" applyAlignment="1">
      <alignment horizontal="center" vertical="top"/>
    </xf>
    <xf numFmtId="0" fontId="2" fillId="2" borderId="22" xfId="0" applyFont="1" applyFill="1" applyBorder="1" applyAlignment="1">
      <alignment horizontal="center" vertical="center"/>
    </xf>
    <xf numFmtId="0" fontId="12" fillId="6" borderId="8" xfId="0" applyFont="1" applyFill="1" applyBorder="1" applyAlignment="1">
      <alignment horizontal="center" vertical="center"/>
    </xf>
    <xf numFmtId="0" fontId="3" fillId="0" borderId="57" xfId="0" applyFont="1" applyBorder="1" applyAlignment="1">
      <alignment horizontal="left" vertical="top" wrapText="1" indent="2"/>
    </xf>
    <xf numFmtId="0" fontId="0" fillId="0" borderId="81" xfId="0" applyBorder="1" applyAlignment="1">
      <alignment horizontal="center" vertical="top"/>
    </xf>
    <xf numFmtId="0" fontId="3" fillId="0" borderId="82" xfId="0" applyFont="1" applyBorder="1" applyAlignment="1">
      <alignment horizontal="left" vertical="top" wrapText="1" indent="2"/>
    </xf>
    <xf numFmtId="0" fontId="2" fillId="24" borderId="31" xfId="0" applyFont="1" applyFill="1" applyBorder="1" applyAlignment="1">
      <alignment vertical="center"/>
    </xf>
    <xf numFmtId="0" fontId="2" fillId="23" borderId="31" xfId="0" applyFont="1" applyFill="1" applyBorder="1" applyAlignment="1">
      <alignment vertical="center"/>
    </xf>
    <xf numFmtId="0" fontId="2" fillId="20" borderId="31" xfId="0" applyFont="1" applyFill="1" applyBorder="1" applyAlignment="1">
      <alignment vertical="center"/>
    </xf>
    <xf numFmtId="0" fontId="2" fillId="16" borderId="0" xfId="0" applyFont="1" applyFill="1" applyAlignment="1">
      <alignment horizontal="left" vertical="center"/>
    </xf>
    <xf numFmtId="0" fontId="16" fillId="4" borderId="24" xfId="0" applyFont="1" applyFill="1" applyBorder="1" applyAlignment="1">
      <alignment vertical="center"/>
    </xf>
    <xf numFmtId="0" fontId="7" fillId="30" borderId="78" xfId="0" applyFont="1" applyFill="1" applyBorder="1" applyAlignment="1">
      <alignment horizontal="center" vertical="center"/>
    </xf>
    <xf numFmtId="0" fontId="0" fillId="4" borderId="2" xfId="0" applyFill="1" applyBorder="1"/>
    <xf numFmtId="0" fontId="7" fillId="0" borderId="10" xfId="0" applyFont="1" applyBorder="1" applyAlignment="1" applyProtection="1">
      <alignment vertical="center"/>
      <protection locked="0"/>
    </xf>
    <xf numFmtId="0" fontId="7" fillId="0" borderId="59" xfId="0" applyFont="1" applyBorder="1" applyAlignment="1" applyProtection="1">
      <alignment vertical="center"/>
      <protection locked="0"/>
    </xf>
    <xf numFmtId="0" fontId="7" fillId="0" borderId="13" xfId="0" applyFont="1" applyBorder="1" applyAlignment="1" applyProtection="1">
      <alignment vertical="center"/>
      <protection locked="0"/>
    </xf>
    <xf numFmtId="0" fontId="7" fillId="0" borderId="81" xfId="0" applyFont="1" applyBorder="1" applyAlignment="1">
      <alignment horizontal="center" vertical="top"/>
    </xf>
    <xf numFmtId="2" fontId="7" fillId="0" borderId="11" xfId="0" applyNumberFormat="1" applyFont="1" applyBorder="1" applyAlignment="1" applyProtection="1">
      <alignment horizontal="center" vertical="center"/>
      <protection locked="0"/>
    </xf>
    <xf numFmtId="2" fontId="7" fillId="0" borderId="13" xfId="0" applyNumberFormat="1" applyFont="1" applyBorder="1" applyAlignment="1" applyProtection="1">
      <alignment horizontal="center" vertical="center"/>
      <protection locked="0"/>
    </xf>
    <xf numFmtId="0" fontId="7" fillId="2" borderId="27" xfId="0" applyFont="1" applyFill="1" applyBorder="1" applyAlignment="1">
      <alignment horizontal="center" vertical="center"/>
    </xf>
    <xf numFmtId="2" fontId="7" fillId="4" borderId="1" xfId="0" applyNumberFormat="1" applyFont="1" applyFill="1" applyBorder="1" applyAlignment="1">
      <alignment horizontal="center" vertical="center"/>
    </xf>
    <xf numFmtId="0" fontId="2" fillId="13" borderId="0" xfId="0" applyFont="1" applyFill="1" applyAlignment="1">
      <alignment vertical="center"/>
    </xf>
    <xf numFmtId="0" fontId="7" fillId="0" borderId="41" xfId="0" applyFont="1" applyBorder="1" applyAlignment="1" applyProtection="1">
      <alignment horizontal="left" vertical="center" wrapText="1"/>
      <protection locked="0"/>
    </xf>
    <xf numFmtId="0" fontId="7" fillId="0" borderId="36" xfId="0" applyFont="1" applyBorder="1" applyAlignment="1" applyProtection="1">
      <alignment horizontal="left" vertical="center" wrapText="1"/>
      <protection locked="0"/>
    </xf>
    <xf numFmtId="0" fontId="7" fillId="0" borderId="85" xfId="0" applyFont="1" applyBorder="1" applyAlignment="1" applyProtection="1">
      <alignment horizontal="left" vertical="center" wrapText="1"/>
      <protection locked="0"/>
    </xf>
    <xf numFmtId="0" fontId="7" fillId="0" borderId="31" xfId="0" applyFont="1" applyBorder="1" applyAlignment="1" applyProtection="1">
      <alignment horizontal="left" vertical="center" wrapText="1"/>
      <protection locked="0"/>
    </xf>
    <xf numFmtId="0" fontId="7" fillId="0" borderId="6" xfId="0" applyFont="1" applyBorder="1" applyAlignment="1" applyProtection="1">
      <alignment horizontal="left" vertical="center" wrapText="1"/>
      <protection locked="0"/>
    </xf>
    <xf numFmtId="0" fontId="7" fillId="0" borderId="7" xfId="0" applyFont="1" applyBorder="1" applyAlignment="1" applyProtection="1">
      <alignment horizontal="left" vertical="center" wrapText="1"/>
      <protection locked="0"/>
    </xf>
    <xf numFmtId="0" fontId="7" fillId="0" borderId="43" xfId="0" applyFont="1" applyBorder="1" applyAlignment="1" applyProtection="1">
      <alignment horizontal="left" vertical="center" wrapText="1"/>
      <protection locked="0"/>
    </xf>
    <xf numFmtId="0" fontId="7" fillId="0" borderId="4" xfId="0" applyFont="1" applyBorder="1" applyAlignment="1" applyProtection="1">
      <alignment horizontal="left" vertical="center" wrapText="1"/>
      <protection locked="0"/>
    </xf>
    <xf numFmtId="0" fontId="7" fillId="0" borderId="3" xfId="0" applyFont="1" applyBorder="1" applyAlignment="1" applyProtection="1">
      <alignment horizontal="left" vertical="center" wrapText="1"/>
      <protection locked="0"/>
    </xf>
    <xf numFmtId="0" fontId="7" fillId="0" borderId="5" xfId="0" applyFont="1" applyBorder="1" applyAlignment="1" applyProtection="1">
      <alignment horizontal="left" vertical="center" wrapText="1"/>
      <protection locked="0"/>
    </xf>
    <xf numFmtId="0" fontId="10" fillId="0" borderId="0" xfId="0" applyFont="1" applyAlignment="1" applyProtection="1">
      <alignment horizontal="left" vertical="top" wrapText="1"/>
      <protection locked="0"/>
    </xf>
    <xf numFmtId="0" fontId="10" fillId="0" borderId="72" xfId="0" applyFont="1" applyBorder="1" applyAlignment="1" applyProtection="1">
      <alignment horizontal="left" vertical="top" wrapText="1"/>
      <protection locked="0"/>
    </xf>
    <xf numFmtId="0" fontId="10" fillId="0" borderId="50" xfId="0" applyFont="1" applyBorder="1" applyAlignment="1" applyProtection="1">
      <alignment horizontal="left" vertical="top" wrapText="1"/>
      <protection locked="0"/>
    </xf>
    <xf numFmtId="0" fontId="10" fillId="0" borderId="71" xfId="0" applyFont="1" applyBorder="1" applyAlignment="1" applyProtection="1">
      <alignment horizontal="left" vertical="top" wrapText="1"/>
      <protection locked="0"/>
    </xf>
    <xf numFmtId="0" fontId="9" fillId="7" borderId="39" xfId="0" applyFont="1" applyFill="1" applyBorder="1" applyAlignment="1">
      <alignment vertical="top" wrapText="1"/>
    </xf>
    <xf numFmtId="0" fontId="9" fillId="7" borderId="70" xfId="0" applyFont="1" applyFill="1" applyBorder="1" applyAlignment="1">
      <alignment vertical="top" wrapText="1"/>
    </xf>
    <xf numFmtId="0" fontId="9" fillId="12" borderId="43" xfId="0" applyFont="1" applyFill="1" applyBorder="1" applyAlignment="1">
      <alignment horizontal="left" vertical="top" wrapText="1"/>
    </xf>
    <xf numFmtId="0" fontId="9" fillId="12" borderId="46" xfId="0" applyFont="1" applyFill="1" applyBorder="1" applyAlignment="1">
      <alignment horizontal="left" vertical="top" wrapText="1"/>
    </xf>
    <xf numFmtId="0" fontId="9" fillId="19" borderId="6" xfId="0" applyFont="1" applyFill="1" applyBorder="1" applyAlignment="1">
      <alignment horizontal="left" vertical="top" wrapText="1"/>
    </xf>
    <xf numFmtId="0" fontId="9" fillId="19" borderId="46" xfId="0" applyFont="1" applyFill="1" applyBorder="1" applyAlignment="1">
      <alignment horizontal="left" vertical="top" wrapText="1"/>
    </xf>
    <xf numFmtId="0" fontId="2" fillId="19" borderId="24" xfId="0" applyFont="1" applyFill="1" applyBorder="1" applyAlignment="1">
      <alignment horizontal="center" vertical="center"/>
    </xf>
    <xf numFmtId="0" fontId="2" fillId="19" borderId="21" xfId="0" applyFont="1" applyFill="1" applyBorder="1" applyAlignment="1">
      <alignment horizontal="center" vertical="center"/>
    </xf>
    <xf numFmtId="0" fontId="9" fillId="19" borderId="22" xfId="0" applyFont="1" applyFill="1" applyBorder="1" applyAlignment="1">
      <alignment horizontal="left" vertical="top" wrapText="1"/>
    </xf>
    <xf numFmtId="0" fontId="9" fillId="19" borderId="67" xfId="0" applyFont="1" applyFill="1" applyBorder="1" applyAlignment="1">
      <alignment horizontal="left" vertical="top" wrapText="1"/>
    </xf>
    <xf numFmtId="0" fontId="9" fillId="19" borderId="65" xfId="0" applyFont="1" applyFill="1" applyBorder="1" applyAlignment="1">
      <alignment horizontal="left" vertical="top" wrapText="1"/>
    </xf>
    <xf numFmtId="0" fontId="9" fillId="7" borderId="72" xfId="0" applyFont="1" applyFill="1" applyBorder="1" applyAlignment="1">
      <alignment vertical="top" wrapText="1"/>
    </xf>
    <xf numFmtId="0" fontId="9" fillId="7" borderId="71" xfId="0" applyFont="1" applyFill="1" applyBorder="1" applyAlignment="1">
      <alignment vertical="top" wrapText="1"/>
    </xf>
    <xf numFmtId="0" fontId="10" fillId="0" borderId="65" xfId="0" applyFont="1" applyBorder="1" applyAlignment="1" applyProtection="1">
      <alignment horizontal="left" vertical="top" wrapText="1"/>
      <protection locked="0"/>
    </xf>
    <xf numFmtId="0" fontId="10" fillId="0" borderId="68" xfId="0" applyFont="1" applyBorder="1" applyAlignment="1" applyProtection="1">
      <alignment horizontal="left" vertical="top" wrapText="1"/>
      <protection locked="0"/>
    </xf>
    <xf numFmtId="0" fontId="9" fillId="7" borderId="60" xfId="0" applyFont="1" applyFill="1" applyBorder="1" applyAlignment="1">
      <alignment vertical="top" wrapText="1"/>
    </xf>
    <xf numFmtId="0" fontId="9" fillId="7" borderId="21" xfId="0" applyFont="1" applyFill="1" applyBorder="1" applyAlignment="1">
      <alignment vertical="top" wrapText="1"/>
    </xf>
    <xf numFmtId="0" fontId="9" fillId="19" borderId="62" xfId="0" applyFont="1" applyFill="1" applyBorder="1" applyAlignment="1">
      <alignment horizontal="left" vertical="top" wrapText="1"/>
    </xf>
    <xf numFmtId="0" fontId="2" fillId="19" borderId="74" xfId="0" applyFont="1" applyFill="1" applyBorder="1" applyAlignment="1">
      <alignment horizontal="center" vertical="center"/>
    </xf>
    <xf numFmtId="0" fontId="2" fillId="19" borderId="40" xfId="0" applyFont="1" applyFill="1" applyBorder="1" applyAlignment="1">
      <alignment horizontal="center" vertical="center"/>
    </xf>
    <xf numFmtId="0" fontId="10" fillId="0" borderId="36" xfId="0" applyFont="1" applyBorder="1" applyAlignment="1" applyProtection="1">
      <alignment vertical="top" wrapText="1"/>
      <protection locked="0"/>
    </xf>
    <xf numFmtId="0" fontId="10" fillId="0" borderId="65" xfId="0" applyFont="1" applyBorder="1" applyAlignment="1" applyProtection="1">
      <alignment vertical="top" wrapText="1"/>
      <protection locked="0"/>
    </xf>
    <xf numFmtId="0" fontId="9" fillId="21" borderId="60" xfId="0" applyFont="1" applyFill="1" applyBorder="1" applyAlignment="1">
      <alignment horizontal="left" vertical="top" wrapText="1"/>
    </xf>
    <xf numFmtId="0" fontId="9" fillId="21" borderId="21" xfId="0" applyFont="1" applyFill="1" applyBorder="1" applyAlignment="1">
      <alignment horizontal="left" vertical="top" wrapText="1"/>
    </xf>
    <xf numFmtId="0" fontId="9" fillId="21" borderId="39" xfId="0" applyFont="1" applyFill="1" applyBorder="1" applyAlignment="1">
      <alignment vertical="top" wrapText="1"/>
    </xf>
    <xf numFmtId="0" fontId="9" fillId="21" borderId="55" xfId="0" applyFont="1" applyFill="1" applyBorder="1" applyAlignment="1">
      <alignment vertical="top" wrapText="1"/>
    </xf>
    <xf numFmtId="0" fontId="10" fillId="0" borderId="70" xfId="0" applyFont="1" applyBorder="1" applyAlignment="1" applyProtection="1">
      <alignment vertical="top" wrapText="1"/>
      <protection locked="0"/>
    </xf>
    <xf numFmtId="0" fontId="9" fillId="7" borderId="29" xfId="0" applyFont="1" applyFill="1" applyBorder="1" applyAlignment="1">
      <alignment vertical="top" wrapText="1"/>
    </xf>
    <xf numFmtId="0" fontId="9" fillId="7" borderId="18" xfId="0" applyFont="1" applyFill="1" applyBorder="1" applyAlignment="1">
      <alignment vertical="top" wrapText="1"/>
    </xf>
    <xf numFmtId="0" fontId="9" fillId="21" borderId="29" xfId="0" applyFont="1" applyFill="1" applyBorder="1" applyAlignment="1">
      <alignment vertical="top" wrapText="1"/>
    </xf>
    <xf numFmtId="0" fontId="9" fillId="21" borderId="18" xfId="0" applyFont="1" applyFill="1" applyBorder="1" applyAlignment="1">
      <alignment vertical="top" wrapText="1"/>
    </xf>
    <xf numFmtId="0" fontId="9" fillId="7" borderId="43" xfId="0" applyFont="1" applyFill="1" applyBorder="1" applyAlignment="1">
      <alignment vertical="top" wrapText="1"/>
    </xf>
    <xf numFmtId="0" fontId="9" fillId="7" borderId="36" xfId="0" applyFont="1" applyFill="1" applyBorder="1" applyAlignment="1">
      <alignment vertical="top" wrapText="1"/>
    </xf>
    <xf numFmtId="0" fontId="9" fillId="21" borderId="64" xfId="0" applyFont="1" applyFill="1" applyBorder="1" applyAlignment="1" applyProtection="1">
      <alignment horizontal="left" vertical="top" wrapText="1"/>
      <protection locked="0"/>
    </xf>
    <xf numFmtId="0" fontId="9" fillId="21" borderId="68" xfId="0" applyFont="1" applyFill="1" applyBorder="1" applyAlignment="1" applyProtection="1">
      <alignment horizontal="left" vertical="top" wrapText="1"/>
      <protection locked="0"/>
    </xf>
    <xf numFmtId="0" fontId="9" fillId="21" borderId="39" xfId="0" applyFont="1" applyFill="1" applyBorder="1" applyAlignment="1" applyProtection="1">
      <alignment vertical="top" wrapText="1"/>
      <protection locked="0"/>
    </xf>
    <xf numFmtId="0" fontId="9" fillId="21" borderId="55" xfId="0" applyFont="1" applyFill="1" applyBorder="1" applyAlignment="1" applyProtection="1">
      <alignment vertical="top" wrapText="1"/>
      <protection locked="0"/>
    </xf>
    <xf numFmtId="0" fontId="9" fillId="21" borderId="72" xfId="0" applyFont="1" applyFill="1" applyBorder="1" applyAlignment="1">
      <alignment horizontal="left" vertical="top" wrapText="1"/>
    </xf>
    <xf numFmtId="0" fontId="9" fillId="21" borderId="71" xfId="0" applyFont="1" applyFill="1" applyBorder="1" applyAlignment="1">
      <alignment horizontal="left" vertical="top" wrapText="1"/>
    </xf>
    <xf numFmtId="0" fontId="9" fillId="33" borderId="39" xfId="0" applyFont="1" applyFill="1" applyBorder="1" applyAlignment="1">
      <alignment vertical="top" wrapText="1"/>
    </xf>
    <xf numFmtId="0" fontId="9" fillId="33" borderId="55" xfId="0" applyFont="1" applyFill="1" applyBorder="1" applyAlignment="1">
      <alignment vertical="top" wrapText="1"/>
    </xf>
    <xf numFmtId="0" fontId="10" fillId="0" borderId="0" xfId="0" applyFont="1" applyAlignment="1" applyProtection="1">
      <alignment vertical="top" wrapText="1"/>
      <protection locked="0"/>
    </xf>
    <xf numFmtId="0" fontId="2" fillId="21" borderId="24" xfId="0" applyFont="1" applyFill="1" applyBorder="1" applyAlignment="1">
      <alignment horizontal="center" vertical="top"/>
    </xf>
    <xf numFmtId="0" fontId="2" fillId="21" borderId="21" xfId="0" applyFont="1" applyFill="1" applyBorder="1" applyAlignment="1">
      <alignment horizontal="center" vertical="top"/>
    </xf>
    <xf numFmtId="0" fontId="2" fillId="33" borderId="24" xfId="0" applyFont="1" applyFill="1" applyBorder="1" applyAlignment="1">
      <alignment horizontal="center" vertical="top"/>
    </xf>
    <xf numFmtId="0" fontId="2" fillId="33" borderId="21" xfId="0" applyFont="1" applyFill="1" applyBorder="1" applyAlignment="1">
      <alignment horizontal="center" vertical="top"/>
    </xf>
    <xf numFmtId="0" fontId="10" fillId="0" borderId="63" xfId="0" applyFont="1" applyBorder="1" applyAlignment="1" applyProtection="1">
      <alignment horizontal="left" vertical="top" wrapText="1"/>
      <protection locked="0"/>
    </xf>
    <xf numFmtId="0" fontId="10" fillId="0" borderId="62" xfId="0" applyFont="1" applyBorder="1" applyAlignment="1" applyProtection="1">
      <alignment horizontal="left" vertical="top" wrapText="1"/>
      <protection locked="0"/>
    </xf>
    <xf numFmtId="0" fontId="9" fillId="11" borderId="62" xfId="0" applyFont="1" applyFill="1" applyBorder="1" applyAlignment="1">
      <alignment horizontal="left" vertical="top" wrapText="1"/>
    </xf>
    <xf numFmtId="0" fontId="10" fillId="0" borderId="43" xfId="0" applyFont="1" applyBorder="1" applyAlignment="1" applyProtection="1">
      <alignment horizontal="left" vertical="top" wrapText="1"/>
      <protection locked="0"/>
    </xf>
    <xf numFmtId="0" fontId="10" fillId="0" borderId="36" xfId="0" applyFont="1" applyBorder="1" applyAlignment="1" applyProtection="1">
      <alignment horizontal="left" vertical="top" wrapText="1"/>
      <protection locked="0"/>
    </xf>
    <xf numFmtId="0" fontId="10" fillId="0" borderId="46" xfId="0" applyFont="1" applyBorder="1" applyAlignment="1" applyProtection="1">
      <alignment horizontal="left" vertical="top" wrapText="1"/>
      <protection locked="0"/>
    </xf>
    <xf numFmtId="0" fontId="10" fillId="0" borderId="29" xfId="0" applyFont="1" applyBorder="1" applyAlignment="1" applyProtection="1">
      <alignment horizontal="left" vertical="top" wrapText="1"/>
      <protection locked="0"/>
    </xf>
    <xf numFmtId="0" fontId="10" fillId="0" borderId="41" xfId="0" applyFont="1" applyBorder="1" applyAlignment="1" applyProtection="1">
      <alignment horizontal="left" vertical="top" wrapText="1"/>
      <protection locked="0"/>
    </xf>
    <xf numFmtId="0" fontId="10" fillId="0" borderId="66" xfId="0" applyFont="1" applyBorder="1" applyAlignment="1" applyProtection="1">
      <alignment horizontal="left" vertical="top" wrapText="1"/>
      <protection locked="0"/>
    </xf>
    <xf numFmtId="0" fontId="10" fillId="0" borderId="39" xfId="0" applyFont="1" applyBorder="1" applyAlignment="1" applyProtection="1">
      <alignment horizontal="left" vertical="top" wrapText="1"/>
      <protection locked="0"/>
    </xf>
    <xf numFmtId="0" fontId="10" fillId="0" borderId="70" xfId="0" applyFont="1" applyBorder="1" applyAlignment="1" applyProtection="1">
      <alignment horizontal="left" vertical="top" wrapText="1"/>
      <protection locked="0"/>
    </xf>
    <xf numFmtId="0" fontId="10" fillId="0" borderId="55" xfId="0" applyFont="1" applyBorder="1" applyAlignment="1" applyProtection="1">
      <alignment horizontal="left" vertical="top" wrapText="1"/>
      <protection locked="0"/>
    </xf>
    <xf numFmtId="0" fontId="2" fillId="12" borderId="16" xfId="0" applyFont="1" applyFill="1" applyBorder="1" applyAlignment="1">
      <alignment horizontal="center" vertical="center"/>
    </xf>
    <xf numFmtId="0" fontId="2" fillId="12" borderId="15" xfId="0" applyFont="1" applyFill="1" applyBorder="1" applyAlignment="1">
      <alignment horizontal="center" vertical="center"/>
    </xf>
    <xf numFmtId="0" fontId="9" fillId="11" borderId="63" xfId="0" applyFont="1" applyFill="1" applyBorder="1" applyAlignment="1">
      <alignment horizontal="left" vertical="top" wrapText="1"/>
    </xf>
    <xf numFmtId="0" fontId="9" fillId="11" borderId="22" xfId="0" applyFont="1" applyFill="1" applyBorder="1" applyAlignment="1">
      <alignment horizontal="left" vertical="top" wrapText="1"/>
    </xf>
    <xf numFmtId="0" fontId="10" fillId="5" borderId="29" xfId="0" applyFont="1" applyFill="1" applyBorder="1" applyAlignment="1" applyProtection="1">
      <alignment horizontal="left" vertical="top" wrapText="1"/>
      <protection locked="0"/>
    </xf>
    <xf numFmtId="0" fontId="10" fillId="5" borderId="41" xfId="0" applyFont="1" applyFill="1" applyBorder="1" applyAlignment="1" applyProtection="1">
      <alignment horizontal="left" vertical="top" wrapText="1"/>
      <protection locked="0"/>
    </xf>
    <xf numFmtId="0" fontId="10" fillId="5" borderId="66" xfId="0" applyFont="1" applyFill="1" applyBorder="1" applyAlignment="1" applyProtection="1">
      <alignment horizontal="left" vertical="top" wrapText="1"/>
      <protection locked="0"/>
    </xf>
    <xf numFmtId="0" fontId="9" fillId="12" borderId="64" xfId="0" applyFont="1" applyFill="1" applyBorder="1" applyAlignment="1">
      <alignment horizontal="left" vertical="top" wrapText="1"/>
    </xf>
    <xf numFmtId="0" fontId="9" fillId="12" borderId="68" xfId="0" applyFont="1" applyFill="1" applyBorder="1" applyAlignment="1">
      <alignment horizontal="left" vertical="top" wrapText="1"/>
    </xf>
    <xf numFmtId="0" fontId="10" fillId="0" borderId="64" xfId="0" applyFont="1" applyBorder="1" applyAlignment="1" applyProtection="1">
      <alignment horizontal="left" vertical="top" wrapText="1"/>
      <protection locked="0"/>
    </xf>
    <xf numFmtId="0" fontId="6" fillId="19" borderId="49" xfId="0" applyFont="1" applyFill="1" applyBorder="1" applyAlignment="1">
      <alignment horizontal="center" vertical="top" wrapText="1"/>
    </xf>
    <xf numFmtId="0" fontId="6" fillId="19" borderId="60" xfId="0" applyFont="1" applyFill="1" applyBorder="1" applyAlignment="1">
      <alignment horizontal="center" vertical="top" wrapText="1"/>
    </xf>
    <xf numFmtId="0" fontId="2" fillId="11" borderId="60" xfId="0" applyFont="1" applyFill="1" applyBorder="1" applyAlignment="1">
      <alignment horizontal="center" vertical="center"/>
    </xf>
    <xf numFmtId="0" fontId="2" fillId="11" borderId="21" xfId="0" applyFont="1" applyFill="1" applyBorder="1" applyAlignment="1">
      <alignment horizontal="center" vertical="center"/>
    </xf>
    <xf numFmtId="0" fontId="10" fillId="0" borderId="40" xfId="0" applyFont="1" applyBorder="1" applyAlignment="1" applyProtection="1">
      <alignment horizontal="left" vertical="top" wrapText="1"/>
      <protection locked="0"/>
    </xf>
    <xf numFmtId="0" fontId="2" fillId="19" borderId="49" xfId="0" applyFont="1" applyFill="1" applyBorder="1" applyAlignment="1">
      <alignment horizontal="center" vertical="center"/>
    </xf>
    <xf numFmtId="0" fontId="2" fillId="19" borderId="60" xfId="0" applyFont="1" applyFill="1" applyBorder="1" applyAlignment="1">
      <alignment horizontal="center" vertical="center"/>
    </xf>
    <xf numFmtId="0" fontId="9" fillId="19" borderId="64" xfId="0" applyFont="1" applyFill="1" applyBorder="1" applyAlignment="1">
      <alignment horizontal="left" vertical="top" wrapText="1"/>
    </xf>
    <xf numFmtId="0" fontId="9" fillId="19" borderId="68" xfId="0" applyFont="1" applyFill="1" applyBorder="1" applyAlignment="1">
      <alignment horizontal="left" vertical="top" wrapText="1"/>
    </xf>
    <xf numFmtId="0" fontId="9" fillId="19" borderId="43" xfId="0" applyFont="1" applyFill="1" applyBorder="1" applyAlignment="1">
      <alignment horizontal="left" vertical="top" wrapText="1"/>
    </xf>
    <xf numFmtId="0" fontId="9" fillId="12" borderId="32" xfId="0" applyFont="1" applyFill="1" applyBorder="1" applyAlignment="1">
      <alignment horizontal="left" vertical="top" wrapText="1"/>
    </xf>
    <xf numFmtId="0" fontId="10" fillId="12" borderId="71" xfId="0" applyFont="1" applyFill="1" applyBorder="1" applyAlignment="1">
      <alignment horizontal="left" vertical="top" wrapText="1"/>
    </xf>
    <xf numFmtId="0" fontId="10" fillId="0" borderId="79" xfId="0" applyFont="1" applyBorder="1" applyAlignment="1" applyProtection="1">
      <alignment horizontal="left" vertical="top" wrapText="1"/>
      <protection locked="0"/>
    </xf>
    <xf numFmtId="0" fontId="10" fillId="0" borderId="80" xfId="0" applyFont="1" applyBorder="1" applyAlignment="1" applyProtection="1">
      <alignment horizontal="left" vertical="top" wrapText="1"/>
      <protection locked="0"/>
    </xf>
    <xf numFmtId="0" fontId="20" fillId="4" borderId="25" xfId="0" applyFont="1" applyFill="1" applyBorder="1" applyAlignment="1">
      <alignment horizontal="center" vertical="center"/>
    </xf>
    <xf numFmtId="0" fontId="20" fillId="4" borderId="21" xfId="0" applyFont="1" applyFill="1" applyBorder="1" applyAlignment="1">
      <alignment horizontal="center" vertical="center"/>
    </xf>
    <xf numFmtId="0" fontId="2" fillId="4" borderId="24" xfId="0" applyFont="1" applyFill="1" applyBorder="1" applyAlignment="1">
      <alignment horizontal="center" vertical="center"/>
    </xf>
    <xf numFmtId="0" fontId="2" fillId="4" borderId="25" xfId="0" applyFont="1" applyFill="1" applyBorder="1" applyAlignment="1">
      <alignment horizontal="center" vertical="center"/>
    </xf>
    <xf numFmtId="0" fontId="9" fillId="12" borderId="37" xfId="0" applyFont="1" applyFill="1" applyBorder="1" applyAlignment="1">
      <alignment horizontal="left" vertical="top" wrapText="1"/>
    </xf>
    <xf numFmtId="0" fontId="9" fillId="12" borderId="69" xfId="0" applyFont="1" applyFill="1" applyBorder="1" applyAlignment="1">
      <alignment horizontal="left" vertical="top" wrapText="1"/>
    </xf>
    <xf numFmtId="0" fontId="2" fillId="11" borderId="25" xfId="0" applyFont="1" applyFill="1" applyBorder="1" applyAlignment="1">
      <alignment horizontal="center" vertical="center"/>
    </xf>
    <xf numFmtId="0" fontId="9" fillId="12" borderId="38" xfId="0" applyFont="1" applyFill="1" applyBorder="1" applyAlignment="1">
      <alignment horizontal="left" vertical="top" wrapText="1"/>
    </xf>
    <xf numFmtId="0" fontId="9" fillId="12" borderId="39" xfId="0" applyFont="1" applyFill="1" applyBorder="1" applyAlignment="1">
      <alignment horizontal="left" vertical="top" wrapText="1"/>
    </xf>
    <xf numFmtId="0" fontId="9" fillId="12" borderId="6" xfId="0" applyFont="1" applyFill="1" applyBorder="1" applyAlignment="1">
      <alignment horizontal="left" vertical="top" wrapText="1"/>
    </xf>
    <xf numFmtId="0" fontId="10" fillId="0" borderId="22" xfId="0" applyFont="1" applyBorder="1" applyAlignment="1" applyProtection="1">
      <alignment horizontal="left" vertical="top" wrapText="1"/>
      <protection locked="0"/>
    </xf>
    <xf numFmtId="0" fontId="9" fillId="12" borderId="52" xfId="0" applyFont="1" applyFill="1" applyBorder="1" applyAlignment="1">
      <alignment horizontal="left" vertical="top" wrapText="1"/>
    </xf>
    <xf numFmtId="0" fontId="9" fillId="12" borderId="63" xfId="0" applyFont="1" applyFill="1" applyBorder="1" applyAlignment="1">
      <alignment horizontal="left" vertical="top" wrapText="1"/>
    </xf>
    <xf numFmtId="0" fontId="2" fillId="11" borderId="61" xfId="0" applyFont="1" applyFill="1" applyBorder="1" applyAlignment="1">
      <alignment horizontal="center" vertical="center"/>
    </xf>
    <xf numFmtId="0" fontId="2" fillId="11" borderId="27" xfId="0" applyFont="1" applyFill="1" applyBorder="1" applyAlignment="1">
      <alignment horizontal="center" vertical="center"/>
    </xf>
    <xf numFmtId="0" fontId="9" fillId="21" borderId="43" xfId="0" applyFont="1" applyFill="1" applyBorder="1" applyAlignment="1">
      <alignment horizontal="left" vertical="top" wrapText="1"/>
    </xf>
    <xf numFmtId="0" fontId="9" fillId="21" borderId="36" xfId="0" applyFont="1" applyFill="1" applyBorder="1" applyAlignment="1">
      <alignment horizontal="left" vertical="top" wrapText="1"/>
    </xf>
    <xf numFmtId="0" fontId="9" fillId="21" borderId="64" xfId="0" applyFont="1" applyFill="1" applyBorder="1" applyAlignment="1">
      <alignment horizontal="left" vertical="top" wrapText="1"/>
    </xf>
    <xf numFmtId="0" fontId="9" fillId="21" borderId="65" xfId="0" applyFont="1" applyFill="1" applyBorder="1" applyAlignment="1">
      <alignment horizontal="left" vertical="top" wrapText="1"/>
    </xf>
    <xf numFmtId="0" fontId="10" fillId="0" borderId="72" xfId="0" applyFont="1" applyBorder="1" applyAlignment="1" applyProtection="1">
      <alignment vertical="top" wrapText="1"/>
      <protection locked="0"/>
    </xf>
    <xf numFmtId="0" fontId="10" fillId="0" borderId="50" xfId="0" applyFont="1" applyBorder="1" applyAlignment="1" applyProtection="1">
      <alignment vertical="top" wrapText="1"/>
      <protection locked="0"/>
    </xf>
    <xf numFmtId="0" fontId="10" fillId="0" borderId="71" xfId="0" applyFont="1" applyBorder="1" applyAlignment="1" applyProtection="1">
      <alignment vertical="top" wrapText="1"/>
      <protection locked="0"/>
    </xf>
    <xf numFmtId="0" fontId="9" fillId="7" borderId="46" xfId="0" applyFont="1" applyFill="1" applyBorder="1" applyAlignment="1">
      <alignment vertical="top" wrapText="1"/>
    </xf>
    <xf numFmtId="0" fontId="9" fillId="19" borderId="22" xfId="0" applyFont="1" applyFill="1" applyBorder="1"/>
    <xf numFmtId="0" fontId="2" fillId="19" borderId="25" xfId="0" applyFont="1" applyFill="1" applyBorder="1" applyAlignment="1">
      <alignment horizontal="center" vertical="center"/>
    </xf>
    <xf numFmtId="0" fontId="9" fillId="33" borderId="29" xfId="0" applyFont="1" applyFill="1" applyBorder="1" applyAlignment="1">
      <alignment vertical="top" wrapText="1"/>
    </xf>
    <xf numFmtId="0" fontId="9" fillId="33" borderId="18" xfId="0" applyFont="1" applyFill="1" applyBorder="1" applyAlignment="1">
      <alignment vertical="top" wrapText="1"/>
    </xf>
    <xf numFmtId="0" fontId="10" fillId="0" borderId="43" xfId="0" applyFont="1" applyBorder="1" applyAlignment="1" applyProtection="1">
      <alignment vertical="top" wrapText="1"/>
      <protection locked="0"/>
    </xf>
    <xf numFmtId="0" fontId="0" fillId="0" borderId="46" xfId="0" applyBorder="1" applyAlignment="1">
      <alignment vertical="top" wrapText="1"/>
    </xf>
    <xf numFmtId="0" fontId="10" fillId="0" borderId="64" xfId="0" applyFont="1" applyBorder="1" applyAlignment="1" applyProtection="1">
      <alignment vertical="top" wrapText="1"/>
      <protection locked="0"/>
    </xf>
    <xf numFmtId="0" fontId="0" fillId="0" borderId="68" xfId="0" applyBorder="1" applyAlignment="1">
      <alignment vertical="top" wrapText="1"/>
    </xf>
    <xf numFmtId="0" fontId="10" fillId="5" borderId="64" xfId="0" applyFont="1" applyFill="1" applyBorder="1" applyAlignment="1" applyProtection="1">
      <alignment vertical="top" wrapText="1"/>
      <protection locked="0"/>
    </xf>
    <xf numFmtId="0" fontId="10" fillId="5" borderId="65" xfId="0" applyFont="1" applyFill="1" applyBorder="1" applyAlignment="1" applyProtection="1">
      <alignment vertical="top" wrapText="1"/>
      <protection locked="0"/>
    </xf>
    <xf numFmtId="0" fontId="9" fillId="33" borderId="64" xfId="0" applyFont="1" applyFill="1" applyBorder="1" applyAlignment="1">
      <alignment horizontal="left" vertical="top" wrapText="1"/>
    </xf>
    <xf numFmtId="0" fontId="9" fillId="33" borderId="65" xfId="0" applyFont="1" applyFill="1" applyBorder="1" applyAlignment="1">
      <alignment horizontal="left" vertical="top" wrapText="1"/>
    </xf>
    <xf numFmtId="0" fontId="9" fillId="33" borderId="60" xfId="0" applyFont="1" applyFill="1" applyBorder="1" applyAlignment="1">
      <alignment horizontal="left" vertical="top" wrapText="1"/>
    </xf>
    <xf numFmtId="0" fontId="9" fillId="33" borderId="21" xfId="0" applyFont="1" applyFill="1" applyBorder="1" applyAlignment="1">
      <alignment horizontal="left" vertical="top" wrapText="1"/>
    </xf>
    <xf numFmtId="0" fontId="9" fillId="33" borderId="68" xfId="0" applyFont="1" applyFill="1" applyBorder="1" applyAlignment="1">
      <alignment horizontal="left" vertical="top" wrapText="1"/>
    </xf>
    <xf numFmtId="0" fontId="9" fillId="33" borderId="72" xfId="0" applyFont="1" applyFill="1" applyBorder="1" applyAlignment="1">
      <alignment horizontal="left" vertical="top" wrapText="1"/>
    </xf>
    <xf numFmtId="0" fontId="9" fillId="33" borderId="71" xfId="0" applyFont="1" applyFill="1" applyBorder="1" applyAlignment="1">
      <alignment horizontal="left" vertical="top" wrapText="1"/>
    </xf>
    <xf numFmtId="0" fontId="0" fillId="0" borderId="71" xfId="0" applyBorder="1" applyAlignment="1">
      <alignment vertical="top" wrapText="1"/>
    </xf>
    <xf numFmtId="0" fontId="7" fillId="0" borderId="24" xfId="0" applyFont="1" applyBorder="1" applyAlignment="1" applyProtection="1">
      <alignment horizontal="left" vertical="top" wrapText="1"/>
      <protection locked="0"/>
    </xf>
    <xf numFmtId="0" fontId="7" fillId="0" borderId="25" xfId="0" applyFont="1" applyBorder="1" applyAlignment="1" applyProtection="1">
      <alignment horizontal="left" vertical="top" wrapText="1"/>
      <protection locked="0"/>
    </xf>
    <xf numFmtId="0" fontId="7" fillId="0" borderId="21" xfId="0" applyFont="1" applyBorder="1" applyAlignment="1" applyProtection="1">
      <alignment horizontal="left" vertical="top" wrapText="1"/>
      <protection locked="0"/>
    </xf>
    <xf numFmtId="0" fontId="2" fillId="2" borderId="24" xfId="0" applyFont="1" applyFill="1" applyBorder="1" applyAlignment="1">
      <alignment horizontal="center"/>
    </xf>
    <xf numFmtId="0" fontId="2" fillId="2" borderId="25" xfId="0" applyFont="1" applyFill="1" applyBorder="1" applyAlignment="1">
      <alignment horizontal="center"/>
    </xf>
    <xf numFmtId="0" fontId="2" fillId="2" borderId="21" xfId="0" applyFont="1" applyFill="1" applyBorder="1" applyAlignment="1">
      <alignment horizontal="center"/>
    </xf>
    <xf numFmtId="0" fontId="0" fillId="0" borderId="25"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7" fillId="0" borderId="23" xfId="0" applyFont="1" applyBorder="1" applyAlignment="1" applyProtection="1">
      <alignment vertical="top"/>
      <protection locked="0"/>
    </xf>
    <xf numFmtId="0" fontId="0" fillId="0" borderId="40" xfId="0" applyBorder="1" applyAlignment="1" applyProtection="1">
      <alignment vertical="top"/>
      <protection locked="0"/>
    </xf>
    <xf numFmtId="0" fontId="0" fillId="0" borderId="10" xfId="0" applyBorder="1" applyAlignment="1" applyProtection="1">
      <alignment vertical="top"/>
      <protection locked="0"/>
    </xf>
    <xf numFmtId="0" fontId="0" fillId="0" borderId="25" xfId="0" applyBorder="1" applyAlignment="1">
      <alignment horizontal="center"/>
    </xf>
    <xf numFmtId="0" fontId="0" fillId="0" borderId="21" xfId="0" applyBorder="1" applyAlignment="1">
      <alignment horizontal="center"/>
    </xf>
    <xf numFmtId="0" fontId="20" fillId="0" borderId="25" xfId="0" applyFont="1" applyBorder="1" applyAlignment="1" applyProtection="1">
      <alignment horizontal="left" vertical="center"/>
      <protection locked="0"/>
    </xf>
    <xf numFmtId="0" fontId="20" fillId="0" borderId="21" xfId="0" applyFont="1" applyBorder="1" applyAlignment="1" applyProtection="1">
      <alignment horizontal="left" vertical="center"/>
      <protection locked="0"/>
    </xf>
    <xf numFmtId="0" fontId="22" fillId="0" borderId="25" xfId="0" applyFont="1" applyBorder="1" applyAlignment="1" applyProtection="1">
      <alignment horizontal="left"/>
      <protection locked="0"/>
    </xf>
    <xf numFmtId="0" fontId="22" fillId="0" borderId="21" xfId="0" applyFont="1" applyBorder="1" applyAlignment="1" applyProtection="1">
      <alignment horizontal="left"/>
      <protection locked="0"/>
    </xf>
    <xf numFmtId="14" fontId="2" fillId="0" borderId="45" xfId="0" quotePrefix="1" applyNumberFormat="1" applyFont="1" applyBorder="1" applyAlignment="1" applyProtection="1">
      <alignment horizontal="center" vertical="center"/>
      <protection locked="0"/>
    </xf>
    <xf numFmtId="14" fontId="2" fillId="0" borderId="28" xfId="0" applyNumberFormat="1" applyFont="1" applyBorder="1" applyAlignment="1" applyProtection="1">
      <alignment horizontal="center" vertical="center"/>
      <protection locked="0"/>
    </xf>
    <xf numFmtId="0" fontId="2" fillId="2" borderId="18" xfId="0" applyFont="1" applyFill="1" applyBorder="1" applyAlignment="1">
      <alignment horizontal="center" vertical="center"/>
    </xf>
    <xf numFmtId="0" fontId="2" fillId="2" borderId="59" xfId="0" applyFont="1" applyFill="1" applyBorder="1" applyAlignment="1">
      <alignment horizontal="center" vertical="center"/>
    </xf>
    <xf numFmtId="0" fontId="19" fillId="25" borderId="31" xfId="0" applyFont="1" applyFill="1" applyBorder="1" applyAlignment="1">
      <alignment horizontal="left" vertical="center"/>
    </xf>
    <xf numFmtId="0" fontId="19" fillId="25" borderId="41" xfId="0" applyFont="1" applyFill="1" applyBorder="1" applyAlignment="1">
      <alignment horizontal="left" vertical="center"/>
    </xf>
    <xf numFmtId="0" fontId="19" fillId="13" borderId="6" xfId="0" applyFont="1" applyFill="1" applyBorder="1" applyAlignment="1">
      <alignment horizontal="left" vertical="center"/>
    </xf>
    <xf numFmtId="0" fontId="19" fillId="13" borderId="36" xfId="0" applyFont="1" applyFill="1" applyBorder="1" applyAlignment="1">
      <alignment horizontal="left" vertical="center"/>
    </xf>
    <xf numFmtId="0" fontId="19" fillId="17" borderId="6" xfId="0" applyFont="1" applyFill="1" applyBorder="1" applyAlignment="1">
      <alignment horizontal="left" vertical="center"/>
    </xf>
    <xf numFmtId="0" fontId="19" fillId="17" borderId="36" xfId="0" applyFont="1" applyFill="1" applyBorder="1" applyAlignment="1">
      <alignment horizontal="left" vertical="center"/>
    </xf>
    <xf numFmtId="0" fontId="19" fillId="9" borderId="6" xfId="0" applyFont="1" applyFill="1" applyBorder="1" applyAlignment="1">
      <alignment horizontal="left" vertical="center"/>
    </xf>
    <xf numFmtId="0" fontId="19" fillId="9" borderId="36" xfId="0" applyFont="1" applyFill="1" applyBorder="1" applyAlignment="1">
      <alignment horizontal="left" vertical="center"/>
    </xf>
    <xf numFmtId="0" fontId="19" fillId="22" borderId="32" xfId="0" applyFont="1" applyFill="1" applyBorder="1" applyAlignment="1">
      <alignment horizontal="left" vertical="center"/>
    </xf>
    <xf numFmtId="0" fontId="19" fillId="22" borderId="50" xfId="0" applyFont="1" applyFill="1" applyBorder="1" applyAlignment="1">
      <alignment horizontal="left" vertical="center"/>
    </xf>
    <xf numFmtId="0" fontId="2" fillId="2" borderId="23" xfId="0" applyFont="1" applyFill="1" applyBorder="1" applyAlignment="1">
      <alignment horizontal="left" vertical="center"/>
    </xf>
    <xf numFmtId="0" fontId="2" fillId="2" borderId="40" xfId="0" applyFont="1" applyFill="1" applyBorder="1" applyAlignment="1">
      <alignment horizontal="left" vertical="center"/>
    </xf>
    <xf numFmtId="0" fontId="2" fillId="2" borderId="16" xfId="0" applyFont="1" applyFill="1" applyBorder="1" applyAlignment="1">
      <alignment horizontal="left" vertical="center"/>
    </xf>
    <xf numFmtId="0" fontId="2" fillId="2" borderId="27" xfId="0" applyFont="1" applyFill="1" applyBorder="1" applyAlignment="1">
      <alignment horizontal="left" vertical="center"/>
    </xf>
    <xf numFmtId="0" fontId="2" fillId="2" borderId="37" xfId="0" applyFont="1" applyFill="1" applyBorder="1" applyAlignment="1">
      <alignment horizontal="center"/>
    </xf>
    <xf numFmtId="0" fontId="2" fillId="2" borderId="30" xfId="0" applyFont="1" applyFill="1" applyBorder="1" applyAlignment="1">
      <alignment horizontal="center"/>
    </xf>
    <xf numFmtId="0" fontId="19" fillId="32" borderId="6" xfId="0" applyFont="1" applyFill="1" applyBorder="1" applyAlignment="1">
      <alignment horizontal="left" vertical="center"/>
    </xf>
    <xf numFmtId="0" fontId="0" fillId="32" borderId="12" xfId="0" applyFill="1" applyBorder="1" applyAlignment="1">
      <alignment horizontal="left" vertical="center"/>
    </xf>
    <xf numFmtId="0" fontId="34" fillId="4" borderId="24" xfId="0" applyFont="1" applyFill="1" applyBorder="1" applyAlignment="1">
      <alignment horizontal="center" vertical="center"/>
    </xf>
    <xf numFmtId="0" fontId="0" fillId="0" borderId="25" xfId="0" applyBorder="1" applyAlignment="1">
      <alignment vertical="center"/>
    </xf>
    <xf numFmtId="0" fontId="0" fillId="0" borderId="21" xfId="0" applyBorder="1" applyAlignment="1">
      <alignment vertical="center"/>
    </xf>
    <xf numFmtId="0" fontId="9" fillId="0" borderId="31" xfId="0" applyFont="1" applyBorder="1" applyAlignment="1" applyProtection="1">
      <alignment horizontal="center" vertical="center" wrapText="1"/>
      <protection locked="0"/>
    </xf>
    <xf numFmtId="0" fontId="9" fillId="0" borderId="18" xfId="0" applyFont="1" applyBorder="1" applyAlignment="1" applyProtection="1">
      <alignment horizontal="center" vertical="center" wrapText="1"/>
      <protection locked="0"/>
    </xf>
    <xf numFmtId="0" fontId="9" fillId="0" borderId="6" xfId="0" applyFont="1" applyBorder="1" applyAlignment="1" applyProtection="1">
      <alignment horizontal="center" vertical="center" wrapText="1"/>
      <protection locked="0"/>
    </xf>
    <xf numFmtId="0" fontId="9" fillId="0" borderId="12" xfId="0" applyFont="1" applyBorder="1" applyAlignment="1" applyProtection="1">
      <alignment horizontal="center" vertical="center" wrapText="1"/>
      <protection locked="0"/>
    </xf>
    <xf numFmtId="0" fontId="9" fillId="0" borderId="7" xfId="0" applyFont="1" applyBorder="1" applyAlignment="1" applyProtection="1">
      <alignment horizontal="center" vertical="center" wrapText="1"/>
      <protection locked="0"/>
    </xf>
    <xf numFmtId="0" fontId="9" fillId="0" borderId="13" xfId="0" applyFont="1" applyBorder="1" applyAlignment="1" applyProtection="1">
      <alignment horizontal="center" vertical="center" wrapText="1"/>
      <protection locked="0"/>
    </xf>
    <xf numFmtId="0" fontId="7" fillId="2" borderId="83" xfId="0" applyFont="1" applyFill="1" applyBorder="1" applyAlignment="1">
      <alignment horizontal="center" vertical="center"/>
    </xf>
    <xf numFmtId="0" fontId="7" fillId="2" borderId="84" xfId="0" applyFont="1" applyFill="1" applyBorder="1" applyAlignment="1">
      <alignment horizontal="center" vertical="center"/>
    </xf>
    <xf numFmtId="0" fontId="7" fillId="0" borderId="31" xfId="0" applyFont="1" applyBorder="1" applyAlignment="1" applyProtection="1">
      <alignment horizontal="center" vertical="center"/>
      <protection locked="0"/>
    </xf>
    <xf numFmtId="0" fontId="7" fillId="0" borderId="18" xfId="0" applyFont="1" applyBorder="1" applyAlignment="1" applyProtection="1">
      <alignment horizontal="center" vertical="center"/>
      <protection locked="0"/>
    </xf>
    <xf numFmtId="0" fontId="7" fillId="0" borderId="6" xfId="0" applyFont="1" applyBorder="1" applyAlignment="1" applyProtection="1">
      <alignment horizontal="center" vertical="center"/>
      <protection locked="0"/>
    </xf>
    <xf numFmtId="0" fontId="7" fillId="0" borderId="12" xfId="0" applyFont="1" applyBorder="1" applyAlignment="1" applyProtection="1">
      <alignment horizontal="center" vertical="center"/>
      <protection locked="0"/>
    </xf>
    <xf numFmtId="0" fontId="7" fillId="0" borderId="7" xfId="0" applyFont="1" applyBorder="1" applyAlignment="1" applyProtection="1">
      <alignment horizontal="center" vertical="center"/>
      <protection locked="0"/>
    </xf>
    <xf numFmtId="0" fontId="7" fillId="0" borderId="13" xfId="0" applyFont="1" applyBorder="1" applyAlignment="1" applyProtection="1">
      <alignment horizontal="center" vertical="center"/>
      <protection locked="0"/>
    </xf>
    <xf numFmtId="0" fontId="9" fillId="0" borderId="43" xfId="0" applyFont="1" applyBorder="1" applyAlignment="1" applyProtection="1">
      <alignment horizontal="center" vertical="center" wrapText="1"/>
      <protection locked="0"/>
    </xf>
    <xf numFmtId="0" fontId="9" fillId="0" borderId="46" xfId="0" applyFont="1" applyBorder="1" applyAlignment="1" applyProtection="1">
      <alignment horizontal="center" vertical="center" wrapText="1"/>
      <protection locked="0"/>
    </xf>
    <xf numFmtId="0" fontId="7" fillId="2" borderId="32" xfId="0" applyFont="1" applyFill="1" applyBorder="1" applyAlignment="1">
      <alignment horizontal="center" vertical="center"/>
    </xf>
    <xf numFmtId="0" fontId="7" fillId="2" borderId="44" xfId="0" applyFont="1" applyFill="1" applyBorder="1" applyAlignment="1">
      <alignment horizontal="center" vertical="center"/>
    </xf>
    <xf numFmtId="0" fontId="7" fillId="2" borderId="67" xfId="0" applyFont="1" applyFill="1" applyBorder="1" applyAlignment="1">
      <alignment horizontal="center" vertical="center"/>
    </xf>
    <xf numFmtId="0" fontId="7" fillId="2" borderId="59" xfId="0" applyFont="1" applyFill="1" applyBorder="1" applyAlignment="1">
      <alignment horizontal="center" vertical="center"/>
    </xf>
    <xf numFmtId="0" fontId="7" fillId="2" borderId="22" xfId="0" applyFont="1" applyFill="1" applyBorder="1" applyAlignment="1">
      <alignment horizontal="center" vertical="center"/>
    </xf>
    <xf numFmtId="0" fontId="2" fillId="24" borderId="23" xfId="0" applyFont="1" applyFill="1" applyBorder="1" applyAlignment="1">
      <alignment horizontal="center" vertical="center" wrapText="1"/>
    </xf>
    <xf numFmtId="0" fontId="2" fillId="24" borderId="10" xfId="0" applyFont="1" applyFill="1" applyBorder="1" applyAlignment="1">
      <alignment horizontal="center" vertical="center" wrapText="1"/>
    </xf>
    <xf numFmtId="0" fontId="23" fillId="4" borderId="24" xfId="0" applyFont="1" applyFill="1" applyBorder="1" applyAlignment="1">
      <alignment horizontal="left"/>
    </xf>
    <xf numFmtId="0" fontId="23" fillId="4" borderId="21" xfId="0" applyFont="1" applyFill="1" applyBorder="1" applyAlignment="1">
      <alignment horizontal="left"/>
    </xf>
    <xf numFmtId="49" fontId="2" fillId="24" borderId="16" xfId="0" quotePrefix="1" applyNumberFormat="1" applyFont="1" applyFill="1" applyBorder="1" applyAlignment="1" applyProtection="1">
      <alignment horizontal="center" vertical="center"/>
      <protection locked="0"/>
    </xf>
    <xf numFmtId="49" fontId="2" fillId="24" borderId="15" xfId="0" quotePrefix="1" applyNumberFormat="1" applyFont="1" applyFill="1" applyBorder="1" applyAlignment="1" applyProtection="1">
      <alignment horizontal="center" vertical="center"/>
      <protection locked="0"/>
    </xf>
    <xf numFmtId="0" fontId="2" fillId="2" borderId="2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40" xfId="0" applyFont="1" applyFill="1" applyBorder="1" applyAlignment="1">
      <alignment horizontal="center" vertical="center"/>
    </xf>
    <xf numFmtId="0" fontId="2" fillId="2" borderId="0" xfId="0" applyFont="1" applyFill="1" applyAlignment="1">
      <alignment horizontal="center" vertical="center"/>
    </xf>
    <xf numFmtId="0" fontId="2" fillId="2" borderId="27" xfId="0" applyFont="1" applyFill="1" applyBorder="1" applyAlignment="1">
      <alignment horizontal="center" vertical="center"/>
    </xf>
    <xf numFmtId="2" fontId="7" fillId="4" borderId="23" xfId="0" applyNumberFormat="1" applyFont="1" applyFill="1" applyBorder="1" applyAlignment="1">
      <alignment horizontal="center" vertical="center"/>
    </xf>
    <xf numFmtId="2" fontId="7" fillId="4" borderId="2" xfId="0" applyNumberFormat="1" applyFont="1" applyFill="1" applyBorder="1" applyAlignment="1">
      <alignment horizontal="center" vertical="center"/>
    </xf>
    <xf numFmtId="2" fontId="7" fillId="4" borderId="16" xfId="0" applyNumberFormat="1" applyFont="1" applyFill="1" applyBorder="1" applyAlignment="1">
      <alignment horizontal="center" vertical="center"/>
    </xf>
    <xf numFmtId="0" fontId="7" fillId="2" borderId="9" xfId="0" applyFont="1" applyFill="1" applyBorder="1" applyAlignment="1">
      <alignment horizontal="center" vertical="center"/>
    </xf>
    <xf numFmtId="0" fontId="7" fillId="2" borderId="19" xfId="0" applyFont="1" applyFill="1" applyBorder="1" applyAlignment="1">
      <alignment horizontal="center" vertical="center"/>
    </xf>
    <xf numFmtId="0" fontId="7" fillId="2" borderId="14"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5" xfId="0" applyFont="1" applyFill="1" applyBorder="1" applyAlignment="1">
      <alignment horizontal="center" vertical="center"/>
    </xf>
    <xf numFmtId="0" fontId="33" fillId="2" borderId="24" xfId="0" applyFont="1" applyFill="1" applyBorder="1" applyAlignment="1">
      <alignment horizontal="center" vertical="center"/>
    </xf>
    <xf numFmtId="0" fontId="33" fillId="2" borderId="21" xfId="0" applyFont="1" applyFill="1" applyBorder="1" applyAlignment="1">
      <alignment horizontal="center" vertical="center"/>
    </xf>
    <xf numFmtId="0" fontId="5" fillId="31" borderId="23" xfId="0" applyFont="1" applyFill="1" applyBorder="1" applyAlignment="1">
      <alignment horizontal="left" vertical="top"/>
    </xf>
    <xf numFmtId="0" fontId="5" fillId="31" borderId="10" xfId="0" applyFont="1" applyFill="1" applyBorder="1" applyAlignment="1">
      <alignment horizontal="left" vertical="top"/>
    </xf>
    <xf numFmtId="0" fontId="4" fillId="31" borderId="23" xfId="0" applyFont="1" applyFill="1" applyBorder="1" applyAlignment="1">
      <alignment horizontal="left" vertical="top"/>
    </xf>
    <xf numFmtId="0" fontId="4" fillId="31" borderId="10" xfId="0" applyFont="1" applyFill="1" applyBorder="1" applyAlignment="1">
      <alignment horizontal="left" vertical="top"/>
    </xf>
  </cellXfs>
  <cellStyles count="1">
    <cellStyle name="Normal" xfId="0" builtinId="0"/>
  </cellStyles>
  <dxfs count="100">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s>
  <tableStyles count="0" defaultTableStyle="TableStyleMedium9" defaultPivotStyle="PivotStyleLight16"/>
  <colors>
    <mruColors>
      <color rgb="FF785B97"/>
      <color rgb="FFB1A0C7"/>
      <color rgb="FF7256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0074074074074"/>
          <c:y val="0.19215092592592592"/>
          <c:w val="0.50986481481481483"/>
          <c:h val="0.50986481481481483"/>
        </c:manualLayout>
      </c:layout>
      <c:radarChart>
        <c:radarStyle val="marker"/>
        <c:varyColors val="0"/>
        <c:ser>
          <c:idx val="0"/>
          <c:order val="0"/>
          <c:tx>
            <c:v>Present profile</c:v>
          </c:tx>
          <c:spPr>
            <a:ln>
              <a:solidFill>
                <a:srgbClr val="C00000"/>
              </a:solidFill>
            </a:ln>
          </c:spPr>
          <c:marker>
            <c:symbol val="diamond"/>
            <c:size val="7"/>
            <c:spPr>
              <a:solidFill>
                <a:srgbClr val="C00000"/>
              </a:solidFill>
              <a:ln cmpd="sng">
                <a:solidFill>
                  <a:srgbClr val="C00000"/>
                </a:solidFill>
              </a:ln>
            </c:spPr>
          </c:marker>
          <c:cat>
            <c:strRef>
              <c:f>Profile!$A$14:$B$19</c:f>
              <c:strCache>
                <c:ptCount val="6"/>
                <c:pt idx="0">
                  <c:v>1. WORKING CONDITIONS</c:v>
                </c:pt>
                <c:pt idx="1">
                  <c:v>2. LAND &amp; WATER RIGHTS</c:v>
                </c:pt>
                <c:pt idx="2">
                  <c:v>3. GENDER EQUALITY</c:v>
                </c:pt>
                <c:pt idx="3">
                  <c:v>4. FOOD AND NUTRITION SECURITY</c:v>
                </c:pt>
                <c:pt idx="4">
                  <c:v>5.SOCIAL CAPITAL</c:v>
                </c:pt>
                <c:pt idx="5">
                  <c:v>6. LIVING CONDITIONS</c:v>
                </c:pt>
              </c:strCache>
            </c:strRef>
          </c:cat>
          <c:val>
            <c:numRef>
              <c:f>Profile!$D$14:$D$19</c:f>
              <c:numCache>
                <c:formatCode>0.00</c:formatCode>
                <c:ptCount val="6"/>
                <c:pt idx="0">
                  <c:v>2.2999999999999998</c:v>
                </c:pt>
                <c:pt idx="1">
                  <c:v>2</c:v>
                </c:pt>
                <c:pt idx="2">
                  <c:v>2.1399999999999997</c:v>
                </c:pt>
                <c:pt idx="3">
                  <c:v>1.875</c:v>
                </c:pt>
                <c:pt idx="4">
                  <c:v>2</c:v>
                </c:pt>
                <c:pt idx="5">
                  <c:v>2.6666666666666665</c:v>
                </c:pt>
              </c:numCache>
            </c:numRef>
          </c:val>
          <c:extLst>
            <c:ext xmlns:c16="http://schemas.microsoft.com/office/drawing/2014/chart" uri="{C3380CC4-5D6E-409C-BE32-E72D297353CC}">
              <c16:uniqueId val="{00000000-49DF-4CCF-AAC1-88F359C1D322}"/>
            </c:ext>
          </c:extLst>
        </c:ser>
        <c:ser>
          <c:idx val="2"/>
          <c:order val="1"/>
          <c:tx>
            <c:strRef>
              <c:f>Profile!$F$12</c:f>
              <c:strCache>
                <c:ptCount val="1"/>
                <c:pt idx="0">
                  <c:v>Previous profile</c:v>
                </c:pt>
              </c:strCache>
            </c:strRef>
          </c:tx>
          <c:marker>
            <c:symbol val="none"/>
          </c:marker>
          <c:cat>
            <c:strRef>
              <c:f>Profile!$A$14:$B$19</c:f>
              <c:strCache>
                <c:ptCount val="6"/>
                <c:pt idx="0">
                  <c:v>1. WORKING CONDITIONS</c:v>
                </c:pt>
                <c:pt idx="1">
                  <c:v>2. LAND &amp; WATER RIGHTS</c:v>
                </c:pt>
                <c:pt idx="2">
                  <c:v>3. GENDER EQUALITY</c:v>
                </c:pt>
                <c:pt idx="3">
                  <c:v>4. FOOD AND NUTRITION SECURITY</c:v>
                </c:pt>
                <c:pt idx="4">
                  <c:v>5.SOCIAL CAPITAL</c:v>
                </c:pt>
                <c:pt idx="5">
                  <c:v>6. LIVING CONDITIONS</c:v>
                </c:pt>
              </c:strCache>
            </c:strRef>
          </c:cat>
          <c:val>
            <c:numRef>
              <c:f>Profile!$G$14:$G$19</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49DF-4CCF-AAC1-88F359C1D322}"/>
            </c:ext>
          </c:extLst>
        </c:ser>
        <c:dLbls>
          <c:showLegendKey val="0"/>
          <c:showVal val="0"/>
          <c:showCatName val="0"/>
          <c:showSerName val="0"/>
          <c:showPercent val="0"/>
          <c:showBubbleSize val="0"/>
        </c:dLbls>
        <c:axId val="113745920"/>
        <c:axId val="113747840"/>
      </c:radarChart>
      <c:catAx>
        <c:axId val="113745920"/>
        <c:scaling>
          <c:orientation val="minMax"/>
        </c:scaling>
        <c:delete val="0"/>
        <c:axPos val="b"/>
        <c:majorGridlines/>
        <c:numFmt formatCode="@" sourceLinked="0"/>
        <c:majorTickMark val="none"/>
        <c:minorTickMark val="none"/>
        <c:tickLblPos val="nextTo"/>
        <c:spPr>
          <a:ln w="9525">
            <a:noFill/>
          </a:ln>
        </c:spPr>
        <c:txPr>
          <a:bodyPr rot="0" vert="horz"/>
          <a:lstStyle/>
          <a:p>
            <a:pPr>
              <a:defRPr b="1"/>
            </a:pPr>
            <a:endParaRPr lang="en-US"/>
          </a:p>
        </c:txPr>
        <c:crossAx val="113747840"/>
        <c:crosses val="autoZero"/>
        <c:auto val="0"/>
        <c:lblAlgn val="ctr"/>
        <c:lblOffset val="100"/>
        <c:noMultiLvlLbl val="0"/>
      </c:catAx>
      <c:valAx>
        <c:axId val="113747840"/>
        <c:scaling>
          <c:orientation val="minMax"/>
          <c:max val="4"/>
          <c:min val="0"/>
        </c:scaling>
        <c:delete val="0"/>
        <c:axPos val="l"/>
        <c:majorGridlines/>
        <c:numFmt formatCode="@" sourceLinked="0"/>
        <c:majorTickMark val="out"/>
        <c:minorTickMark val="none"/>
        <c:tickLblPos val="nextTo"/>
        <c:txPr>
          <a:bodyPr rot="0" vert="horz"/>
          <a:lstStyle/>
          <a:p>
            <a:pPr>
              <a:defRPr/>
            </a:pPr>
            <a:endParaRPr lang="en-US"/>
          </a:p>
        </c:txPr>
        <c:crossAx val="113745920"/>
        <c:crosses val="autoZero"/>
        <c:crossBetween val="between"/>
      </c:valAx>
    </c:plotArea>
    <c:legend>
      <c:legendPos val="b"/>
      <c:overlay val="1"/>
    </c:legend>
    <c:plotVisOnly val="1"/>
    <c:dispBlanksAs val="gap"/>
    <c:showDLblsOverMax val="0"/>
  </c:chart>
  <c:spPr>
    <a:solidFill>
      <a:schemeClr val="bg1"/>
    </a:solidFill>
  </c:spPr>
  <c:printSettings>
    <c:headerFooter alignWithMargins="0"/>
    <c:pageMargins b="1" l="0.750000000000003" r="0.750000000000003" t="1" header="0.5" footer="0.5"/>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7</xdr:col>
      <xdr:colOff>134992</xdr:colOff>
      <xdr:row>3</xdr:row>
      <xdr:rowOff>99520</xdr:rowOff>
    </xdr:from>
    <xdr:to>
      <xdr:col>15</xdr:col>
      <xdr:colOff>300626</xdr:colOff>
      <xdr:row>21</xdr:row>
      <xdr:rowOff>1241101</xdr:rowOff>
    </xdr:to>
    <xdr:graphicFrame macro="">
      <xdr:nvGraphicFramePr>
        <xdr:cNvPr id="4097" name="Chart 1">
          <a:extLst>
            <a:ext uri="{FF2B5EF4-FFF2-40B4-BE49-F238E27FC236}">
              <a16:creationId xmlns:a16="http://schemas.microsoft.com/office/drawing/2014/main" id="{00000000-0008-0000-0000-0000011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9"/>
  <sheetViews>
    <sheetView tabSelected="1" view="pageBreakPreview" zoomScaleNormal="100" zoomScaleSheetLayoutView="100" workbookViewId="0">
      <pane ySplit="3" topLeftCell="A25" activePane="bottomLeft" state="frozen"/>
      <selection pane="bottomLeft" activeCell="A25" sqref="A25:G25"/>
    </sheetView>
  </sheetViews>
  <sheetFormatPr defaultColWidth="8.81640625" defaultRowHeight="12.5" x14ac:dyDescent="0.25"/>
  <cols>
    <col min="1" max="1" width="20" customWidth="1"/>
    <col min="2" max="2" width="13.26953125" customWidth="1"/>
    <col min="3" max="3" width="14.26953125" customWidth="1"/>
    <col min="4" max="4" width="10.453125" customWidth="1"/>
    <col min="5" max="5" width="8.453125" customWidth="1"/>
    <col min="6" max="6" width="13.453125" customWidth="1"/>
    <col min="7" max="7" width="11.26953125" customWidth="1"/>
    <col min="9" max="9" width="10.81640625" hidden="1" customWidth="1"/>
  </cols>
  <sheetData>
    <row r="1" spans="1:10" ht="22.5" customHeight="1" thickBot="1" x14ac:dyDescent="0.35">
      <c r="A1" s="568" t="s">
        <v>208</v>
      </c>
      <c r="B1" s="569"/>
      <c r="C1" s="570"/>
      <c r="D1" s="380" t="s">
        <v>25</v>
      </c>
      <c r="E1" s="310"/>
      <c r="F1" s="542" t="s">
        <v>221</v>
      </c>
      <c r="G1" s="543"/>
      <c r="I1" s="205"/>
    </row>
    <row r="2" spans="1:10" ht="16.5" customHeight="1" thickBot="1" x14ac:dyDescent="0.35">
      <c r="A2" s="382"/>
      <c r="B2" s="100"/>
      <c r="C2" s="100"/>
      <c r="D2" s="311" t="s">
        <v>120</v>
      </c>
      <c r="E2" s="544" t="s">
        <v>310</v>
      </c>
      <c r="F2" s="544"/>
      <c r="G2" s="545"/>
    </row>
    <row r="3" spans="1:10" ht="18" customHeight="1" thickBot="1" x14ac:dyDescent="0.35">
      <c r="A3" s="4" t="s">
        <v>23</v>
      </c>
      <c r="B3" s="546" t="s">
        <v>222</v>
      </c>
      <c r="C3" s="547"/>
      <c r="D3" s="5"/>
      <c r="G3" s="3"/>
      <c r="J3" s="268"/>
    </row>
    <row r="4" spans="1:10" ht="13.5" customHeight="1" x14ac:dyDescent="0.25">
      <c r="A4" s="2"/>
      <c r="G4" s="3"/>
    </row>
    <row r="5" spans="1:10" ht="20.25" customHeight="1" x14ac:dyDescent="0.25">
      <c r="G5" s="3"/>
    </row>
    <row r="6" spans="1:10" ht="18" customHeight="1" x14ac:dyDescent="0.25">
      <c r="G6" s="3"/>
    </row>
    <row r="7" spans="1:10" ht="18" customHeight="1" x14ac:dyDescent="0.25">
      <c r="G7" s="3"/>
    </row>
    <row r="8" spans="1:10" ht="18" customHeight="1" x14ac:dyDescent="0.25">
      <c r="G8" s="3"/>
    </row>
    <row r="9" spans="1:10" ht="18" customHeight="1" x14ac:dyDescent="0.25">
      <c r="G9" s="3"/>
    </row>
    <row r="10" spans="1:10" ht="6" customHeight="1" thickBot="1" x14ac:dyDescent="0.3">
      <c r="A10" s="2"/>
      <c r="G10" s="3"/>
    </row>
    <row r="11" spans="1:10" ht="13" hidden="1" thickBot="1" x14ac:dyDescent="0.3">
      <c r="A11" s="2"/>
      <c r="G11" s="3"/>
    </row>
    <row r="12" spans="1:10" ht="13.5" thickBot="1" x14ac:dyDescent="0.35">
      <c r="A12" s="560" t="s">
        <v>80</v>
      </c>
      <c r="B12" s="561"/>
      <c r="C12" s="564" t="s">
        <v>81</v>
      </c>
      <c r="D12" s="565"/>
      <c r="E12" s="548" t="s">
        <v>7</v>
      </c>
      <c r="F12" s="6" t="s">
        <v>82</v>
      </c>
      <c r="G12" s="7" t="str">
        <f>Register!H3</f>
        <v>../../20..</v>
      </c>
    </row>
    <row r="13" spans="1:10" ht="13.5" thickBot="1" x14ac:dyDescent="0.35">
      <c r="A13" s="562"/>
      <c r="B13" s="563"/>
      <c r="C13" s="73" t="s">
        <v>84</v>
      </c>
      <c r="D13" s="74" t="s">
        <v>85</v>
      </c>
      <c r="E13" s="549"/>
      <c r="F13" s="8" t="s">
        <v>84</v>
      </c>
      <c r="G13" s="9" t="s">
        <v>85</v>
      </c>
      <c r="I13" s="206" t="s">
        <v>14</v>
      </c>
    </row>
    <row r="14" spans="1:10" ht="14" x14ac:dyDescent="0.25">
      <c r="A14" s="550" t="str">
        <f>Register!A5</f>
        <v>1. WORKING CONDITIONS</v>
      </c>
      <c r="B14" s="551"/>
      <c r="C14" s="312" t="str">
        <f>Register!C10</f>
        <v>Moderate/Low</v>
      </c>
      <c r="D14" s="296">
        <f>Register!B10</f>
        <v>2.2999999999999998</v>
      </c>
      <c r="E14" s="297" t="str">
        <f>Register!D10</f>
        <v>↑</v>
      </c>
      <c r="F14" s="10" t="str">
        <f>Register!I10</f>
        <v>Not at all</v>
      </c>
      <c r="G14" s="303">
        <f>Register!H10</f>
        <v>0</v>
      </c>
      <c r="I14" s="207" t="e">
        <f>Register!#REF!</f>
        <v>#REF!</v>
      </c>
    </row>
    <row r="15" spans="1:10" ht="14" x14ac:dyDescent="0.25">
      <c r="A15" s="552" t="str">
        <f>Register!A11</f>
        <v>2. LAND &amp; WATER RIGHTS</v>
      </c>
      <c r="B15" s="553"/>
      <c r="C15" s="313" t="str">
        <f>Register!C15</f>
        <v>Moderate/Low</v>
      </c>
      <c r="D15" s="298">
        <f>Register!B15</f>
        <v>2</v>
      </c>
      <c r="E15" s="299" t="str">
        <f>Register!D15</f>
        <v>↑</v>
      </c>
      <c r="F15" s="11" t="str">
        <f>Register!I15</f>
        <v>Not at all</v>
      </c>
      <c r="G15" s="304">
        <f>Register!H15</f>
        <v>0</v>
      </c>
      <c r="I15" s="208" t="e">
        <f>Register!#REF!</f>
        <v>#REF!</v>
      </c>
    </row>
    <row r="16" spans="1:10" ht="14" x14ac:dyDescent="0.25">
      <c r="A16" s="554" t="str">
        <f>Register!A16</f>
        <v>3. GENDER EQUALITY</v>
      </c>
      <c r="B16" s="555"/>
      <c r="C16" s="313" t="str">
        <f>Register!C22</f>
        <v>Moderate/Low</v>
      </c>
      <c r="D16" s="298">
        <f>Register!B22</f>
        <v>2.1399999999999997</v>
      </c>
      <c r="E16" s="299" t="str">
        <f>Register!D22</f>
        <v>↑</v>
      </c>
      <c r="F16" s="11" t="str">
        <f>Register!I22</f>
        <v>Not at all</v>
      </c>
      <c r="G16" s="304">
        <f>Register!H22</f>
        <v>0</v>
      </c>
      <c r="I16" s="208" t="e">
        <f>Register!#REF!</f>
        <v>#REF!</v>
      </c>
    </row>
    <row r="17" spans="1:9" ht="14" x14ac:dyDescent="0.25">
      <c r="A17" s="556" t="str">
        <f>Register!A23</f>
        <v>4. FOOD AND NUTRITION SECURITY</v>
      </c>
      <c r="B17" s="557"/>
      <c r="C17" s="313" t="str">
        <f>Register!C28</f>
        <v>Moderate/Low</v>
      </c>
      <c r="D17" s="298">
        <f>Register!B28</f>
        <v>1.875</v>
      </c>
      <c r="E17" s="299" t="str">
        <f>Register!D28</f>
        <v>↑</v>
      </c>
      <c r="F17" s="11" t="str">
        <f>Register!I28</f>
        <v>Not at all</v>
      </c>
      <c r="G17" s="304">
        <f>Register!H28</f>
        <v>0</v>
      </c>
      <c r="I17" s="208" t="e">
        <f>Register!#REF!</f>
        <v>#REF!</v>
      </c>
    </row>
    <row r="18" spans="1:9" ht="14" x14ac:dyDescent="0.25">
      <c r="A18" s="566" t="str">
        <f>Register!A29</f>
        <v>5.SOCIAL CAPITAL</v>
      </c>
      <c r="B18" s="567"/>
      <c r="C18" s="313" t="str">
        <f>Register!C33</f>
        <v>Moderate/Low</v>
      </c>
      <c r="D18" s="300">
        <f>Register!B33</f>
        <v>2</v>
      </c>
      <c r="E18" s="299" t="str">
        <f>Register!D33</f>
        <v>↑</v>
      </c>
      <c r="F18" s="290" t="str">
        <f>Register!I33</f>
        <v>Not at all</v>
      </c>
      <c r="G18" s="304">
        <f>Register!H33</f>
        <v>0</v>
      </c>
      <c r="I18" s="289"/>
    </row>
    <row r="19" spans="1:9" ht="14.5" thickBot="1" x14ac:dyDescent="0.3">
      <c r="A19" s="558" t="str">
        <f>Register!A34</f>
        <v>6. LIVING CONDITIONS</v>
      </c>
      <c r="B19" s="559"/>
      <c r="C19" s="314" t="str">
        <f>Register!C39</f>
        <v xml:space="preserve">  </v>
      </c>
      <c r="D19" s="301">
        <f>Register!B39</f>
        <v>2.6666666666666665</v>
      </c>
      <c r="E19" s="302" t="str">
        <f>Register!D39</f>
        <v>↑</v>
      </c>
      <c r="F19" s="12" t="str">
        <f>Register!I39</f>
        <v>Not at all</v>
      </c>
      <c r="G19" s="305">
        <f>Register!H39</f>
        <v>0</v>
      </c>
      <c r="I19" s="209" t="e">
        <f>Register!#REF!</f>
        <v>#REF!</v>
      </c>
    </row>
    <row r="20" spans="1:9" s="14" customFormat="1" ht="9" customHeight="1" thickBot="1" x14ac:dyDescent="0.3">
      <c r="A20" s="13"/>
      <c r="E20"/>
      <c r="F20"/>
      <c r="G20" s="3"/>
      <c r="I20" s="210" t="e">
        <f>AVERAGE(I14:I19)</f>
        <v>#REF!</v>
      </c>
    </row>
    <row r="21" spans="1:9" ht="13.5" thickBot="1" x14ac:dyDescent="0.35">
      <c r="A21" s="532" t="s">
        <v>217</v>
      </c>
      <c r="B21" s="533"/>
      <c r="C21" s="533"/>
      <c r="D21" s="533"/>
      <c r="E21" s="533"/>
      <c r="F21" s="533"/>
      <c r="G21" s="534"/>
    </row>
    <row r="22" spans="1:9" ht="107.25" customHeight="1" thickBot="1" x14ac:dyDescent="0.3">
      <c r="A22" s="529"/>
      <c r="B22" s="530"/>
      <c r="C22" s="530"/>
      <c r="D22" s="530"/>
      <c r="E22" s="530"/>
      <c r="F22" s="530"/>
      <c r="G22" s="531"/>
    </row>
    <row r="23" spans="1:9" ht="7.5" customHeight="1" thickBot="1" x14ac:dyDescent="0.3">
      <c r="A23" s="2"/>
      <c r="G23" s="3"/>
    </row>
    <row r="24" spans="1:9" ht="13.5" thickBot="1" x14ac:dyDescent="0.35">
      <c r="A24" s="532" t="s">
        <v>218</v>
      </c>
      <c r="B24" s="533"/>
      <c r="C24" s="533"/>
      <c r="D24" s="540"/>
      <c r="E24" s="540"/>
      <c r="F24" s="540"/>
      <c r="G24" s="541"/>
    </row>
    <row r="25" spans="1:9" ht="125" customHeight="1" thickBot="1" x14ac:dyDescent="0.3">
      <c r="A25" s="529" t="s">
        <v>306</v>
      </c>
      <c r="B25" s="535"/>
      <c r="C25" s="535"/>
      <c r="D25" s="535"/>
      <c r="E25" s="535"/>
      <c r="F25" s="535"/>
      <c r="G25" s="536"/>
    </row>
    <row r="26" spans="1:9" ht="13.5" thickBot="1" x14ac:dyDescent="0.35">
      <c r="A26" s="532" t="s">
        <v>86</v>
      </c>
      <c r="B26" s="533"/>
      <c r="C26" s="533"/>
      <c r="D26" s="533"/>
      <c r="E26" s="533"/>
      <c r="F26" s="533"/>
      <c r="G26" s="534"/>
    </row>
    <row r="27" spans="1:9" ht="83.25" customHeight="1" thickBot="1" x14ac:dyDescent="0.3">
      <c r="A27" s="537" t="s">
        <v>307</v>
      </c>
      <c r="B27" s="538"/>
      <c r="C27" s="538"/>
      <c r="D27" s="538"/>
      <c r="E27" s="538"/>
      <c r="F27" s="538"/>
      <c r="G27" s="539"/>
    </row>
    <row r="28" spans="1:9" ht="13.5" thickBot="1" x14ac:dyDescent="0.35">
      <c r="A28" s="532" t="s">
        <v>219</v>
      </c>
      <c r="B28" s="533"/>
      <c r="C28" s="533"/>
      <c r="D28" s="533"/>
      <c r="E28" s="533"/>
      <c r="F28" s="533"/>
      <c r="G28" s="534"/>
    </row>
    <row r="29" spans="1:9" ht="83.25" customHeight="1" thickBot="1" x14ac:dyDescent="0.3">
      <c r="A29" s="529" t="s">
        <v>308</v>
      </c>
      <c r="B29" s="530"/>
      <c r="C29" s="530"/>
      <c r="D29" s="530"/>
      <c r="E29" s="530"/>
      <c r="F29" s="530"/>
      <c r="G29" s="531"/>
    </row>
  </sheetData>
  <sheetProtection formatRows="0"/>
  <mergeCells count="21">
    <mergeCell ref="F1:G1"/>
    <mergeCell ref="E2:G2"/>
    <mergeCell ref="B3:C3"/>
    <mergeCell ref="E12:E13"/>
    <mergeCell ref="A21:G21"/>
    <mergeCell ref="A14:B14"/>
    <mergeCell ref="A15:B15"/>
    <mergeCell ref="A16:B16"/>
    <mergeCell ref="A17:B17"/>
    <mergeCell ref="A19:B19"/>
    <mergeCell ref="A12:B13"/>
    <mergeCell ref="C12:D12"/>
    <mergeCell ref="A18:B18"/>
    <mergeCell ref="A1:C1"/>
    <mergeCell ref="A29:G29"/>
    <mergeCell ref="A28:G28"/>
    <mergeCell ref="A22:G22"/>
    <mergeCell ref="A25:G25"/>
    <mergeCell ref="A26:G26"/>
    <mergeCell ref="A27:G27"/>
    <mergeCell ref="A24:G24"/>
  </mergeCells>
  <phoneticPr fontId="1" type="noConversion"/>
  <conditionalFormatting sqref="A8:G9">
    <cfRule type="cellIs" dxfId="95" priority="1" operator="equal">
      <formula>"High"</formula>
    </cfRule>
    <cfRule type="cellIs" dxfId="94" priority="2" operator="equal">
      <formula>"Substantial"</formula>
    </cfRule>
    <cfRule type="cellIs" dxfId="93" priority="3" operator="equal">
      <formula>"Moderate"</formula>
    </cfRule>
    <cfRule type="cellIs" dxfId="92" priority="4" operator="equal">
      <formula>"Low"</formula>
    </cfRule>
  </conditionalFormatting>
  <pageMargins left="0.70866141732283472" right="0.70866141732283472" top="0.74803149606299213" bottom="0.74803149606299213" header="0.31496062992125984" footer="0.31496062992125984"/>
  <pageSetup paperSize="9" scale="97" orientation="portrait" r:id="rId1"/>
  <headerFooter alignWithMargins="0"/>
  <colBreaks count="1" manualBreakCount="1">
    <brk id="7" max="1048575" man="1"/>
  </colBreaks>
  <drawing r:id="rId2"/>
  <extLst>
    <ext xmlns:x14="http://schemas.microsoft.com/office/spreadsheetml/2009/9/main" uri="{78C0D931-6437-407d-A8EE-F0AAD7539E65}">
      <x14:conditionalFormattings>
        <x14:conditionalFormatting xmlns:xm="http://schemas.microsoft.com/office/excel/2006/main">
          <x14:cfRule type="cellIs" priority="9" operator="equal" id="{34BB3A6B-5693-4104-B882-7EC3C2744687}">
            <xm:f>Register!$L$6</xm:f>
            <x14:dxf>
              <fill>
                <patternFill>
                  <bgColor rgb="FFFF0000"/>
                </patternFill>
              </fill>
            </x14:dxf>
          </x14:cfRule>
          <x14:cfRule type="cellIs" priority="10" operator="equal" id="{92867827-A734-4EBD-859A-FC93914BAC5D}">
            <xm:f>Register!$L$5</xm:f>
            <x14:dxf>
              <fill>
                <patternFill>
                  <bgColor rgb="FFFFC000"/>
                </patternFill>
              </fill>
            </x14:dxf>
          </x14:cfRule>
          <x14:cfRule type="cellIs" priority="11" operator="equal" id="{F24A8D15-038A-4A74-8DFE-EBD1E2C1A6B6}">
            <xm:f>Register!$L$4</xm:f>
            <x14:dxf>
              <fill>
                <patternFill>
                  <bgColor rgb="FF92D050"/>
                </patternFill>
              </fill>
            </x14:dxf>
          </x14:cfRule>
          <x14:cfRule type="cellIs" priority="12" operator="equal" id="{4E30DD93-1A47-4844-9856-E0E8EBD88FFA}">
            <xm:f>Register!$L$3</xm:f>
            <x14:dxf>
              <fill>
                <patternFill>
                  <bgColor rgb="FF00B050"/>
                </patternFill>
              </fill>
            </x14:dxf>
          </x14:cfRule>
          <xm:sqref>A5:G17 A18 C18:G18 A19:G19</xm:sqref>
        </x14:conditionalFormatting>
      </x14:conditionalFormatting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46"/>
  <sheetViews>
    <sheetView zoomScaleNormal="100" zoomScaleSheetLayoutView="100" workbookViewId="0">
      <pane ySplit="4" topLeftCell="A35" activePane="bottomLeft" state="frozen"/>
      <selection pane="bottomLeft" activeCell="E38" sqref="E38"/>
    </sheetView>
  </sheetViews>
  <sheetFormatPr defaultColWidth="8.81640625" defaultRowHeight="12.5" x14ac:dyDescent="0.25"/>
  <cols>
    <col min="1" max="1" width="36.7265625" customWidth="1"/>
    <col min="2" max="2" width="10.26953125" style="258" customWidth="1"/>
    <col min="3" max="3" width="15.08984375" style="14" customWidth="1"/>
    <col min="4" max="4" width="6.26953125" style="14" customWidth="1"/>
    <col min="5" max="5" width="66.453125" customWidth="1"/>
    <col min="6" max="7" width="39.26953125" customWidth="1"/>
    <col min="8" max="8" width="6" style="258" customWidth="1"/>
    <col min="9" max="9" width="14.08984375" style="14" customWidth="1"/>
    <col min="10" max="10" width="8.81640625" hidden="1" customWidth="1"/>
    <col min="11" max="11" width="9.08984375" hidden="1" customWidth="1"/>
    <col min="12" max="12" width="14.81640625" hidden="1" customWidth="1"/>
    <col min="13" max="13" width="9.08984375" hidden="1" customWidth="1"/>
    <col min="14" max="14" width="9.08984375" customWidth="1"/>
  </cols>
  <sheetData>
    <row r="1" spans="1:15" s="92" customFormat="1" ht="27.75" customHeight="1" thickBot="1" x14ac:dyDescent="0.4">
      <c r="A1" s="594" t="str">
        <f>Profile!F1</f>
        <v>Poultry</v>
      </c>
      <c r="B1" s="595"/>
      <c r="C1" s="349" t="s">
        <v>20</v>
      </c>
      <c r="D1" s="488" t="str">
        <f>Profile!E2</f>
        <v>French polynesia</v>
      </c>
      <c r="E1" s="489"/>
      <c r="F1" s="347" t="s">
        <v>24</v>
      </c>
      <c r="G1" s="348" t="str">
        <f>Profile!B3</f>
        <v xml:space="preserve"> 08 / 07 / 2024</v>
      </c>
      <c r="H1" s="592" t="s">
        <v>77</v>
      </c>
      <c r="I1" s="593"/>
      <c r="M1" s="93"/>
    </row>
    <row r="2" spans="1:15" s="92" customFormat="1" ht="10.5" customHeight="1" x14ac:dyDescent="0.25">
      <c r="A2" s="598" t="s">
        <v>8</v>
      </c>
      <c r="B2" s="607" t="s">
        <v>85</v>
      </c>
      <c r="C2" s="610" t="s">
        <v>84</v>
      </c>
      <c r="D2" s="601" t="s">
        <v>7</v>
      </c>
      <c r="E2" s="604" t="s">
        <v>9</v>
      </c>
      <c r="F2" s="598" t="s">
        <v>16</v>
      </c>
      <c r="G2" s="613"/>
      <c r="H2" s="592" t="s">
        <v>79</v>
      </c>
      <c r="I2" s="593"/>
      <c r="M2" s="93"/>
    </row>
    <row r="3" spans="1:15" s="93" customFormat="1" ht="13.5" customHeight="1" thickBot="1" x14ac:dyDescent="0.3">
      <c r="A3" s="599"/>
      <c r="B3" s="608"/>
      <c r="C3" s="611"/>
      <c r="D3" s="602"/>
      <c r="E3" s="605"/>
      <c r="F3" s="599"/>
      <c r="G3" s="614"/>
      <c r="H3" s="596" t="s">
        <v>78</v>
      </c>
      <c r="I3" s="597"/>
      <c r="L3" s="94" t="str">
        <f>Questionnaire!$N$3</f>
        <v>High</v>
      </c>
      <c r="M3" s="93" t="s">
        <v>18</v>
      </c>
    </row>
    <row r="4" spans="1:15" s="95" customFormat="1" ht="13.5" thickBot="1" x14ac:dyDescent="0.3">
      <c r="A4" s="600"/>
      <c r="B4" s="609"/>
      <c r="C4" s="612"/>
      <c r="D4" s="603"/>
      <c r="E4" s="606"/>
      <c r="F4" s="600"/>
      <c r="G4" s="615"/>
      <c r="H4" s="71" t="s">
        <v>1</v>
      </c>
      <c r="I4" s="72" t="s">
        <v>6</v>
      </c>
      <c r="L4" s="94" t="str">
        <f>Questionnaire!$N$4</f>
        <v>Substantial</v>
      </c>
      <c r="M4" s="93" t="s">
        <v>3</v>
      </c>
    </row>
    <row r="5" spans="1:15" s="93" customFormat="1" ht="15" customHeight="1" thickBot="1" x14ac:dyDescent="0.3">
      <c r="A5" s="42" t="str">
        <f>Questionnaire!$A$3</f>
        <v>1. WORKING CONDITIONS</v>
      </c>
      <c r="B5" s="43"/>
      <c r="C5" s="43"/>
      <c r="D5" s="43"/>
      <c r="E5" s="44"/>
      <c r="F5" s="43"/>
      <c r="G5" s="43"/>
      <c r="H5" s="44"/>
      <c r="I5" s="262"/>
      <c r="L5" s="94" t="str">
        <f>Questionnaire!$N$5</f>
        <v>Moderate/Low</v>
      </c>
      <c r="M5" s="93" t="s">
        <v>19</v>
      </c>
    </row>
    <row r="6" spans="1:15" s="96" customFormat="1" ht="14" x14ac:dyDescent="0.25">
      <c r="A6" s="45" t="str">
        <f>Questionnaire!$A$4</f>
        <v>1.1 Respect of labour rights</v>
      </c>
      <c r="B6" s="315">
        <f>Questionnaire!J10</f>
        <v>2.2000000000000002</v>
      </c>
      <c r="C6" s="316" t="str">
        <f>IF(B6&lt;1.5,$L$6,IF(B6&lt;2.5,$L$5,IF(B6&lt;3.5,$L$4,IF(B6&lt;4.5,$L$3,"n/a"))))</f>
        <v>Moderate/Low</v>
      </c>
      <c r="D6" s="317" t="str">
        <f>IF(H6&lt;B6,"↑",IF(H6&gt;B6,"↓","↔"))</f>
        <v>↑</v>
      </c>
      <c r="E6" s="392" t="s">
        <v>251</v>
      </c>
      <c r="F6" s="585"/>
      <c r="G6" s="586"/>
      <c r="H6" s="387">
        <v>0</v>
      </c>
      <c r="I6" s="261" t="str">
        <f>IF(H6&lt;1.5,$L$6,IF(H6&lt;2.5,$L$5,IF(H6&lt;3.5,$L$4,IF(H6&lt;4.5,$L$3,"n/a"))))</f>
        <v>Not at all</v>
      </c>
      <c r="K6" s="96" t="s">
        <v>10</v>
      </c>
      <c r="L6" s="94" t="str">
        <f>Questionnaire!$N$6</f>
        <v>Not at all</v>
      </c>
      <c r="M6" s="96" t="s">
        <v>4</v>
      </c>
    </row>
    <row r="7" spans="1:15" s="96" customFormat="1" ht="14" x14ac:dyDescent="0.25">
      <c r="A7" s="46" t="str">
        <f>Questionnaire!$A$11</f>
        <v>1.2 Child Labour</v>
      </c>
      <c r="B7" s="318">
        <f>Questionnaire!J14</f>
        <v>3</v>
      </c>
      <c r="C7" s="319" t="str">
        <f>IF(B7&lt;1.5,$L$6,IF(B7&lt;2.5,$L$5,IF(B7&lt;3.5,$L$4,IF(B7&lt;4.5,$L$3,"n/a"))))</f>
        <v>Substantial</v>
      </c>
      <c r="D7" s="320" t="str">
        <f>IF(H7&lt;B7,"↑",IF(H7&gt;B7,"↓","↔"))</f>
        <v>↑</v>
      </c>
      <c r="E7" s="393" t="s">
        <v>252</v>
      </c>
      <c r="F7" s="585"/>
      <c r="G7" s="586"/>
      <c r="H7" s="227">
        <v>0</v>
      </c>
      <c r="I7" s="261" t="str">
        <f>IF(H7&lt;1.5,$L$6,IF(H7&lt;2.5,$L$5,IF(H7&lt;3.5,$L$4,IF(H7&lt;4.5,$L$3,"n/a"))))</f>
        <v>Not at all</v>
      </c>
      <c r="K7" s="96" t="s">
        <v>11</v>
      </c>
      <c r="L7" s="94" t="str">
        <f>Questionnaire!$N$7</f>
        <v>n/a</v>
      </c>
    </row>
    <row r="8" spans="1:15" s="96" customFormat="1" ht="14" x14ac:dyDescent="0.25">
      <c r="A8" s="46" t="str">
        <f>Questionnaire!$A$15</f>
        <v>1.3 Job safety</v>
      </c>
      <c r="B8" s="318">
        <f>Questionnaire!J17</f>
        <v>2</v>
      </c>
      <c r="C8" s="321" t="str">
        <f>IF(B8&lt;1.5,$L$6,IF(B8&lt;2.5,$L$5,IF(B8&lt;3.5,$L$4,IF(B8&lt;4.5,$L$3,"n/a"))))</f>
        <v>Moderate/Low</v>
      </c>
      <c r="D8" s="320" t="str">
        <f>IF(H8&lt;B8,"↑",IF(H8&gt;B8,"↓","↔"))</f>
        <v>↑</v>
      </c>
      <c r="E8" s="393" t="s">
        <v>253</v>
      </c>
      <c r="F8" s="585"/>
      <c r="G8" s="586"/>
      <c r="H8" s="227">
        <v>0</v>
      </c>
      <c r="I8" s="261" t="str">
        <f>IF(H8&lt;1.5,$L$6,IF(H8&lt;2.5,$L$5,IF(H8&lt;3.5,$L$4,IF(H8&lt;4.5,$L$3,"n/a"))))</f>
        <v>Not at all</v>
      </c>
      <c r="K8" s="96" t="s">
        <v>12</v>
      </c>
      <c r="L8" s="94"/>
    </row>
    <row r="9" spans="1:15" s="96" customFormat="1" ht="25.5" thickBot="1" x14ac:dyDescent="0.3">
      <c r="A9" s="47" t="str">
        <f>Questionnaire!$A$18</f>
        <v>1.4 Attractiveness</v>
      </c>
      <c r="B9" s="322">
        <f>Questionnaire!J21</f>
        <v>2</v>
      </c>
      <c r="C9" s="319" t="str">
        <f>IF(B9&lt;1.5,$L$6,IF(B9&lt;2.5,$L$5,IF(B9&lt;3.5,$L$4,IF(B9&lt;4.5,$L$3,"n/a"))))</f>
        <v>Moderate/Low</v>
      </c>
      <c r="D9" s="323" t="str">
        <f>IF(H9&lt;B9,"↑",IF(H9&gt;B9,"↓","↔"))</f>
        <v>↑</v>
      </c>
      <c r="E9" s="394" t="s">
        <v>254</v>
      </c>
      <c r="F9" s="585"/>
      <c r="G9" s="586"/>
      <c r="H9" s="388">
        <v>0</v>
      </c>
      <c r="I9" s="232" t="str">
        <f>IF(H9&lt;1.5,$L$6,IF(H9&lt;2.5,$L$5,IF(H9&lt;3.5,$L$4,IF(H9&lt;4.5,$L$3,"n/a"))))</f>
        <v>Not at all</v>
      </c>
      <c r="L9" s="94"/>
    </row>
    <row r="10" spans="1:15" s="96" customFormat="1" ht="18" customHeight="1" thickTop="1" thickBot="1" x14ac:dyDescent="0.35">
      <c r="A10" s="48" t="s">
        <v>13</v>
      </c>
      <c r="B10" s="324">
        <f>IF(COUNT(B6:B9)=0,"n/a",(AVERAGE(B6:B9)))</f>
        <v>2.2999999999999998</v>
      </c>
      <c r="C10" s="381" t="str">
        <f>IF(B10&lt;1.5,$L$6,IF(B10&lt;2.5,$L$5,IF(B10&lt;3.5,$L$4,IF(B10&lt;4.5,$L$3,"n/a"))))</f>
        <v>Moderate/Low</v>
      </c>
      <c r="D10" s="325" t="str">
        <f>IF(H10&lt;B10,"↑",IF(H10&gt;B10,"↓","↔"))</f>
        <v>↑</v>
      </c>
      <c r="E10" s="389"/>
      <c r="F10" s="591"/>
      <c r="G10" s="591"/>
      <c r="H10" s="390">
        <f>AVERAGE(H6:H9)</f>
        <v>0</v>
      </c>
      <c r="I10" s="260" t="str">
        <f>IF(H10&lt;1.5,$L$6,IF(H10&lt;2.5,$L$5,IF(H10&lt;3.5,$L$4,IF(H10&lt;4.5,$L$3,"n/a"))))</f>
        <v>Not at all</v>
      </c>
      <c r="O10" s="268"/>
    </row>
    <row r="11" spans="1:15" s="96" customFormat="1" ht="15" customHeight="1" thickBot="1" x14ac:dyDescent="0.3">
      <c r="A11" s="49" t="str">
        <f>Questionnaire!$A$22</f>
        <v>2. LAND &amp; WATER RIGHTS</v>
      </c>
      <c r="B11" s="326"/>
      <c r="C11" s="326"/>
      <c r="D11" s="327"/>
      <c r="E11" s="50"/>
      <c r="F11" s="391"/>
      <c r="G11" s="391"/>
      <c r="H11" s="50"/>
      <c r="I11" s="263"/>
    </row>
    <row r="12" spans="1:15" s="96" customFormat="1" ht="28.5" customHeight="1" x14ac:dyDescent="0.25">
      <c r="A12" s="51" t="str">
        <f>Questionnaire!$A$23</f>
        <v xml:space="preserve">2.1 Adherence to VGGT </v>
      </c>
      <c r="B12" s="328" t="str">
        <f>Questionnaire!J26</f>
        <v>n/a</v>
      </c>
      <c r="C12" s="329" t="str">
        <f>IF(B12&lt;1.5,$L$6,IF(B12&lt;2.5,$L$5,IF(B12&lt;3.5,$L$4,IF(B12&lt;4.5,$L$3,"n/a"))))</f>
        <v>n/a</v>
      </c>
      <c r="D12" s="320" t="str">
        <f>IF(H12&lt;B12,"↑",IF(H12&gt;B12,"↓","↔"))</f>
        <v>↑</v>
      </c>
      <c r="E12" s="395" t="s">
        <v>255</v>
      </c>
      <c r="F12" s="585"/>
      <c r="G12" s="586"/>
      <c r="H12" s="387">
        <v>0</v>
      </c>
      <c r="I12" s="261" t="str">
        <f>IF(H12&lt;1.5,$L$6,IF(H12&lt;2.5,$L$5,IF(H12&lt;3.5,$L$4,IF(H12&lt;4.5,$L$3,"n/a"))))</f>
        <v>Not at all</v>
      </c>
    </row>
    <row r="13" spans="1:15" s="96" customFormat="1" ht="16.5" customHeight="1" x14ac:dyDescent="0.25">
      <c r="A13" s="52" t="str">
        <f>Questionnaire!$A$27</f>
        <v>2.2 Transparency, participation and consultation</v>
      </c>
      <c r="B13" s="330">
        <f>Questionnaire!J32</f>
        <v>2</v>
      </c>
      <c r="C13" s="321" t="str">
        <f>IF(B13&lt;1.5,$L$6,IF(B13&lt;2.5,$L$5,IF(B13&lt;3.5,$L$4,IF(B13&lt;4.5,$L$3,"n/a"))))</f>
        <v>Moderate/Low</v>
      </c>
      <c r="D13" s="320" t="str">
        <f>IF(H13&lt;B13,"↑",IF(H13&gt;B13,"↓","↔"))</f>
        <v>↑</v>
      </c>
      <c r="E13" s="396" t="s">
        <v>256</v>
      </c>
      <c r="F13" s="585"/>
      <c r="G13" s="586"/>
      <c r="H13" s="227">
        <v>0</v>
      </c>
      <c r="I13" s="261" t="str">
        <f>IF(H13&lt;1.5,$L$6,IF(H13&lt;2.5,$L$5,IF(H13&lt;3.5,$L$4,IF(H13&lt;4.5,$L$3,"n/a"))))</f>
        <v>Not at all</v>
      </c>
    </row>
    <row r="14" spans="1:15" s="96" customFormat="1" ht="28.5" customHeight="1" thickBot="1" x14ac:dyDescent="0.3">
      <c r="A14" s="53" t="str">
        <f>Questionnaire!$A$33</f>
        <v>2.3  Equity,compensation and justice</v>
      </c>
      <c r="B14" s="331">
        <f>Questionnaire!J38</f>
        <v>2</v>
      </c>
      <c r="C14" s="319" t="str">
        <f>IF(B14&lt;1.5,$L$6,IF(B14&lt;2.5,$L$5,IF(B14&lt;3.5,$L$4,IF(B14&lt;4.5,$L$3,"n/a"))))</f>
        <v>Moderate/Low</v>
      </c>
      <c r="D14" s="323" t="str">
        <f>IF(H14&lt;B14,"↑",IF(H14&gt;B14,"↓","↔"))</f>
        <v>↑</v>
      </c>
      <c r="E14" s="397" t="s">
        <v>257</v>
      </c>
      <c r="F14" s="585"/>
      <c r="G14" s="586"/>
      <c r="H14" s="388">
        <v>0</v>
      </c>
      <c r="I14" s="232" t="str">
        <f>IF(H14&lt;1.5,$L$6,IF(H14&lt;2.5,$L$5,IF(H14&lt;3.5,$L$4,IF(H14&lt;4.5,$L$3,"n/a"))))</f>
        <v>Not at all</v>
      </c>
    </row>
    <row r="15" spans="1:15" s="93" customFormat="1" ht="13.5" thickTop="1" thickBot="1" x14ac:dyDescent="0.3">
      <c r="A15" s="54" t="s">
        <v>13</v>
      </c>
      <c r="B15" s="332">
        <f>IF(COUNT(B12:B14)=0,"n/a",(AVERAGE(B12:B14)))</f>
        <v>2</v>
      </c>
      <c r="C15" s="333" t="str">
        <f>IF(B15&lt;1.5,$L$6,IF(B15&lt;2.5,$L$5,IF(B15&lt;3.5,$L$4,IF(B15&lt;4.5,$L$3,"n/a"))))</f>
        <v>Moderate/Low</v>
      </c>
      <c r="D15" s="325" t="str">
        <f>IF(H15&lt;B15,"↑",IF(H15&gt;B15,"↓","↔"))</f>
        <v>↑</v>
      </c>
      <c r="E15" s="97"/>
      <c r="F15" s="589"/>
      <c r="G15" s="590"/>
      <c r="H15" s="1">
        <f>AVERAGE(H12:H14)</f>
        <v>0</v>
      </c>
      <c r="I15" s="260" t="str">
        <f>IF(H15&lt;1.5,$L$6,IF(H15&lt;2.5,$L$5,IF(H15&lt;3.5,$L$4,IF(H15&lt;4.5,$L$3,"n/a"))))</f>
        <v>Not at all</v>
      </c>
    </row>
    <row r="16" spans="1:15" s="96" customFormat="1" ht="15" customHeight="1" thickBot="1" x14ac:dyDescent="0.3">
      <c r="A16" s="55" t="str">
        <f>Questionnaire!$A$39</f>
        <v>3. GENDER EQUALITY</v>
      </c>
      <c r="B16" s="326"/>
      <c r="C16" s="326"/>
      <c r="D16" s="326"/>
      <c r="E16" s="56"/>
      <c r="F16" s="56"/>
      <c r="G16" s="56"/>
      <c r="H16" s="56"/>
      <c r="I16" s="264"/>
    </row>
    <row r="17" spans="1:9" s="96" customFormat="1" ht="25" x14ac:dyDescent="0.25">
      <c r="A17" s="57" t="str">
        <f>Questionnaire!$A$40</f>
        <v>3.1 Economic activities</v>
      </c>
      <c r="B17" s="328">
        <f>Questionnaire!J43</f>
        <v>2.5</v>
      </c>
      <c r="C17" s="329" t="str">
        <f t="shared" ref="C17:C22" si="0">IF(B17&lt;1.5,$L$6,IF(B17&lt;2.5,$L$5,IF(B17&lt;3.5,$L$4,IF(B17&lt;4.5,$L$3,"n/a"))))</f>
        <v>Substantial</v>
      </c>
      <c r="D17" s="320" t="str">
        <f>IF(H17&lt;B17,"↑",IF(H17&gt;B17,"↓","↔"))</f>
        <v>↑</v>
      </c>
      <c r="E17" s="395" t="s">
        <v>258</v>
      </c>
      <c r="F17" s="585"/>
      <c r="G17" s="586"/>
      <c r="H17" s="387">
        <v>0</v>
      </c>
      <c r="I17" s="261" t="str">
        <f t="shared" ref="I17:I22" si="1">IF(H17&lt;1.5,$L$6,IF(H17&lt;2.5,$L$5,IF(H17&lt;3.5,$L$4,IF(H17&lt;4.5,$L$3,"n/a"))))</f>
        <v>Not at all</v>
      </c>
    </row>
    <row r="18" spans="1:9" s="96" customFormat="1" ht="25" x14ac:dyDescent="0.25">
      <c r="A18" s="57" t="str">
        <f>Questionnaire!$A$44</f>
        <v>3.2 Access to resources and services</v>
      </c>
      <c r="B18" s="330">
        <f>Questionnaire!J49</f>
        <v>2</v>
      </c>
      <c r="C18" s="334" t="str">
        <f t="shared" si="0"/>
        <v>Moderate/Low</v>
      </c>
      <c r="D18" s="320" t="str">
        <f t="shared" ref="D18:D20" si="2">IF(H18&lt;B18,"↑",IF(H18&gt;B18,"↓","↔"))</f>
        <v>↑</v>
      </c>
      <c r="E18" s="396" t="s">
        <v>259</v>
      </c>
      <c r="F18" s="585"/>
      <c r="G18" s="586"/>
      <c r="H18" s="227">
        <v>0</v>
      </c>
      <c r="I18" s="261" t="str">
        <f t="shared" si="1"/>
        <v>Not at all</v>
      </c>
    </row>
    <row r="19" spans="1:9" s="96" customFormat="1" ht="14" x14ac:dyDescent="0.25">
      <c r="A19" s="57" t="str">
        <f>Questionnaire!$A$50</f>
        <v>3.3 Decision making</v>
      </c>
      <c r="B19" s="330">
        <f>Questionnaire!J56</f>
        <v>2.2000000000000002</v>
      </c>
      <c r="C19" s="321" t="str">
        <f t="shared" si="0"/>
        <v>Moderate/Low</v>
      </c>
      <c r="D19" s="335" t="str">
        <f t="shared" si="2"/>
        <v>↑</v>
      </c>
      <c r="E19" s="398" t="s">
        <v>260</v>
      </c>
      <c r="F19" s="585"/>
      <c r="G19" s="586"/>
      <c r="H19" s="227">
        <v>0</v>
      </c>
      <c r="I19" s="261" t="str">
        <f t="shared" si="1"/>
        <v>Not at all</v>
      </c>
    </row>
    <row r="20" spans="1:9" s="96" customFormat="1" ht="14" x14ac:dyDescent="0.25">
      <c r="A20" s="57" t="str">
        <f>Questionnaire!$A$57</f>
        <v>3.4 Leadership and empowerment</v>
      </c>
      <c r="B20" s="330">
        <f>Questionnaire!J62</f>
        <v>2</v>
      </c>
      <c r="C20" s="319" t="str">
        <f t="shared" si="0"/>
        <v>Moderate/Low</v>
      </c>
      <c r="D20" s="320" t="str">
        <f t="shared" si="2"/>
        <v>↑</v>
      </c>
      <c r="E20" s="398" t="s">
        <v>260</v>
      </c>
      <c r="F20" s="585"/>
      <c r="G20" s="586"/>
      <c r="H20" s="227">
        <v>0</v>
      </c>
      <c r="I20" s="261" t="str">
        <f t="shared" si="1"/>
        <v>Not at all</v>
      </c>
    </row>
    <row r="21" spans="1:9" s="96" customFormat="1" ht="25.5" thickBot="1" x14ac:dyDescent="0.3">
      <c r="A21" s="58" t="str">
        <f>Questionnaire!$A$63</f>
        <v>3.5 Hardship and division of labour</v>
      </c>
      <c r="B21" s="331">
        <f>Questionnaire!J66</f>
        <v>2</v>
      </c>
      <c r="C21" s="336" t="str">
        <f t="shared" si="0"/>
        <v>Moderate/Low</v>
      </c>
      <c r="D21" s="323" t="str">
        <f>IF(H21&lt;B21,"↑",IF(H21&gt;B21,"↓","↔"))</f>
        <v>↑</v>
      </c>
      <c r="E21" s="397" t="s">
        <v>261</v>
      </c>
      <c r="F21" s="585"/>
      <c r="G21" s="586"/>
      <c r="H21" s="388">
        <v>0</v>
      </c>
      <c r="I21" s="232" t="str">
        <f t="shared" si="1"/>
        <v>Not at all</v>
      </c>
    </row>
    <row r="22" spans="1:9" s="93" customFormat="1" ht="13.5" thickTop="1" thickBot="1" x14ac:dyDescent="0.3">
      <c r="A22" s="70" t="s">
        <v>13</v>
      </c>
      <c r="B22" s="332">
        <f>IF(COUNT(B17:B21)=0,"n/a",(AVERAGE(B17:B21)))</f>
        <v>2.1399999999999997</v>
      </c>
      <c r="C22" s="337" t="str">
        <f t="shared" si="0"/>
        <v>Moderate/Low</v>
      </c>
      <c r="D22" s="325" t="str">
        <f>IF(H22&lt;B22,"↑",IF(H22&gt;B22,"↓","↔"))</f>
        <v>↑</v>
      </c>
      <c r="E22" s="97"/>
      <c r="F22" s="587"/>
      <c r="G22" s="588"/>
      <c r="H22" s="1">
        <f>AVERAGE(H17:H21)</f>
        <v>0</v>
      </c>
      <c r="I22" s="260" t="str">
        <f t="shared" si="1"/>
        <v>Not at all</v>
      </c>
    </row>
    <row r="23" spans="1:9" s="96" customFormat="1" ht="15" customHeight="1" thickBot="1" x14ac:dyDescent="0.3">
      <c r="A23" s="41" t="str">
        <f>Questionnaire!$A$67</f>
        <v>4. FOOD AND NUTRITION SECURITY</v>
      </c>
      <c r="B23" s="326"/>
      <c r="C23" s="326"/>
      <c r="D23" s="326"/>
      <c r="E23" s="59"/>
      <c r="F23" s="59"/>
      <c r="G23" s="59"/>
      <c r="H23" s="59"/>
      <c r="I23" s="265"/>
    </row>
    <row r="24" spans="1:9" s="96" customFormat="1" ht="41.5" customHeight="1" x14ac:dyDescent="0.25">
      <c r="A24" s="60" t="str">
        <f>Questionnaire!$A$68</f>
        <v xml:space="preserve">4.1 Availability of food </v>
      </c>
      <c r="B24" s="328">
        <f>Questionnaire!J71</f>
        <v>2.5</v>
      </c>
      <c r="C24" s="329" t="str">
        <f>IF(B24&lt;1.5,$L$6,IF(B24&lt;2.5,$L$5,IF(B24&lt;3.5,$L$4,IF(B24&lt;4.5,$L$3,"n/a"))))</f>
        <v>Substantial</v>
      </c>
      <c r="D24" s="317" t="str">
        <f>IF(H24&lt;B24,"↑",IF(H24&gt;B24,"↓","↔"))</f>
        <v>↑</v>
      </c>
      <c r="E24" s="399" t="s">
        <v>262</v>
      </c>
      <c r="F24" s="571"/>
      <c r="G24" s="572"/>
      <c r="H24" s="223">
        <v>0</v>
      </c>
      <c r="I24" s="261" t="str">
        <f>IF(H24&lt;1.5,$L$6,IF(H24&lt;2.5,$L$5,IF(H24&lt;3.5,$L$4,IF(H24&lt;4.5,$L$3,"n/a"))))</f>
        <v>Not at all</v>
      </c>
    </row>
    <row r="25" spans="1:9" s="96" customFormat="1" ht="26" customHeight="1" x14ac:dyDescent="0.25">
      <c r="A25" s="61" t="str">
        <f>Questionnaire!$A$72</f>
        <v xml:space="preserve">4.2 Accessibility of food </v>
      </c>
      <c r="B25" s="330">
        <f>Questionnaire!J75</f>
        <v>1.5</v>
      </c>
      <c r="C25" s="321" t="str">
        <f>IF(B25&lt;1.5,$L$6,IF(B25&lt;2.5,$L$5,IF(B25&lt;3.5,$L$4,IF(B25&lt;4.5,$L$3,"n/a"))))</f>
        <v>Moderate/Low</v>
      </c>
      <c r="D25" s="320" t="str">
        <f>IF(H25&lt;B25,"↑",IF(H25&gt;B25,"↓","↔"))</f>
        <v>↑</v>
      </c>
      <c r="E25" s="400" t="s">
        <v>263</v>
      </c>
      <c r="F25" s="573"/>
      <c r="G25" s="574"/>
      <c r="H25" s="224">
        <v>0</v>
      </c>
      <c r="I25" s="261" t="str">
        <f>IF(H25&lt;1.5,$L$6,IF(H25&lt;2.5,$L$5,IF(H25&lt;3.5,$L$4,IF(H25&lt;4.5,$L$3,"n/a"))))</f>
        <v>Not at all</v>
      </c>
    </row>
    <row r="26" spans="1:9" s="96" customFormat="1" ht="26" customHeight="1" x14ac:dyDescent="0.25">
      <c r="A26" s="62" t="str">
        <f>Questionnaire!$A$76</f>
        <v xml:space="preserve">4.3 Utilisation and nutritional adequacy </v>
      </c>
      <c r="B26" s="330">
        <f>Questionnaire!J80</f>
        <v>2</v>
      </c>
      <c r="C26" s="321" t="str">
        <f>IF(B26&lt;1.5,$L$6,IF(B26&lt;2.5,$L$5,IF(B26&lt;3.5,$L$4,IF(B26&lt;4.5,$L$3,"n/a"))))</f>
        <v>Moderate/Low</v>
      </c>
      <c r="D26" s="320" t="str">
        <f>IF(H26&lt;B26,"↑",IF(H26&gt;B26,"↓","↔"))</f>
        <v>↑</v>
      </c>
      <c r="E26" s="400" t="s">
        <v>264</v>
      </c>
      <c r="F26" s="573"/>
      <c r="G26" s="574"/>
      <c r="H26" s="224">
        <v>0</v>
      </c>
      <c r="I26" s="261" t="str">
        <f>IF(H26&lt;1.5,$L$6,IF(H26&lt;2.5,$L$5,IF(H26&lt;3.5,$L$4,IF(H26&lt;4.5,$L$3,"n/a"))))</f>
        <v>Not at all</v>
      </c>
    </row>
    <row r="27" spans="1:9" s="96" customFormat="1" ht="25.5" thickBot="1" x14ac:dyDescent="0.3">
      <c r="A27" s="63" t="str">
        <f>Questionnaire!$A$81</f>
        <v xml:space="preserve">4.4 Stability </v>
      </c>
      <c r="B27" s="331">
        <f>Questionnaire!J84</f>
        <v>1.5</v>
      </c>
      <c r="C27" s="319" t="str">
        <f>IF(B27&lt;1.5,$L$6,IF(B27&lt;2.5,$L$5,IF(B27&lt;3.5,$L$4,IF(B27&lt;4.5,$L$3,"n/a"))))</f>
        <v>Moderate/Low</v>
      </c>
      <c r="D27" s="323" t="str">
        <f>IF(H27&lt;B27,"↑",IF(H27&gt;B27,"↓","↔"))</f>
        <v>↑</v>
      </c>
      <c r="E27" s="401" t="s">
        <v>270</v>
      </c>
      <c r="F27" s="575"/>
      <c r="G27" s="576"/>
      <c r="H27" s="225">
        <v>0</v>
      </c>
      <c r="I27" s="232" t="str">
        <f>IF(H27&lt;1.5,$L$6,IF(H27&lt;2.5,$L$5,IF(H27&lt;3.5,$L$4,IF(H27&lt;4.5,$L$3,"n/a"))))</f>
        <v>Not at all</v>
      </c>
    </row>
    <row r="28" spans="1:9" s="93" customFormat="1" ht="13.5" thickTop="1" thickBot="1" x14ac:dyDescent="0.3">
      <c r="A28" s="64" t="s">
        <v>13</v>
      </c>
      <c r="B28" s="332">
        <f>IF(COUNT(B24:B27)=0,"n/a",(AVERAGE(B24:B27)))</f>
        <v>1.875</v>
      </c>
      <c r="C28" s="333" t="str">
        <f>IF(B28&lt;1.5,$L$6,IF(B28&lt;2.5,$L$5,IF(B28&lt;3.5,$L$4,IF(B28&lt;4.5,$L$3,"n/a"))))</f>
        <v>Moderate/Low</v>
      </c>
      <c r="D28" s="325" t="str">
        <f>IF(H28&lt;B28,"↑",IF(H28&gt;B28,"↓","↔"))</f>
        <v>↑</v>
      </c>
      <c r="E28" s="97"/>
      <c r="F28" s="577"/>
      <c r="G28" s="578"/>
      <c r="H28" s="1">
        <f>AVERAGE(H24:H27)</f>
        <v>0</v>
      </c>
      <c r="I28" s="260" t="str">
        <f>IF(H28&lt;1.5,$L$6,IF(H28&lt;2.5,$L$5,IF(H28&lt;3.5,$L$4,IF(H28&lt;4.5,$L$3,"n/a"))))</f>
        <v>Not at all</v>
      </c>
    </row>
    <row r="29" spans="1:9" s="93" customFormat="1" ht="13.5" thickBot="1" x14ac:dyDescent="0.3">
      <c r="A29" s="288" t="s">
        <v>224</v>
      </c>
      <c r="B29" s="338"/>
      <c r="C29" s="339"/>
      <c r="D29" s="339"/>
      <c r="E29" s="281"/>
      <c r="F29" s="281"/>
      <c r="G29" s="281"/>
      <c r="H29" s="282"/>
      <c r="I29" s="283"/>
    </row>
    <row r="30" spans="1:9" s="93" customFormat="1" x14ac:dyDescent="0.25">
      <c r="A30" s="285" t="str">
        <f>Questionnaire!$A$86</f>
        <v>5.1 Strength of producer organisations</v>
      </c>
      <c r="B30" s="340">
        <f>Questionnaire!J91</f>
        <v>2</v>
      </c>
      <c r="C30" s="316" t="str">
        <f>IF(B30&lt;1.5,$L$6,IF(B30&lt;2.5,$L$5,IF(B30&lt;3.5,$L$4,IF(B30&lt;4.5,$L$3,"n/a"))))</f>
        <v>Moderate/Low</v>
      </c>
      <c r="D30" s="317" t="str">
        <f t="shared" ref="D30:D32" si="3">IF(H30&lt;B30,"↑",IF(H30&gt;B30,"↓","↔"))</f>
        <v>↑</v>
      </c>
      <c r="E30" s="383" t="s">
        <v>265</v>
      </c>
      <c r="F30" s="579"/>
      <c r="G30" s="580"/>
      <c r="H30" s="223">
        <v>0</v>
      </c>
      <c r="I30" s="261" t="str">
        <f>IF(H30&lt;1.5,$L$6,IF(H30&lt;2.5,$L$5,IF(H30&lt;3.5,$L$4,IF(H30&lt;4.5,$L$3,"n/a"))))</f>
        <v>Not at all</v>
      </c>
    </row>
    <row r="31" spans="1:9" s="93" customFormat="1" x14ac:dyDescent="0.25">
      <c r="A31" s="286" t="str">
        <f>Questionnaire!$A$92</f>
        <v>5.2 Information and confidence</v>
      </c>
      <c r="B31" s="341">
        <f>Questionnaire!J95</f>
        <v>2</v>
      </c>
      <c r="C31" s="321" t="str">
        <f>IF(B31&lt;1.5,$L$6,IF(B31&lt;2.5,$L$5,IF(B31&lt;3.5,$L$4,IF(B31&lt;4.5,$L$3,"n/a"))))</f>
        <v>Moderate/Low</v>
      </c>
      <c r="D31" s="334" t="str">
        <f t="shared" si="3"/>
        <v>↑</v>
      </c>
      <c r="E31" s="384" t="s">
        <v>266</v>
      </c>
      <c r="F31" s="581"/>
      <c r="G31" s="582"/>
      <c r="H31" s="223">
        <v>0</v>
      </c>
      <c r="I31" s="261" t="str">
        <f>IF(H31&lt;1.5,$L$6,IF(H31&lt;2.5,$L$5,IF(H31&lt;3.5,$L$4,IF(H31&lt;4.5,$L$3,"n/a"))))</f>
        <v>Not at all</v>
      </c>
    </row>
    <row r="32" spans="1:9" s="93" customFormat="1" ht="13" thickBot="1" x14ac:dyDescent="0.3">
      <c r="A32" s="287" t="str">
        <f>Questionnaire!$A$96</f>
        <v>5.3 Social involvement</v>
      </c>
      <c r="B32" s="342">
        <f>Questionnaire!J100</f>
        <v>2</v>
      </c>
      <c r="C32" s="319" t="str">
        <f>IF(B32&lt;1.5,$L$6,IF(B32&lt;2.5,$L$5,IF(B32&lt;3.5,$L$4,IF(B32&lt;4.5,$L$3,"n/a"))))</f>
        <v>Moderate/Low</v>
      </c>
      <c r="D32" s="336" t="str">
        <f t="shared" si="3"/>
        <v>↑</v>
      </c>
      <c r="E32" s="385" t="s">
        <v>267</v>
      </c>
      <c r="F32" s="583"/>
      <c r="G32" s="584"/>
      <c r="H32" s="225">
        <v>0</v>
      </c>
      <c r="I32" s="228" t="str">
        <f>IF(H32&lt;1.5,$L$6,IF(H32&lt;2.5,$L$5,IF(H32&lt;3.5,$L$4,IF(H32&lt;4.5,$L$3,"n/a"))))</f>
        <v>Not at all</v>
      </c>
    </row>
    <row r="33" spans="1:9" s="93" customFormat="1" ht="13.5" thickTop="1" thickBot="1" x14ac:dyDescent="0.3">
      <c r="A33" s="284" t="s">
        <v>13</v>
      </c>
      <c r="B33" s="332">
        <f>IF(COUNT(B30:B32)=0,"n/a",(AVERAGE(B30:B32)))</f>
        <v>2</v>
      </c>
      <c r="C33" s="333" t="str">
        <f>IF(B33&lt;1.5,$L$6,IF(B33&lt;2.5,$L$5,IF(B33&lt;3.5,$L$4,IF(B33&lt;4.5,$L$3,"n/a"))))</f>
        <v>Moderate/Low</v>
      </c>
      <c r="D33" s="325" t="str">
        <f>IF(H33&lt;B33,"↑",IF(H33&gt;B33,"↓","↔"))</f>
        <v>↑</v>
      </c>
      <c r="E33" s="97"/>
      <c r="F33" s="577"/>
      <c r="G33" s="578"/>
      <c r="H33" s="1">
        <f>AVERAGE(H30:H32)</f>
        <v>0</v>
      </c>
      <c r="I33" s="269" t="str">
        <f>IF(H33&lt;1.5,$L$6,IF(H33&lt;2.5,$L$5,IF(H33&lt;3.5,$L$4,IF(H33&lt;4.5,$L$3,"n/a"))))</f>
        <v>Not at all</v>
      </c>
    </row>
    <row r="34" spans="1:9" s="96" customFormat="1" ht="15" customHeight="1" thickBot="1" x14ac:dyDescent="0.3">
      <c r="A34" s="65" t="str">
        <f>Questionnaire!$A$101</f>
        <v>6. LIVING CONDITIONS</v>
      </c>
      <c r="B34" s="343"/>
      <c r="C34" s="344"/>
      <c r="D34" s="344"/>
      <c r="E34" s="67"/>
      <c r="F34" s="67"/>
      <c r="G34" s="67"/>
      <c r="H34" s="66"/>
      <c r="I34" s="266"/>
    </row>
    <row r="35" spans="1:9" s="96" customFormat="1" ht="15" customHeight="1" thickBot="1" x14ac:dyDescent="0.3">
      <c r="A35" s="229" t="str">
        <f>Questionnaire!$A$102</f>
        <v>6.1 Health services</v>
      </c>
      <c r="B35" s="345">
        <f>Questionnaire!J106</f>
        <v>3</v>
      </c>
      <c r="C35" s="329" t="str">
        <f>IF(B35&lt;1.5,$L$6,IF(B35&lt;2.5,$L$5,IF(B35&lt;3.5,$L$4,IF(B35&lt;4.5,$L$3,"n/a"))))</f>
        <v>Substantial</v>
      </c>
      <c r="D35" s="346" t="str">
        <f>IF(H35&lt;B35,"↑",IF(H35&gt;B35,"↓","↔"))</f>
        <v>↑</v>
      </c>
      <c r="E35" s="399" t="s">
        <v>268</v>
      </c>
      <c r="F35" s="571"/>
      <c r="G35" s="572"/>
      <c r="H35" s="226">
        <v>0</v>
      </c>
      <c r="I35" s="261" t="str">
        <f>IF(H35&lt;1.5,$L$6,IF(H35&lt;2.5,$L$5,IF(H35&lt;3.5,$L$4,IF(H35&lt;4.5,$L$3,"n/a"))))</f>
        <v>Not at all</v>
      </c>
    </row>
    <row r="36" spans="1:9" s="96" customFormat="1" ht="25" customHeight="1" thickTop="1" thickBot="1" x14ac:dyDescent="0.3">
      <c r="A36" s="68" t="str">
        <f>Questionnaire!$A$107</f>
        <v>6.2 Housing</v>
      </c>
      <c r="B36" s="330">
        <f>Questionnaire!J110</f>
        <v>2</v>
      </c>
      <c r="C36" s="321" t="str">
        <f>IF(B36&lt;1.5,$L$6,IF(B36&lt;2.5,$L$5,IF(B36&lt;3.5,$L$4,IF(B36&lt;4.5,$L$3,"n/a"))))</f>
        <v>Moderate/Low</v>
      </c>
      <c r="D36" s="321" t="str">
        <f>IF(H36&lt;B36,"↑",IF(H36&gt;B36,"↓","↔"))</f>
        <v>↑</v>
      </c>
      <c r="E36" s="400" t="s">
        <v>269</v>
      </c>
      <c r="F36" s="573"/>
      <c r="G36" s="574"/>
      <c r="H36" s="226">
        <v>0</v>
      </c>
      <c r="I36" s="261" t="str">
        <f>IF(H36&lt;1.5,$L$6,IF(H36&lt;2.5,$L$5,IF(H36&lt;3.5,$L$4,IF(H36&lt;4.5,$L$3,"n/a"))))</f>
        <v>Not at all</v>
      </c>
    </row>
    <row r="37" spans="1:9" s="96" customFormat="1" ht="15" customHeight="1" thickTop="1" thickBot="1" x14ac:dyDescent="0.3">
      <c r="A37" s="230" t="str">
        <f>Questionnaire!$A$111</f>
        <v>6.3 Education and training</v>
      </c>
      <c r="B37" s="345">
        <f>Questionnaire!J115</f>
        <v>3</v>
      </c>
      <c r="C37" s="321" t="str">
        <f>IF(B37&lt;1.5,$L$6,IF(B37&lt;2.5,$L$5,IF(B37&lt;3.5,$L$4,IF(B37&lt;4.5,$L$3,"n/a"))))</f>
        <v>Substantial</v>
      </c>
      <c r="D37" s="346" t="str">
        <f>IF(H37&lt;B37,"↑",IF(H37&gt;B37,"↓","↔"))</f>
        <v>↑</v>
      </c>
      <c r="E37" s="96" t="s">
        <v>271</v>
      </c>
      <c r="F37" s="573"/>
      <c r="G37" s="574"/>
      <c r="H37" s="226">
        <v>0</v>
      </c>
      <c r="I37" s="261" t="str">
        <f>IF(H37&lt;1.5,$L$6,IF(H37&lt;2.5,$L$5,IF(H37&lt;3.5,$L$4,IF(H37&lt;4.5,$L$3,"n/a"))))</f>
        <v>Not at all</v>
      </c>
    </row>
    <row r="38" spans="1:9" s="96" customFormat="1" ht="15" customHeight="1" thickTop="1" thickBot="1" x14ac:dyDescent="0.3">
      <c r="A38" s="231" t="str">
        <f>Questionnaire!$A$116</f>
        <v>6.4 Mobility ??????</v>
      </c>
      <c r="B38" s="331" t="str">
        <f>Questionnaire!J120</f>
        <v>n/a</v>
      </c>
      <c r="C38" s="319" t="str">
        <f>IF(B38&lt;1.5,$L$6,IF(B38&lt;2.5,$L$5,IF(B38&lt;3.5,$L$4,IF(B38&lt;4.5,$L$3,"n/a"))))</f>
        <v>n/a</v>
      </c>
      <c r="D38" s="336" t="str">
        <f>IF(H38&lt;B38,"↑",IF(H38&gt;B38,"↓","↔"))</f>
        <v>↑</v>
      </c>
      <c r="E38" s="400"/>
      <c r="F38" s="575"/>
      <c r="G38" s="576"/>
      <c r="H38" s="226">
        <v>0</v>
      </c>
      <c r="I38" s="232" t="str">
        <f>IF(H38&lt;1.5,$L$6,IF(H38&lt;2.5,$L$5,IF(H38&lt;3.5,$L$4,IF(H38&lt;4.5,$L$3,"n/a"))))</f>
        <v>Not at all</v>
      </c>
    </row>
    <row r="39" spans="1:9" s="93" customFormat="1" ht="13.5" thickTop="1" thickBot="1" x14ac:dyDescent="0.3">
      <c r="A39" s="69" t="s">
        <v>13</v>
      </c>
      <c r="B39" s="324">
        <f>IF(COUNT(B35:B38)=0,"n/a",(AVERAGE(B35:B38)))</f>
        <v>2.6666666666666665</v>
      </c>
      <c r="C39" s="333" t="s">
        <v>223</v>
      </c>
      <c r="D39" s="325" t="str">
        <f>IF(H39&lt;B39,"↑",IF(H39&gt;B39,"↓","↔"))</f>
        <v>↑</v>
      </c>
      <c r="E39" s="97"/>
      <c r="F39" s="577"/>
      <c r="G39" s="578"/>
      <c r="H39" s="1">
        <f>AVERAGE(H35:H38)</f>
        <v>0</v>
      </c>
      <c r="I39" s="267" t="str">
        <f>IF(H39&lt;1.5,$L$6,IF(H39&lt;2.5,$L$5,IF(H39&lt;3.5,$L$4,IF(H39&lt;4.5,$L$3,"n/a"))))</f>
        <v>Not at all</v>
      </c>
    </row>
    <row r="40" spans="1:9" x14ac:dyDescent="0.25">
      <c r="B40" s="257"/>
      <c r="C40" s="259"/>
      <c r="I40" s="259"/>
    </row>
    <row r="41" spans="1:9" x14ac:dyDescent="0.25">
      <c r="C41" s="98"/>
    </row>
    <row r="44" spans="1:9" x14ac:dyDescent="0.25">
      <c r="D44"/>
      <c r="I44"/>
    </row>
    <row r="45" spans="1:9" x14ac:dyDescent="0.25">
      <c r="F45" s="99"/>
    </row>
    <row r="46" spans="1:9" x14ac:dyDescent="0.25">
      <c r="B46" s="256"/>
    </row>
  </sheetData>
  <sheetProtection formatRows="0"/>
  <mergeCells count="40">
    <mergeCell ref="D1:E1"/>
    <mergeCell ref="H1:I1"/>
    <mergeCell ref="A1:B1"/>
    <mergeCell ref="H3:I3"/>
    <mergeCell ref="A2:A4"/>
    <mergeCell ref="D2:D4"/>
    <mergeCell ref="H2:I2"/>
    <mergeCell ref="E2:E4"/>
    <mergeCell ref="B2:B4"/>
    <mergeCell ref="C2:C4"/>
    <mergeCell ref="F2:G4"/>
    <mergeCell ref="F6:G6"/>
    <mergeCell ref="F7:G7"/>
    <mergeCell ref="F8:G8"/>
    <mergeCell ref="F9:G9"/>
    <mergeCell ref="F10:G10"/>
    <mergeCell ref="F12:G12"/>
    <mergeCell ref="F13:G13"/>
    <mergeCell ref="F14:G14"/>
    <mergeCell ref="F15:G15"/>
    <mergeCell ref="F17:G17"/>
    <mergeCell ref="F24:G24"/>
    <mergeCell ref="F25:G25"/>
    <mergeCell ref="F26:G26"/>
    <mergeCell ref="F27:G27"/>
    <mergeCell ref="F18:G18"/>
    <mergeCell ref="F19:G19"/>
    <mergeCell ref="F20:G20"/>
    <mergeCell ref="F21:G21"/>
    <mergeCell ref="F22:G22"/>
    <mergeCell ref="F28:G28"/>
    <mergeCell ref="F30:G30"/>
    <mergeCell ref="F31:G31"/>
    <mergeCell ref="F32:G32"/>
    <mergeCell ref="F33:G33"/>
    <mergeCell ref="F35:G35"/>
    <mergeCell ref="F36:G36"/>
    <mergeCell ref="F37:G37"/>
    <mergeCell ref="F38:G38"/>
    <mergeCell ref="F39:G39"/>
  </mergeCells>
  <phoneticPr fontId="1" type="noConversion"/>
  <conditionalFormatting sqref="A28:A33 C30:F33 H30:I33">
    <cfRule type="cellIs" dxfId="91" priority="17" operator="equal">
      <formula>$L$5</formula>
    </cfRule>
    <cfRule type="cellIs" dxfId="90" priority="18" operator="equal">
      <formula>$L$4</formula>
    </cfRule>
    <cfRule type="cellIs" dxfId="89" priority="19" operator="equal">
      <formula>$L$3</formula>
    </cfRule>
    <cfRule type="cellIs" dxfId="88" priority="20" operator="equal">
      <formula>$L$6</formula>
    </cfRule>
  </conditionalFormatting>
  <conditionalFormatting sqref="A16:G16">
    <cfRule type="cellIs" dxfId="87" priority="5" operator="equal">
      <formula>$L$5</formula>
    </cfRule>
    <cfRule type="cellIs" dxfId="86" priority="6" operator="equal">
      <formula>$L$4</formula>
    </cfRule>
    <cfRule type="cellIs" dxfId="85" priority="7" operator="equal">
      <formula>$L$3</formula>
    </cfRule>
    <cfRule type="cellIs" dxfId="84" priority="8" operator="equal">
      <formula>$L$6</formula>
    </cfRule>
  </conditionalFormatting>
  <conditionalFormatting sqref="A5:I5 A6:F9 H6:I10 A10 A11:I11 A12:F14 H12:I22 A15 C15:F15 A17:F21 A22 C22:F22 A23:I23 A24:F27 H24:I28 C28:F28 C29:I29 A34:I34 A35:F36 H35:I39 A37:D37 F37 A38:F38 A39 C39:F39">
    <cfRule type="cellIs" dxfId="83" priority="69" operator="equal">
      <formula>$L$6</formula>
    </cfRule>
    <cfRule type="cellIs" dxfId="82" priority="60" operator="equal">
      <formula>$L$3</formula>
    </cfRule>
    <cfRule type="cellIs" dxfId="81" priority="59" operator="equal">
      <formula>$L$4</formula>
    </cfRule>
  </conditionalFormatting>
  <conditionalFormatting sqref="A5:I5 A11:I11 A23:I23 C29:I29 A34:I34 H35:I39 A6:F9 H6:I10 A10 A12:F14 H12:I22 A15 C15:F15 A17:F21 A22 C22:F22 A24:F27 H24:I28 C28:F28 A35:F36 A37:D37 F37 A38:F38 A39 C39:F39">
    <cfRule type="cellIs" dxfId="80" priority="58" operator="equal">
      <formula>$L$5</formula>
    </cfRule>
  </conditionalFormatting>
  <conditionalFormatting sqref="C1">
    <cfRule type="cellIs" dxfId="79" priority="33" operator="equal">
      <formula>"High"</formula>
    </cfRule>
    <cfRule type="cellIs" dxfId="78" priority="34" operator="equal">
      <formula>"Substantial"</formula>
    </cfRule>
    <cfRule type="cellIs" dxfId="77" priority="35" operator="equal">
      <formula>"Moderate"</formula>
    </cfRule>
    <cfRule type="cellIs" dxfId="76" priority="36" operator="equal">
      <formula>"Low"</formula>
    </cfRule>
  </conditionalFormatting>
  <conditionalFormatting sqref="C10:F10">
    <cfRule type="cellIs" dxfId="75" priority="2" operator="equal">
      <formula>$L$4</formula>
    </cfRule>
    <cfRule type="cellIs" dxfId="74" priority="3" operator="equal">
      <formula>$L$3</formula>
    </cfRule>
    <cfRule type="cellIs" dxfId="73" priority="4" operator="equal">
      <formula>$L$6</formula>
    </cfRule>
    <cfRule type="cellIs" dxfId="72" priority="1" operator="equal">
      <formula>$L$5</formula>
    </cfRule>
  </conditionalFormatting>
  <conditionalFormatting sqref="F1">
    <cfRule type="cellIs" dxfId="71" priority="29" operator="equal">
      <formula>"High"</formula>
    </cfRule>
    <cfRule type="cellIs" dxfId="70" priority="32" operator="equal">
      <formula>"Low"</formula>
    </cfRule>
    <cfRule type="cellIs" dxfId="69" priority="31" operator="equal">
      <formula>"Moderate"</formula>
    </cfRule>
    <cfRule type="cellIs" dxfId="68" priority="30" operator="equal">
      <formula>"Substantial"</formula>
    </cfRule>
  </conditionalFormatting>
  <conditionalFormatting sqref="G5 G11 G23 G29 G34">
    <cfRule type="cellIs" dxfId="67" priority="53" operator="equal">
      <formula>"High"</formula>
    </cfRule>
    <cfRule type="cellIs" dxfId="66" priority="54" operator="equal">
      <formula>"Substantial"</formula>
    </cfRule>
    <cfRule type="cellIs" dxfId="65" priority="55" operator="equal">
      <formula>"Moderate"</formula>
    </cfRule>
    <cfRule type="containsText" dxfId="64" priority="56" operator="containsText" text="Low">
      <formula>NOT(ISERROR(SEARCH("Low",G5)))</formula>
    </cfRule>
  </conditionalFormatting>
  <conditionalFormatting sqref="H39">
    <cfRule type="cellIs" dxfId="63" priority="41" operator="equal">
      <formula>"High"</formula>
    </cfRule>
    <cfRule type="cellIs" dxfId="62" priority="42" operator="equal">
      <formula>"Substantial"</formula>
    </cfRule>
    <cfRule type="cellIs" dxfId="61" priority="43" operator="equal">
      <formula>"Moderate"</formula>
    </cfRule>
    <cfRule type="containsText" dxfId="60" priority="44" operator="containsText" text="Low">
      <formula>NOT(ISERROR(SEARCH("Low",H39)))</formula>
    </cfRule>
  </conditionalFormatting>
  <conditionalFormatting sqref="H35:I38">
    <cfRule type="cellIs" dxfId="59" priority="45" operator="equal">
      <formula>"High"</formula>
    </cfRule>
    <cfRule type="cellIs" dxfId="58" priority="46" operator="equal">
      <formula>"Substantial"</formula>
    </cfRule>
    <cfRule type="cellIs" dxfId="57" priority="47" operator="equal">
      <formula>"Moderate"</formula>
    </cfRule>
    <cfRule type="containsText" dxfId="56" priority="48" operator="containsText" text="Low">
      <formula>NOT(ISERROR(SEARCH("Low",H35)))</formula>
    </cfRule>
  </conditionalFormatting>
  <pageMargins left="0.70866141732283472" right="0.70866141732283472" top="0.74803149606299213" bottom="0.74803149606299213" header="0.31496062992125984" footer="0.31496062992125984"/>
  <pageSetup paperSize="9" scale="61" orientation="landscape" r:id="rId1"/>
  <headerFooter alignWithMargins="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S120"/>
  <sheetViews>
    <sheetView zoomScale="85" zoomScaleNormal="85" zoomScaleSheetLayoutView="100" workbookViewId="0">
      <pane ySplit="2" topLeftCell="A58" activePane="bottomLeft" state="frozen"/>
      <selection pane="bottomLeft" activeCell="F109" sqref="F109:K109"/>
    </sheetView>
  </sheetViews>
  <sheetFormatPr defaultColWidth="8.81640625" defaultRowHeight="12.5" x14ac:dyDescent="0.25"/>
  <cols>
    <col min="1" max="1" width="18" customWidth="1"/>
    <col min="2" max="2" width="29" customWidth="1"/>
    <col min="3" max="3" width="30.54296875" style="147" customWidth="1"/>
    <col min="4" max="4" width="14.453125" style="148" customWidth="1"/>
    <col min="5" max="6" width="7.453125" style="14" customWidth="1"/>
    <col min="7" max="7" width="1.08984375" style="14" customWidth="1"/>
    <col min="8" max="8" width="7.453125" style="14" customWidth="1"/>
    <col min="9" max="9" width="12.54296875" style="14" customWidth="1"/>
    <col min="10" max="10" width="12.26953125" style="14" customWidth="1"/>
    <col min="11" max="11" width="65.81640625" customWidth="1"/>
    <col min="12" max="12" width="15.54296875" style="147" customWidth="1"/>
    <col min="13" max="13" width="13.453125" hidden="1" customWidth="1"/>
    <col min="14" max="14" width="14.81640625" hidden="1" customWidth="1"/>
    <col min="15" max="15" width="11.08984375" hidden="1" customWidth="1"/>
    <col min="16" max="16" width="13.81640625" customWidth="1"/>
  </cols>
  <sheetData>
    <row r="1" spans="1:15" ht="21" customHeight="1" thickBot="1" x14ac:dyDescent="0.4">
      <c r="A1" s="350" t="s">
        <v>25</v>
      </c>
      <c r="B1" s="351" t="str">
        <f>Profile!F1</f>
        <v>Poultry</v>
      </c>
      <c r="C1" s="349" t="s">
        <v>20</v>
      </c>
      <c r="D1" s="488" t="str">
        <f>Profile!E2</f>
        <v>French polynesia</v>
      </c>
      <c r="E1" s="489"/>
      <c r="F1" s="347" t="s">
        <v>24</v>
      </c>
      <c r="G1" s="352"/>
      <c r="H1" s="353"/>
      <c r="I1" s="354"/>
      <c r="J1" s="348" t="str">
        <f>Profile!B3</f>
        <v xml:space="preserve"> 08 / 07 / 2024</v>
      </c>
      <c r="K1" s="100"/>
      <c r="L1" s="355" t="s">
        <v>175</v>
      </c>
    </row>
    <row r="2" spans="1:15" s="92" customFormat="1" ht="15" customHeight="1" thickBot="1" x14ac:dyDescent="0.3">
      <c r="A2" s="490" t="s">
        <v>0</v>
      </c>
      <c r="B2" s="491"/>
      <c r="C2" s="356" t="s">
        <v>2</v>
      </c>
      <c r="D2" s="356" t="s">
        <v>84</v>
      </c>
      <c r="E2" s="356" t="s">
        <v>85</v>
      </c>
      <c r="F2" s="490" t="s">
        <v>83</v>
      </c>
      <c r="G2" s="491"/>
      <c r="H2" s="491"/>
      <c r="I2" s="491"/>
      <c r="J2" s="491"/>
      <c r="K2" s="491"/>
      <c r="L2" s="357"/>
      <c r="M2" s="94"/>
    </row>
    <row r="3" spans="1:15" s="92" customFormat="1" ht="24.75" customHeight="1" thickBot="1" x14ac:dyDescent="0.35">
      <c r="A3" s="101" t="s">
        <v>211</v>
      </c>
      <c r="B3" s="102"/>
      <c r="C3" s="102"/>
      <c r="D3" s="102"/>
      <c r="E3" s="102"/>
      <c r="F3" s="102"/>
      <c r="G3" s="102"/>
      <c r="H3" s="102"/>
      <c r="I3" s="102"/>
      <c r="J3" s="102"/>
      <c r="K3" s="102"/>
      <c r="L3" s="358"/>
      <c r="N3" s="5" t="s">
        <v>4</v>
      </c>
      <c r="O3" s="92">
        <v>4.5</v>
      </c>
    </row>
    <row r="4" spans="1:15" s="92" customFormat="1" ht="21" customHeight="1" x14ac:dyDescent="0.3">
      <c r="A4" s="103" t="s">
        <v>27</v>
      </c>
      <c r="B4" s="104"/>
      <c r="C4" s="104"/>
      <c r="D4" s="104"/>
      <c r="E4" s="104"/>
      <c r="F4" s="104"/>
      <c r="G4" s="104"/>
      <c r="H4" s="104"/>
      <c r="I4" s="104"/>
      <c r="J4" s="104"/>
      <c r="K4" s="104"/>
      <c r="L4" s="358"/>
      <c r="N4" s="5" t="s">
        <v>5</v>
      </c>
      <c r="O4" s="92">
        <v>3.5</v>
      </c>
    </row>
    <row r="5" spans="1:15" s="92" customFormat="1" ht="60.75" customHeight="1" x14ac:dyDescent="0.25">
      <c r="A5" s="467" t="s">
        <v>68</v>
      </c>
      <c r="B5" s="467"/>
      <c r="C5" s="26"/>
      <c r="D5" s="37" t="s">
        <v>40</v>
      </c>
      <c r="E5" s="105">
        <f>IF(D5=$N$6,1,IF(D5=$N$5,2,IF(D5=$N$4,3,IF(D5=$N$3,4,"n/a"))))</f>
        <v>2</v>
      </c>
      <c r="F5" s="498" t="s">
        <v>225</v>
      </c>
      <c r="G5" s="498"/>
      <c r="H5" s="498"/>
      <c r="I5" s="498"/>
      <c r="J5" s="498"/>
      <c r="K5" s="498"/>
      <c r="L5" s="358"/>
      <c r="N5" s="94" t="s">
        <v>40</v>
      </c>
      <c r="O5" s="93">
        <v>2.5</v>
      </c>
    </row>
    <row r="6" spans="1:15" s="92" customFormat="1" ht="31.5" customHeight="1" x14ac:dyDescent="0.25">
      <c r="A6" s="467" t="s">
        <v>28</v>
      </c>
      <c r="B6" s="467"/>
      <c r="C6" s="26"/>
      <c r="D6" s="37" t="s">
        <v>40</v>
      </c>
      <c r="E6" s="105">
        <f>IF(D6=$N$6,1,IF(D6=$N$5,2,IF(D6=$N$4,3,IF(D6=$N$3,4,"n/a"))))</f>
        <v>2</v>
      </c>
      <c r="F6" s="498" t="s">
        <v>226</v>
      </c>
      <c r="G6" s="498"/>
      <c r="H6" s="498"/>
      <c r="I6" s="498"/>
      <c r="J6" s="498"/>
      <c r="K6" s="498"/>
      <c r="L6" s="358"/>
      <c r="N6" s="94" t="s">
        <v>76</v>
      </c>
      <c r="O6" s="93">
        <v>1.5</v>
      </c>
    </row>
    <row r="7" spans="1:15" s="92" customFormat="1" ht="46" customHeight="1" x14ac:dyDescent="0.3">
      <c r="A7" s="467" t="s">
        <v>184</v>
      </c>
      <c r="B7" s="467"/>
      <c r="C7" s="26"/>
      <c r="D7" s="37" t="s">
        <v>40</v>
      </c>
      <c r="E7" s="105">
        <f>IF(D7=$N$6,1,IF(D7=$N$5,2,IF(D7=$N$4,3,IF(D7=$N$3,4,"n/a"))))</f>
        <v>2</v>
      </c>
      <c r="F7" s="498" t="s">
        <v>227</v>
      </c>
      <c r="G7" s="498"/>
      <c r="H7" s="498"/>
      <c r="I7" s="498"/>
      <c r="J7" s="498"/>
      <c r="K7" s="498"/>
      <c r="L7" s="358"/>
      <c r="N7" s="5" t="s">
        <v>17</v>
      </c>
    </row>
    <row r="8" spans="1:15" s="92" customFormat="1" ht="30" customHeight="1" x14ac:dyDescent="0.25">
      <c r="A8" s="467" t="s">
        <v>38</v>
      </c>
      <c r="B8" s="467"/>
      <c r="C8" s="26"/>
      <c r="D8" s="37" t="s">
        <v>5</v>
      </c>
      <c r="E8" s="105">
        <f>IF(D8=$N$6,1,IF(D8=$N$5,2,IF(D8=$N$4,3,IF(D8=$N$3,4,"n/a"))))</f>
        <v>3</v>
      </c>
      <c r="F8" s="498" t="s">
        <v>228</v>
      </c>
      <c r="G8" s="498"/>
      <c r="H8" s="498"/>
      <c r="I8" s="498"/>
      <c r="J8" s="498"/>
      <c r="K8" s="498"/>
      <c r="L8" s="358"/>
      <c r="N8" s="94"/>
    </row>
    <row r="9" spans="1:15" s="92" customFormat="1" ht="45.75" customHeight="1" thickBot="1" x14ac:dyDescent="0.3">
      <c r="A9" s="466" t="s">
        <v>56</v>
      </c>
      <c r="B9" s="466"/>
      <c r="C9" s="166"/>
      <c r="D9" s="154" t="s">
        <v>40</v>
      </c>
      <c r="E9" s="162">
        <f>IF(D9=$N$6,1,IF(D9=$N$5,2,IF(D9=$N$4,3,IF(D9=$N$3,4,"n/a"))))</f>
        <v>2</v>
      </c>
      <c r="F9" s="452" t="s">
        <v>229</v>
      </c>
      <c r="G9" s="453"/>
      <c r="H9" s="452"/>
      <c r="I9" s="452"/>
      <c r="J9" s="452"/>
      <c r="K9" s="452"/>
      <c r="L9" s="358"/>
      <c r="N9" s="106"/>
    </row>
    <row r="10" spans="1:15" s="92" customFormat="1" ht="28.5" customHeight="1" thickBot="1" x14ac:dyDescent="0.35">
      <c r="A10" s="476"/>
      <c r="B10" s="494"/>
      <c r="C10" s="170" t="s">
        <v>22</v>
      </c>
      <c r="D10" s="77" t="str">
        <f>IF(E10&lt;1.5,$N$6,IF(E10&lt;2.5,$N$5,IF(E10&lt;3.5,$N$4,IF(E10&lt;4.5,$N$3,"n/a"))))</f>
        <v>Moderate/Low</v>
      </c>
      <c r="E10" s="233">
        <f>IF(COUNT(E5:E9)=0,"n/a",AVERAGE(E5:E9))</f>
        <v>2.2000000000000002</v>
      </c>
      <c r="F10" s="38">
        <f>E10</f>
        <v>2.2000000000000002</v>
      </c>
      <c r="G10" s="203"/>
      <c r="H10" s="39" t="s">
        <v>21</v>
      </c>
      <c r="I10" s="15" t="str">
        <f>D10</f>
        <v>Moderate/Low</v>
      </c>
      <c r="J10" s="78">
        <f>IF(I10=$N$7,"n/a",IF(AND(I10=$N$5,D10=$N$6),1.5,IF(AND(I10=$N$4,D10=$N$5),2.5,IF(AND(I10=$N$3,D10=$N$4),3.5,IF(AND(I10=$N$6,D10=$N$5),1.49,IF(AND(I10=$N$5,D10=$N$4),2.49,IF(AND(I10=$N$4,D10=$N$3),3.49,E10)))))))</f>
        <v>2.2000000000000002</v>
      </c>
      <c r="K10" s="79" t="s">
        <v>87</v>
      </c>
      <c r="L10" s="359"/>
      <c r="N10" s="5"/>
    </row>
    <row r="11" spans="1:15" s="92" customFormat="1" ht="20.25" customHeight="1" thickBot="1" x14ac:dyDescent="0.35">
      <c r="A11" s="108" t="s">
        <v>26</v>
      </c>
      <c r="B11" s="109"/>
      <c r="C11" s="167"/>
      <c r="D11" s="110"/>
      <c r="E11" s="110"/>
      <c r="F11" s="110"/>
      <c r="G11" s="110"/>
      <c r="H11" s="110"/>
      <c r="I11" s="110"/>
      <c r="J11" s="110"/>
      <c r="K11" s="110"/>
      <c r="L11" s="358"/>
      <c r="N11" s="5"/>
    </row>
    <row r="12" spans="1:15" ht="45.75" customHeight="1" x14ac:dyDescent="0.3">
      <c r="A12" s="467" t="s">
        <v>185</v>
      </c>
      <c r="B12" s="467"/>
      <c r="C12" s="26"/>
      <c r="D12" s="153" t="s">
        <v>5</v>
      </c>
      <c r="E12" s="164">
        <f>IF(D12=$N$6,1,IF(D12=$N$5,2,IF(D12=$N$4,3,IF(D12=$N$3,4,"n/a"))))</f>
        <v>3</v>
      </c>
      <c r="F12" s="478" t="s">
        <v>230</v>
      </c>
      <c r="G12" s="478"/>
      <c r="H12" s="478"/>
      <c r="I12" s="478"/>
      <c r="J12" s="478"/>
      <c r="K12" s="478"/>
      <c r="L12" s="360" t="s">
        <v>92</v>
      </c>
      <c r="N12" s="5"/>
    </row>
    <row r="13" spans="1:15" ht="43.5" customHeight="1" thickBot="1" x14ac:dyDescent="0.3">
      <c r="A13" s="454" t="s">
        <v>186</v>
      </c>
      <c r="B13" s="454"/>
      <c r="C13" s="171"/>
      <c r="D13" s="169" t="s">
        <v>17</v>
      </c>
      <c r="E13" s="165" t="str">
        <f>IF(D13=$N$6,1,IF(D13=$N$5,2,IF(D13=$N$4,3,IF(D13=$N$3,4,"n/a"))))</f>
        <v>n/a</v>
      </c>
      <c r="F13" s="473" t="s">
        <v>231</v>
      </c>
      <c r="G13" s="419"/>
      <c r="H13" s="419"/>
      <c r="I13" s="419"/>
      <c r="J13" s="419"/>
      <c r="K13" s="457"/>
      <c r="L13" s="360" t="s">
        <v>92</v>
      </c>
    </row>
    <row r="14" spans="1:15" s="95" customFormat="1" ht="28.5" customHeight="1" thickBot="1" x14ac:dyDescent="0.35">
      <c r="A14" s="476"/>
      <c r="B14" s="477"/>
      <c r="C14" s="170" t="s">
        <v>22</v>
      </c>
      <c r="D14" s="16" t="str">
        <f>IF(E14&lt;1.5,$N$6,IF(E14&lt;2.5,$N$5,IF(E14&lt;3.5,$N$4,IF(E14&lt;4.5,$N$3,"n/a"))))</f>
        <v>Substantial</v>
      </c>
      <c r="E14" s="132">
        <f>IF(COUNT(E12:E13)=0,"n/a",AVERAGE(E12:E13))</f>
        <v>3</v>
      </c>
      <c r="F14" s="17">
        <f>E14</f>
        <v>3</v>
      </c>
      <c r="G14" s="203"/>
      <c r="H14" s="18" t="s">
        <v>21</v>
      </c>
      <c r="I14" s="15" t="str">
        <f>D14</f>
        <v>Substantial</v>
      </c>
      <c r="J14" s="19">
        <f>IF(I14=$N$7,"n/a",IF(AND(I14=$N$5,D14=$N$6),1.5,IF(AND(I14=$N$4,D14=$N$5),2.5,IF(AND(I14=$N$3,D14=$N$4),3.5,IF(AND(I14=$N$6,D14=$N$5),1.49,IF(AND(I14=$N$5,D14=$N$4),2.49,IF(AND(I14=$N$4,D14=$N$3),3.49,E14)))))))</f>
        <v>3</v>
      </c>
      <c r="K14" s="168" t="s">
        <v>87</v>
      </c>
      <c r="L14" s="361"/>
      <c r="N14" s="5"/>
    </row>
    <row r="15" spans="1:15" ht="21.75" customHeight="1" x14ac:dyDescent="0.3">
      <c r="A15" s="379" t="s">
        <v>29</v>
      </c>
      <c r="B15" s="108"/>
      <c r="C15" s="108"/>
      <c r="D15" s="108"/>
      <c r="E15" s="108"/>
      <c r="F15" s="108"/>
      <c r="G15" s="108"/>
      <c r="H15" s="108"/>
      <c r="I15" s="108"/>
      <c r="J15" s="108"/>
      <c r="K15" s="108"/>
      <c r="L15" s="362"/>
      <c r="N15" s="5"/>
    </row>
    <row r="16" spans="1:15" ht="46.5" customHeight="1" thickBot="1" x14ac:dyDescent="0.3">
      <c r="A16" s="466" t="s">
        <v>187</v>
      </c>
      <c r="B16" s="466"/>
      <c r="C16" s="171"/>
      <c r="D16" s="154" t="s">
        <v>40</v>
      </c>
      <c r="E16" s="158">
        <f>IF(D16=$N$6,1,IF(D16=$N$5,2,IF(D16=$N$4,3,IF(D16=$N$3,4,"n/a"))))</f>
        <v>2</v>
      </c>
      <c r="F16" s="455" t="s">
        <v>232</v>
      </c>
      <c r="G16" s="419"/>
      <c r="H16" s="456"/>
      <c r="I16" s="456"/>
      <c r="J16" s="419"/>
      <c r="K16" s="457"/>
      <c r="L16" s="362"/>
    </row>
    <row r="17" spans="1:14" s="92" customFormat="1" ht="24.75" customHeight="1" thickBot="1" x14ac:dyDescent="0.3">
      <c r="A17" s="501"/>
      <c r="B17" s="502"/>
      <c r="C17" s="170" t="s">
        <v>22</v>
      </c>
      <c r="D17" s="16" t="str">
        <f>IF(E17&lt;1.5,$N$6,IF(E17&lt;2.5,$N$5,IF(E17&lt;3.5,$N$4,IF(E17&lt;4.5,$N$3,"n/a"))))</f>
        <v>Moderate/Low</v>
      </c>
      <c r="E17" s="132">
        <f>IF(COUNT(E16)=0,"n/a",AVERAGE(E16))</f>
        <v>2</v>
      </c>
      <c r="F17" s="17">
        <f>E17</f>
        <v>2</v>
      </c>
      <c r="G17" s="203"/>
      <c r="H17" s="18" t="s">
        <v>21</v>
      </c>
      <c r="I17" s="15" t="str">
        <f>D17</f>
        <v>Moderate/Low</v>
      </c>
      <c r="J17" s="19">
        <f>IF(I17=$N$7,"n/a",IF(AND(I17=$N$5,D17=$N$6),1.5,IF(AND(I17=$N$4,D17=$N$5),2.5,IF(AND(I17=$N$3,D17=$N$4),3.5,IF(AND(I17=$N$6,D17=$N$5),1.49,IF(AND(I17=$N$5,D17=$N$4),2.49,IF(AND(I17=$N$4,D17=$N$3),3.49,E17)))))))</f>
        <v>2</v>
      </c>
      <c r="K17" s="168" t="s">
        <v>87</v>
      </c>
      <c r="L17" s="358"/>
      <c r="N17" s="94"/>
    </row>
    <row r="18" spans="1:14" s="111" customFormat="1" ht="21" customHeight="1" x14ac:dyDescent="0.3">
      <c r="A18" s="108" t="s">
        <v>66</v>
      </c>
      <c r="B18" s="108"/>
      <c r="C18" s="108"/>
      <c r="D18" s="108"/>
      <c r="E18" s="108"/>
      <c r="F18" s="108"/>
      <c r="G18" s="108"/>
      <c r="H18" s="108"/>
      <c r="I18" s="108"/>
      <c r="J18" s="108"/>
      <c r="K18" s="108"/>
      <c r="L18" s="362"/>
      <c r="N18" s="5"/>
    </row>
    <row r="19" spans="1:14" s="111" customFormat="1" ht="46" customHeight="1" x14ac:dyDescent="0.3">
      <c r="A19" s="467" t="s">
        <v>70</v>
      </c>
      <c r="B19" s="467"/>
      <c r="C19" s="26"/>
      <c r="D19" s="37" t="s">
        <v>40</v>
      </c>
      <c r="E19" s="150">
        <f>IF(D19=$N$6,1,IF(D19=$N$5,2,IF(D19=$N$4,3,IF(D19=$N$3,4,"n/a"))))</f>
        <v>2</v>
      </c>
      <c r="F19" s="455" t="s">
        <v>233</v>
      </c>
      <c r="G19" s="456"/>
      <c r="H19" s="456"/>
      <c r="I19" s="456"/>
      <c r="J19" s="456"/>
      <c r="K19" s="457"/>
      <c r="L19" s="360" t="s">
        <v>92</v>
      </c>
      <c r="N19" s="5"/>
    </row>
    <row r="20" spans="1:14" s="111" customFormat="1" ht="33" customHeight="1" thickBot="1" x14ac:dyDescent="0.35">
      <c r="A20" s="454" t="s">
        <v>67</v>
      </c>
      <c r="B20" s="454"/>
      <c r="C20" s="171"/>
      <c r="D20" s="163" t="s">
        <v>40</v>
      </c>
      <c r="E20" s="162">
        <f>IF(D20=$N$6,1,IF(D20=$N$5,2,IF(D20=$N$4,3,IF(D20=$N$3,4,"n/a"))))</f>
        <v>2</v>
      </c>
      <c r="F20" s="403" t="s">
        <v>234</v>
      </c>
      <c r="G20" s="419"/>
      <c r="H20" s="404"/>
      <c r="I20" s="404"/>
      <c r="J20" s="404"/>
      <c r="K20" s="405"/>
      <c r="L20" s="363"/>
      <c r="N20" s="5"/>
    </row>
    <row r="21" spans="1:14" s="92" customFormat="1" ht="29.25" customHeight="1" thickBot="1" x14ac:dyDescent="0.3">
      <c r="A21" s="476"/>
      <c r="B21" s="477"/>
      <c r="C21" s="170" t="s">
        <v>22</v>
      </c>
      <c r="D21" s="16" t="str">
        <f>IF(E21&lt;1.5,$N$6,IF(E21&lt;2.5,$N$5,IF(E21&lt;3.5,$N$4,IF(E21&lt;4.5,$N$3,"n/a"))))</f>
        <v>Moderate/Low</v>
      </c>
      <c r="E21" s="132">
        <f>IF(COUNT(E19:E20)=0,"n/a",AVERAGE(E19:E20))</f>
        <v>2</v>
      </c>
      <c r="F21" s="17">
        <f>E21</f>
        <v>2</v>
      </c>
      <c r="G21" s="203"/>
      <c r="H21" s="18" t="s">
        <v>21</v>
      </c>
      <c r="I21" s="15" t="str">
        <f>D21</f>
        <v>Moderate/Low</v>
      </c>
      <c r="J21" s="78">
        <f>IF(I21=$N$7,"n/a",IF(AND(I21=$N$5,D21=$N$6),1.5,IF(AND(I21=$N$4,D21=$N$5),2.5,IF(AND(I21=$N$3,D21=$N$4),3.5,IF(AND(I21=$N$6,D21=$N$5),1.49,IF(AND(I21=$N$5,D21=$N$4),2.49,IF(AND(I21=$N$4,D21=$N$3),3.49,E21)))))))</f>
        <v>2</v>
      </c>
      <c r="K21" s="76" t="s">
        <v>87</v>
      </c>
      <c r="L21" s="364"/>
    </row>
    <row r="22" spans="1:14" s="92" customFormat="1" ht="22.5" customHeight="1" thickBot="1" x14ac:dyDescent="0.3">
      <c r="A22" s="112" t="s">
        <v>212</v>
      </c>
      <c r="B22" s="113"/>
      <c r="C22" s="113"/>
      <c r="D22" s="114"/>
      <c r="E22" s="114"/>
      <c r="F22" s="114"/>
      <c r="G22" s="114"/>
      <c r="H22" s="114"/>
      <c r="I22" s="114"/>
      <c r="J22" s="114"/>
      <c r="K22" s="114"/>
      <c r="L22" s="358"/>
    </row>
    <row r="23" spans="1:14" ht="21.75" customHeight="1" thickBot="1" x14ac:dyDescent="0.3">
      <c r="A23" s="115" t="s">
        <v>42</v>
      </c>
      <c r="B23" s="116"/>
      <c r="C23" s="116"/>
      <c r="D23" s="116"/>
      <c r="E23" s="116"/>
      <c r="F23" s="116"/>
      <c r="G23" s="116"/>
      <c r="H23" s="116"/>
      <c r="I23" s="116"/>
      <c r="J23" s="116"/>
      <c r="K23" s="116"/>
      <c r="L23" s="360" t="s">
        <v>92</v>
      </c>
    </row>
    <row r="24" spans="1:14" ht="54" customHeight="1" x14ac:dyDescent="0.25">
      <c r="A24" s="492" t="s">
        <v>220</v>
      </c>
      <c r="B24" s="493"/>
      <c r="C24" s="160"/>
      <c r="D24" s="151" t="s">
        <v>17</v>
      </c>
      <c r="E24" s="161" t="str">
        <f>IF(D24=$N$6,1,IF(D24=$N$5,2,IF(D24=$N$4,3,IF(D24=$N$3,4,"n/a"))))</f>
        <v>n/a</v>
      </c>
      <c r="F24" s="478" t="s">
        <v>235</v>
      </c>
      <c r="G24" s="478"/>
      <c r="H24" s="478"/>
      <c r="I24" s="478"/>
      <c r="J24" s="478"/>
      <c r="K24" s="478"/>
      <c r="L24" s="360" t="s">
        <v>92</v>
      </c>
    </row>
    <row r="25" spans="1:14" ht="73.5" customHeight="1" thickBot="1" x14ac:dyDescent="0.3">
      <c r="A25" s="499" t="s">
        <v>59</v>
      </c>
      <c r="B25" s="500"/>
      <c r="C25" s="172"/>
      <c r="D25" s="152" t="s">
        <v>17</v>
      </c>
      <c r="E25" s="162" t="str">
        <f>IF(D25=$N$6,1,IF(D25=$N$5,2,IF(D25=$N$4,3,IF(D25=$N$3,4,"n/a"))))</f>
        <v>n/a</v>
      </c>
      <c r="F25" s="403" t="s">
        <v>236</v>
      </c>
      <c r="G25" s="404"/>
      <c r="H25" s="404"/>
      <c r="I25" s="404"/>
      <c r="J25" s="404"/>
      <c r="K25" s="405"/>
      <c r="L25" s="362"/>
    </row>
    <row r="26" spans="1:14" ht="35.25" customHeight="1" thickBot="1" x14ac:dyDescent="0.3">
      <c r="A26" s="464"/>
      <c r="B26" s="465"/>
      <c r="C26" s="29" t="s">
        <v>22</v>
      </c>
      <c r="D26" s="16" t="str">
        <f>IF(E26&lt;1.5,"Not at all",IF(E26&lt;2.5,"Moderate",IF(E26&lt;3.5,"Substantial",IF(E26&lt;4.5,"High","n/a"))))</f>
        <v>n/a</v>
      </c>
      <c r="E26" s="132" t="str">
        <f>IF(COUNT(E24:E25)=0,"n/a",AVERAGE(E24:E25))</f>
        <v>n/a</v>
      </c>
      <c r="F26" s="38" t="str">
        <f>E26</f>
        <v>n/a</v>
      </c>
      <c r="G26" s="203"/>
      <c r="H26" s="39" t="s">
        <v>21</v>
      </c>
      <c r="I26" s="15" t="str">
        <f>D26</f>
        <v>n/a</v>
      </c>
      <c r="J26" s="78" t="str">
        <f>IF(I26=$N$7,"n/a",IF(AND(I26=$N$5,D26=$N$6),1.5,IF(AND(I26=$N$4,D26=$N$5),2.5,IF(AND(I26=$N$3,D26=$N$4),3.5,IF(AND(I26=$N$6,D26=$N$5),1.49,IF(AND(I26=$N$5,D26=$N$4),2.49,IF(AND(I26=$N$4,D26=$N$3),3.49,E26)))))))</f>
        <v>n/a</v>
      </c>
      <c r="K26" s="308" t="s">
        <v>87</v>
      </c>
      <c r="L26" s="362"/>
    </row>
    <row r="27" spans="1:14" ht="20.25" customHeight="1" thickBot="1" x14ac:dyDescent="0.3">
      <c r="A27" s="117" t="s">
        <v>45</v>
      </c>
      <c r="B27" s="118"/>
      <c r="C27" s="119"/>
      <c r="D27" s="120"/>
      <c r="E27" s="120"/>
      <c r="F27" s="120"/>
      <c r="G27" s="120"/>
      <c r="H27" s="120"/>
      <c r="I27" s="120"/>
      <c r="J27" s="120"/>
      <c r="K27" s="120"/>
      <c r="L27" s="362"/>
    </row>
    <row r="28" spans="1:14" ht="30.75" customHeight="1" x14ac:dyDescent="0.25">
      <c r="A28" s="408" t="s">
        <v>62</v>
      </c>
      <c r="B28" s="409"/>
      <c r="C28" s="30"/>
      <c r="D28" s="153" t="s">
        <v>17</v>
      </c>
      <c r="E28" s="164" t="str">
        <f>IF(D28=$N$6,1,IF(D28=$N$5,2,IF(D28=$N$4,3,IF(D28=$N$3,4,"n/a"))))</f>
        <v>n/a</v>
      </c>
      <c r="F28" s="458" t="s">
        <v>237</v>
      </c>
      <c r="G28" s="459"/>
      <c r="H28" s="459"/>
      <c r="I28" s="459"/>
      <c r="J28" s="459"/>
      <c r="K28" s="460"/>
      <c r="L28" s="362"/>
    </row>
    <row r="29" spans="1:14" ht="72.5" customHeight="1" x14ac:dyDescent="0.25">
      <c r="A29" s="408" t="s">
        <v>43</v>
      </c>
      <c r="B29" s="409"/>
      <c r="C29" s="30"/>
      <c r="D29" s="37" t="s">
        <v>40</v>
      </c>
      <c r="E29" s="150">
        <f>IF(D29=$N$6,1,IF(D29=$N$5,2,IF(D29=$N$4,3,IF(D29=$N$3,4,"n/a"))))</f>
        <v>2</v>
      </c>
      <c r="F29" s="455" t="s">
        <v>238</v>
      </c>
      <c r="G29" s="456"/>
      <c r="H29" s="456"/>
      <c r="I29" s="456"/>
      <c r="J29" s="456"/>
      <c r="K29" s="457"/>
      <c r="L29" s="362"/>
    </row>
    <row r="30" spans="1:14" s="121" customFormat="1" ht="38" customHeight="1" x14ac:dyDescent="0.25">
      <c r="A30" s="408" t="s">
        <v>57</v>
      </c>
      <c r="B30" s="409"/>
      <c r="C30" s="30"/>
      <c r="D30" s="37" t="s">
        <v>40</v>
      </c>
      <c r="E30" s="150">
        <f>IF(D30=$N$6,1,IF(D30=$N$5,2,IF(D30=$N$4,3,IF(D30=$N$3,4,"n/a"))))</f>
        <v>2</v>
      </c>
      <c r="F30" s="402" t="s">
        <v>239</v>
      </c>
      <c r="G30" s="402"/>
      <c r="H30" s="402"/>
      <c r="I30" s="402"/>
      <c r="J30" s="402"/>
      <c r="K30" s="402"/>
      <c r="L30" s="358"/>
    </row>
    <row r="31" spans="1:14" s="92" customFormat="1" ht="56" customHeight="1" thickBot="1" x14ac:dyDescent="0.3">
      <c r="A31" s="471" t="s">
        <v>58</v>
      </c>
      <c r="B31" s="472"/>
      <c r="C31" s="172"/>
      <c r="D31" s="154" t="s">
        <v>40</v>
      </c>
      <c r="E31" s="159">
        <f>IF(D31=$N$6,1,IF(D31=$N$5,2,IF(D31=$N$4,3,IF(D31=$N$3,4,"n/a"))))</f>
        <v>2</v>
      </c>
      <c r="F31" s="473" t="s">
        <v>240</v>
      </c>
      <c r="G31" s="419"/>
      <c r="H31" s="419"/>
      <c r="I31" s="419"/>
      <c r="J31" s="419"/>
      <c r="K31" s="420"/>
      <c r="L31" s="360" t="s">
        <v>92</v>
      </c>
    </row>
    <row r="32" spans="1:14" s="92" customFormat="1" ht="25.5" customHeight="1" thickBot="1" x14ac:dyDescent="0.3">
      <c r="A32" s="175"/>
      <c r="B32" s="176"/>
      <c r="C32" s="29" t="s">
        <v>22</v>
      </c>
      <c r="D32" s="16" t="str">
        <f>IF(E32&lt;1.5,"Not at all",IF(E32&lt;2.5,"Moderate",IF(E32&lt;3.5,"Substantial",IF(E32&lt;4.5,"High","n/a"))))</f>
        <v>Moderate</v>
      </c>
      <c r="E32" s="132">
        <f>IF(COUNT(E28:E31)=0,"n/a",AVERAGE(E28:E31))</f>
        <v>2</v>
      </c>
      <c r="F32" s="17">
        <f>E32</f>
        <v>2</v>
      </c>
      <c r="G32" s="203"/>
      <c r="H32" s="18" t="s">
        <v>21</v>
      </c>
      <c r="I32" s="15" t="str">
        <f>D32</f>
        <v>Moderate</v>
      </c>
      <c r="J32" s="19">
        <f>IF(I32=$N$7,"n/a",IF(AND(I32=$N$5,D32=$N$6),1.5,IF(AND(I32=$N$4,D32=$N$5),2.5,IF(AND(I32=$N$3,D32=$N$4),3.5,IF(AND(I32=$N$6,D32=$N$5),1.49,IF(AND(I32=$N$5,D32=$N$4),2.49,IF(AND(I32=$N$4,D32=$N$3),3.49,E32)))))))</f>
        <v>2</v>
      </c>
      <c r="K32" s="168" t="s">
        <v>87</v>
      </c>
      <c r="L32" s="358"/>
    </row>
    <row r="33" spans="1:12" s="92" customFormat="1" ht="25.5" customHeight="1" thickBot="1" x14ac:dyDescent="0.3">
      <c r="A33" s="173" t="s">
        <v>46</v>
      </c>
      <c r="B33" s="174"/>
      <c r="C33" s="174"/>
      <c r="D33" s="174"/>
      <c r="E33" s="174"/>
      <c r="F33" s="174"/>
      <c r="G33" s="174"/>
      <c r="H33" s="174"/>
      <c r="I33" s="174"/>
      <c r="J33" s="174"/>
      <c r="K33" s="174"/>
      <c r="L33" s="358"/>
    </row>
    <row r="34" spans="1:12" s="92" customFormat="1" ht="45.75" customHeight="1" x14ac:dyDescent="0.25">
      <c r="A34" s="495" t="s">
        <v>47</v>
      </c>
      <c r="B34" s="496"/>
      <c r="C34" s="36"/>
      <c r="D34" s="37" t="s">
        <v>40</v>
      </c>
      <c r="E34" s="105">
        <f>IF(D34=$N$6,1,IF(D34=$N$5,2,IF(D34=$N$4,3,IF(D34=$N$3,4,"n/a"))))</f>
        <v>2</v>
      </c>
      <c r="F34" s="478" t="s">
        <v>241</v>
      </c>
      <c r="G34" s="478"/>
      <c r="H34" s="478"/>
      <c r="I34" s="478"/>
      <c r="J34" s="478"/>
      <c r="K34" s="478"/>
      <c r="L34" s="360" t="s">
        <v>92</v>
      </c>
    </row>
    <row r="35" spans="1:12" s="92" customFormat="1" ht="33" customHeight="1" x14ac:dyDescent="0.25">
      <c r="A35" s="497" t="s">
        <v>48</v>
      </c>
      <c r="B35" s="409"/>
      <c r="C35" s="36"/>
      <c r="D35" s="155" t="s">
        <v>17</v>
      </c>
      <c r="E35" s="105" t="str">
        <f>IF(D35=$N$6,1,IF(D35=$N$5,2,IF(D35=$N$4,3,IF(D35=$N$3,4,"n/a"))))</f>
        <v>n/a</v>
      </c>
      <c r="F35" s="455" t="s">
        <v>236</v>
      </c>
      <c r="G35" s="456"/>
      <c r="H35" s="456"/>
      <c r="I35" s="456"/>
      <c r="J35" s="456"/>
      <c r="K35" s="457"/>
      <c r="L35" s="358"/>
    </row>
    <row r="36" spans="1:12" s="92" customFormat="1" ht="60.75" customHeight="1" x14ac:dyDescent="0.25">
      <c r="A36" s="495" t="s">
        <v>64</v>
      </c>
      <c r="B36" s="496"/>
      <c r="C36" s="36"/>
      <c r="D36" s="155" t="s">
        <v>17</v>
      </c>
      <c r="E36" s="105" t="str">
        <f>IF(D36=$N$6,1,IF(D36=$N$5,2,IF(D36=$N$4,3,IF(D36=$N$3,4,"n/a"))))</f>
        <v>n/a</v>
      </c>
      <c r="F36" s="455" t="s">
        <v>236</v>
      </c>
      <c r="G36" s="456"/>
      <c r="H36" s="456"/>
      <c r="I36" s="456"/>
      <c r="J36" s="456"/>
      <c r="K36" s="457"/>
      <c r="L36" s="358"/>
    </row>
    <row r="37" spans="1:12" s="92" customFormat="1" ht="60.75" customHeight="1" thickBot="1" x14ac:dyDescent="0.3">
      <c r="A37" s="484" t="s">
        <v>65</v>
      </c>
      <c r="B37" s="485"/>
      <c r="C37" s="177"/>
      <c r="D37" s="154" t="s">
        <v>17</v>
      </c>
      <c r="E37" s="158" t="str">
        <f>IF(D37=$N$6,1,IF(D37=$N$5,2,IF(D37=$N$4,3,IF(D37=$N$3,4,"n/a"))))</f>
        <v>n/a</v>
      </c>
      <c r="F37" s="486" t="s">
        <v>242</v>
      </c>
      <c r="G37" s="402"/>
      <c r="H37" s="402"/>
      <c r="I37" s="402"/>
      <c r="J37" s="402"/>
      <c r="K37" s="487"/>
      <c r="L37" s="358"/>
    </row>
    <row r="38" spans="1:12" s="92" customFormat="1" ht="25.5" customHeight="1" thickBot="1" x14ac:dyDescent="0.3">
      <c r="A38" s="31"/>
      <c r="B38" s="32"/>
      <c r="C38" s="33" t="s">
        <v>22</v>
      </c>
      <c r="D38" s="16" t="str">
        <f>IF(E38&lt;1.5,"Not at all",IF(E38&lt;2.5,"Moderate",IF(E38&lt;3.5,"Substantial",IF(E38&lt;4.5,"High","n/a"))))</f>
        <v>Moderate</v>
      </c>
      <c r="E38" s="132">
        <f>IF(COUNT(E34:E37)=0,"n/a",AVERAGE(E34:E37))</f>
        <v>2</v>
      </c>
      <c r="F38" s="17">
        <f>E38</f>
        <v>2</v>
      </c>
      <c r="G38" s="203"/>
      <c r="H38" s="18" t="s">
        <v>21</v>
      </c>
      <c r="I38" s="15" t="str">
        <f>D38</f>
        <v>Moderate</v>
      </c>
      <c r="J38" s="19">
        <f>IF(I38=$N$7,"n/a",IF(AND(I38=$N$5,D38=$N$6),1.5,IF(AND(I38=$N$4,D38=$N$5),2.5,IF(AND(I38=$N$3,D38=$N$4),3.5,IF(AND(I38=$N$6,D38=$N$5),1.49,IF(AND(I38=$N$5,D38=$N$4),2.49,IF(AND(I38=$N$4,D38=$N$3),3.49,E38)))))))</f>
        <v>2</v>
      </c>
      <c r="K38" s="168" t="s">
        <v>87</v>
      </c>
      <c r="L38" s="358"/>
    </row>
    <row r="39" spans="1:12" s="111" customFormat="1" ht="22.5" customHeight="1" thickBot="1" x14ac:dyDescent="0.35">
      <c r="A39" s="20" t="s">
        <v>213</v>
      </c>
      <c r="B39" s="21"/>
      <c r="C39" s="22"/>
      <c r="D39" s="24"/>
      <c r="E39" s="24"/>
      <c r="F39" s="23"/>
      <c r="G39" s="122"/>
      <c r="H39" s="24"/>
      <c r="I39" s="24"/>
      <c r="J39" s="23"/>
      <c r="K39" s="123"/>
      <c r="L39" s="362"/>
    </row>
    <row r="40" spans="1:12" s="111" customFormat="1" ht="22.5" customHeight="1" x14ac:dyDescent="0.3">
      <c r="A40" s="124" t="s">
        <v>31</v>
      </c>
      <c r="B40" s="125"/>
      <c r="C40" s="125"/>
      <c r="D40" s="125"/>
      <c r="E40" s="125"/>
      <c r="F40" s="125"/>
      <c r="G40" s="125"/>
      <c r="H40" s="125"/>
      <c r="I40" s="125"/>
      <c r="J40" s="125"/>
      <c r="K40" s="125"/>
      <c r="L40" s="362"/>
    </row>
    <row r="41" spans="1:12" s="92" customFormat="1" ht="48" customHeight="1" x14ac:dyDescent="0.25">
      <c r="A41" s="414" t="s">
        <v>39</v>
      </c>
      <c r="B41" s="414"/>
      <c r="C41" s="27"/>
      <c r="D41" s="37" t="s">
        <v>40</v>
      </c>
      <c r="E41" s="150">
        <v>2</v>
      </c>
      <c r="F41" s="419" t="s">
        <v>243</v>
      </c>
      <c r="G41" s="419"/>
      <c r="H41" s="419"/>
      <c r="I41" s="419"/>
      <c r="J41" s="419"/>
      <c r="K41" s="419"/>
      <c r="L41" s="360" t="s">
        <v>92</v>
      </c>
    </row>
    <row r="42" spans="1:12" s="92" customFormat="1" ht="63.5" customHeight="1" thickBot="1" x14ac:dyDescent="0.3">
      <c r="A42" s="481" t="s">
        <v>135</v>
      </c>
      <c r="B42" s="482"/>
      <c r="C42" s="178"/>
      <c r="D42" s="37" t="s">
        <v>5</v>
      </c>
      <c r="E42" s="150">
        <v>3</v>
      </c>
      <c r="F42" s="419" t="s">
        <v>244</v>
      </c>
      <c r="G42" s="419"/>
      <c r="H42" s="419"/>
      <c r="I42" s="419"/>
      <c r="J42" s="419"/>
      <c r="K42" s="420"/>
      <c r="L42" s="358"/>
    </row>
    <row r="43" spans="1:12" s="111" customFormat="1" ht="30" customHeight="1" thickBot="1" x14ac:dyDescent="0.35">
      <c r="A43" s="479"/>
      <c r="B43" s="480"/>
      <c r="C43" s="25" t="s">
        <v>22</v>
      </c>
      <c r="D43" s="16" t="str">
        <f>IF(E43&lt;1.5,"Not at all",IF(E43&lt;2.5,"Moderate",IF(E43&lt;3.5,"Substantial",IF(E43&lt;4.5,"High","n/a"))))</f>
        <v>Substantial</v>
      </c>
      <c r="E43" s="132">
        <f>IF(COUNT(E41:E42)=0,"n/a",AVERAGE(E41:E42))</f>
        <v>2.5</v>
      </c>
      <c r="F43" s="17">
        <f>E43</f>
        <v>2.5</v>
      </c>
      <c r="G43" s="203"/>
      <c r="H43" s="18" t="s">
        <v>21</v>
      </c>
      <c r="I43" s="15" t="str">
        <f>D43</f>
        <v>Substantial</v>
      </c>
      <c r="J43" s="19">
        <f>IF(I43=$N$7,"n/a",IF(AND(I43=$N$5,D43=$N$6),1.5,IF(AND(I43=$N$4,D43=$N$5),2.5,IF(AND(I43=$N$3,D43=$N$4),3.5,IF(AND(I43=$N$6,D43=$N$5),1.49,IF(AND(I43=$N$5,D43=$N$4),2.49,IF(AND(I43=$N$4,D43=$N$3),3.49,E43)))))))</f>
        <v>2.5</v>
      </c>
      <c r="K43" s="179" t="s">
        <v>87</v>
      </c>
      <c r="L43" s="365"/>
    </row>
    <row r="44" spans="1:12" s="111" customFormat="1" ht="18" customHeight="1" thickBot="1" x14ac:dyDescent="0.35">
      <c r="A44" s="126" t="s">
        <v>32</v>
      </c>
      <c r="B44" s="127"/>
      <c r="C44" s="127"/>
      <c r="D44" s="128"/>
      <c r="E44" s="128"/>
      <c r="F44" s="128"/>
      <c r="G44" s="128"/>
      <c r="H44" s="128"/>
      <c r="I44" s="128"/>
      <c r="J44" s="128"/>
      <c r="K44" s="128"/>
      <c r="L44" s="362"/>
    </row>
    <row r="45" spans="1:12" s="92" customFormat="1" ht="30.75" customHeight="1" x14ac:dyDescent="0.3">
      <c r="A45" s="414" t="s">
        <v>136</v>
      </c>
      <c r="B45" s="511"/>
      <c r="C45" s="27"/>
      <c r="D45" s="37" t="s">
        <v>40</v>
      </c>
      <c r="E45" s="150">
        <v>2</v>
      </c>
      <c r="F45" s="458" t="s">
        <v>245</v>
      </c>
      <c r="G45" s="459"/>
      <c r="H45" s="459"/>
      <c r="I45" s="459"/>
      <c r="J45" s="459"/>
      <c r="K45" s="460"/>
      <c r="L45" s="358"/>
    </row>
    <row r="46" spans="1:12" s="92" customFormat="1" ht="31" customHeight="1" x14ac:dyDescent="0.25">
      <c r="A46" s="483" t="s">
        <v>37</v>
      </c>
      <c r="B46" s="411"/>
      <c r="C46" s="27"/>
      <c r="D46" s="37" t="s">
        <v>40</v>
      </c>
      <c r="E46" s="150">
        <v>2</v>
      </c>
      <c r="F46" s="462" t="s">
        <v>246</v>
      </c>
      <c r="G46" s="462"/>
      <c r="H46" s="462"/>
      <c r="I46" s="462"/>
      <c r="J46" s="462"/>
      <c r="K46" s="462"/>
      <c r="L46" s="358"/>
    </row>
    <row r="47" spans="1:12" s="92" customFormat="1" ht="49" customHeight="1" x14ac:dyDescent="0.25">
      <c r="A47" s="483" t="s">
        <v>138</v>
      </c>
      <c r="B47" s="411"/>
      <c r="C47" s="27"/>
      <c r="D47" s="37" t="s">
        <v>5</v>
      </c>
      <c r="E47" s="150">
        <v>2</v>
      </c>
      <c r="F47" s="456" t="s">
        <v>247</v>
      </c>
      <c r="G47" s="456"/>
      <c r="H47" s="456"/>
      <c r="I47" s="456"/>
      <c r="J47" s="456"/>
      <c r="K47" s="456"/>
      <c r="L47" s="358"/>
    </row>
    <row r="48" spans="1:12" s="92" customFormat="1" ht="54.5" customHeight="1" thickBot="1" x14ac:dyDescent="0.3">
      <c r="A48" s="481" t="s">
        <v>139</v>
      </c>
      <c r="B48" s="482"/>
      <c r="C48" s="180"/>
      <c r="D48" s="154" t="s">
        <v>5</v>
      </c>
      <c r="E48" s="150">
        <v>2</v>
      </c>
      <c r="F48" s="403" t="s">
        <v>248</v>
      </c>
      <c r="G48" s="404"/>
      <c r="H48" s="404"/>
      <c r="I48" s="404"/>
      <c r="J48" s="404"/>
      <c r="K48" s="405"/>
      <c r="L48" s="358"/>
    </row>
    <row r="49" spans="1:19" s="111" customFormat="1" ht="45.5" customHeight="1" thickBot="1" x14ac:dyDescent="0.35">
      <c r="A49" s="480"/>
      <c r="B49" s="512"/>
      <c r="C49" s="25" t="s">
        <v>22</v>
      </c>
      <c r="D49" s="16" t="str">
        <f>IF(E49&lt;1.5,"Not at all",IF(E49&lt;2.5,"Moderate",IF(E49&lt;3.5,"Substantial",IF(E49&lt;4.5,"High","n/a"))))</f>
        <v>Moderate</v>
      </c>
      <c r="E49" s="132">
        <f>IF(COUNT(E45:E48)=0,"n/a",AVERAGE(E45:E48))</f>
        <v>2</v>
      </c>
      <c r="F49" s="38">
        <f>E49</f>
        <v>2</v>
      </c>
      <c r="G49" s="203"/>
      <c r="H49" s="39" t="s">
        <v>21</v>
      </c>
      <c r="I49" s="307" t="str">
        <f>D49</f>
        <v>Moderate</v>
      </c>
      <c r="J49" s="78">
        <f>IF(I49=$N$7,"n/a",IF(AND(I49=$N$5,D49=$N$6),1.5,IF(AND(I49=$N$4,D49=$N$5),2.5,IF(AND(I49=$N$3,D49=$N$4),3.5,IF(AND(I49=$N$6,D49=$N$5),1.49,IF(AND(I49=$N$5,D49=$N$4),2.49,IF(AND(I49=$N$4,D49=$N$3),3.49,E49)))))))</f>
        <v>2</v>
      </c>
      <c r="K49" s="79" t="s">
        <v>87</v>
      </c>
      <c r="L49" s="362"/>
    </row>
    <row r="50" spans="1:19" s="111" customFormat="1" ht="22.5" customHeight="1" thickBot="1" x14ac:dyDescent="0.35">
      <c r="A50" s="129" t="s">
        <v>142</v>
      </c>
      <c r="B50" s="130"/>
      <c r="C50" s="156"/>
      <c r="D50" s="156"/>
      <c r="E50" s="157"/>
      <c r="F50" s="131"/>
      <c r="G50" s="131"/>
      <c r="H50" s="131"/>
      <c r="I50" s="131"/>
      <c r="J50" s="131"/>
      <c r="K50" s="131"/>
      <c r="L50" s="362"/>
    </row>
    <row r="51" spans="1:19" s="111" customFormat="1" ht="34.5" customHeight="1" x14ac:dyDescent="0.3">
      <c r="A51" s="423" t="s">
        <v>141</v>
      </c>
      <c r="B51" s="423"/>
      <c r="C51" s="180"/>
      <c r="D51" s="155" t="s">
        <v>5</v>
      </c>
      <c r="E51" s="149">
        <v>3</v>
      </c>
      <c r="F51" s="458" t="s">
        <v>249</v>
      </c>
      <c r="G51" s="459"/>
      <c r="H51" s="459"/>
      <c r="I51" s="459"/>
      <c r="J51" s="459"/>
      <c r="K51" s="460"/>
      <c r="L51" s="362"/>
    </row>
    <row r="52" spans="1:19" s="111" customFormat="1" ht="34.5" customHeight="1" x14ac:dyDescent="0.3">
      <c r="A52" s="423" t="s">
        <v>137</v>
      </c>
      <c r="B52" s="423"/>
      <c r="C52" s="180"/>
      <c r="D52" s="155" t="s">
        <v>40</v>
      </c>
      <c r="E52" s="149">
        <v>2</v>
      </c>
      <c r="F52" s="455" t="s">
        <v>250</v>
      </c>
      <c r="G52" s="456"/>
      <c r="H52" s="456"/>
      <c r="I52" s="456"/>
      <c r="J52" s="456"/>
      <c r="K52" s="457"/>
      <c r="L52" s="362"/>
    </row>
    <row r="53" spans="1:19" s="111" customFormat="1" ht="32" customHeight="1" x14ac:dyDescent="0.3">
      <c r="A53" s="414" t="s">
        <v>140</v>
      </c>
      <c r="B53" s="414"/>
      <c r="C53" s="27"/>
      <c r="D53" s="155" t="s">
        <v>5</v>
      </c>
      <c r="E53" s="149">
        <v>2</v>
      </c>
      <c r="F53" s="461" t="s">
        <v>272</v>
      </c>
      <c r="G53" s="462"/>
      <c r="H53" s="462"/>
      <c r="I53" s="462"/>
      <c r="J53" s="462"/>
      <c r="K53" s="463"/>
      <c r="L53" s="362"/>
    </row>
    <row r="54" spans="1:19" s="111" customFormat="1" ht="21" customHeight="1" x14ac:dyDescent="0.3">
      <c r="A54" s="423" t="s">
        <v>143</v>
      </c>
      <c r="B54" s="423"/>
      <c r="C54" s="180"/>
      <c r="D54" s="37" t="s">
        <v>5</v>
      </c>
      <c r="E54" s="158">
        <v>2</v>
      </c>
      <c r="F54" s="455" t="s">
        <v>273</v>
      </c>
      <c r="G54" s="419"/>
      <c r="H54" s="456"/>
      <c r="I54" s="456"/>
      <c r="J54" s="456"/>
      <c r="K54" s="457"/>
      <c r="L54" s="362"/>
    </row>
    <row r="55" spans="1:19" s="111" customFormat="1" ht="34.5" customHeight="1" thickBot="1" x14ac:dyDescent="0.35">
      <c r="A55" s="414" t="s">
        <v>144</v>
      </c>
      <c r="B55" s="414"/>
      <c r="C55" s="27"/>
      <c r="D55" s="155" t="s">
        <v>5</v>
      </c>
      <c r="E55" s="150">
        <v>2</v>
      </c>
      <c r="F55" s="456" t="s">
        <v>274</v>
      </c>
      <c r="G55" s="456"/>
      <c r="H55" s="456"/>
      <c r="I55" s="456"/>
      <c r="J55" s="419"/>
      <c r="K55" s="456"/>
      <c r="L55" s="362"/>
    </row>
    <row r="56" spans="1:19" s="92" customFormat="1" ht="28.5" customHeight="1" thickBot="1" x14ac:dyDescent="0.3">
      <c r="A56" s="474"/>
      <c r="B56" s="475"/>
      <c r="C56" s="25" t="s">
        <v>22</v>
      </c>
      <c r="D56" s="16" t="str">
        <f>IF(E56&lt;1.5,"Not at all",IF(E56&lt;2.5,"Moderate",IF(E56&lt;3.5,"Substantial",IF(E56&lt;4.5,"High","n/a"))))</f>
        <v>Moderate</v>
      </c>
      <c r="E56" s="132">
        <f>IF(COUNT(E51:E55)=0,"n/a",AVERAGE(E51:E55))</f>
        <v>2.2000000000000002</v>
      </c>
      <c r="F56" s="17">
        <f>E56</f>
        <v>2.2000000000000002</v>
      </c>
      <c r="G56" s="203"/>
      <c r="H56" s="18" t="s">
        <v>21</v>
      </c>
      <c r="I56" s="15" t="str">
        <f>D56</f>
        <v>Moderate</v>
      </c>
      <c r="J56" s="19">
        <f>IF(I56=$N$7,"n/a",IF(AND(I56=$N$5,D56=$N$6),1.5,IF(AND(I56=$N$4,D56=$N$5),2.5,IF(AND(I56=$N$3,D56=$N$4),3.5,IF(AND(I56=$N$6,D56=$N$5),1.49,IF(AND(I56=$N$5,D56=$N$4),2.49,IF(AND(I56=$N$4,D56=$N$3),3.49,E56)))))))</f>
        <v>2.2000000000000002</v>
      </c>
      <c r="K56" s="76" t="s">
        <v>87</v>
      </c>
      <c r="L56" s="358"/>
    </row>
    <row r="57" spans="1:19" s="92" customFormat="1" ht="19.5" customHeight="1" thickBot="1" x14ac:dyDescent="0.3">
      <c r="A57" s="126" t="s">
        <v>145</v>
      </c>
      <c r="B57" s="133"/>
      <c r="C57" s="181"/>
      <c r="D57" s="134"/>
      <c r="E57" s="134"/>
      <c r="F57" s="134"/>
      <c r="G57" s="134"/>
      <c r="H57" s="134"/>
      <c r="I57" s="134"/>
      <c r="J57" s="134"/>
      <c r="K57" s="134"/>
      <c r="L57" s="358"/>
    </row>
    <row r="58" spans="1:19" s="111" customFormat="1" ht="32.25" customHeight="1" x14ac:dyDescent="0.3">
      <c r="A58" s="414" t="s">
        <v>36</v>
      </c>
      <c r="B58" s="414"/>
      <c r="C58" s="27"/>
      <c r="D58" s="153" t="s">
        <v>40</v>
      </c>
      <c r="E58" s="158">
        <v>2</v>
      </c>
      <c r="F58" s="468" t="s">
        <v>275</v>
      </c>
      <c r="G58" s="469"/>
      <c r="H58" s="469"/>
      <c r="I58" s="469"/>
      <c r="J58" s="469"/>
      <c r="K58" s="470"/>
      <c r="L58" s="362"/>
    </row>
    <row r="59" spans="1:19" s="111" customFormat="1" ht="32.25" customHeight="1" x14ac:dyDescent="0.3">
      <c r="A59" s="414" t="s">
        <v>33</v>
      </c>
      <c r="B59" s="414"/>
      <c r="C59" s="27"/>
      <c r="D59" s="37" t="s">
        <v>5</v>
      </c>
      <c r="E59" s="105">
        <v>2</v>
      </c>
      <c r="F59" s="455" t="s">
        <v>276</v>
      </c>
      <c r="G59" s="456"/>
      <c r="H59" s="456"/>
      <c r="I59" s="456"/>
      <c r="J59" s="456"/>
      <c r="K59" s="457"/>
      <c r="L59" s="362"/>
    </row>
    <row r="60" spans="1:19" s="111" customFormat="1" ht="48.75" customHeight="1" x14ac:dyDescent="0.3">
      <c r="A60" s="414" t="s">
        <v>34</v>
      </c>
      <c r="B60" s="414"/>
      <c r="C60" s="27"/>
      <c r="D60" s="37" t="s">
        <v>5</v>
      </c>
      <c r="E60" s="105">
        <v>2</v>
      </c>
      <c r="F60" s="455" t="s">
        <v>277</v>
      </c>
      <c r="G60" s="456"/>
      <c r="H60" s="456"/>
      <c r="I60" s="456"/>
      <c r="J60" s="456"/>
      <c r="K60" s="457"/>
      <c r="L60" s="366"/>
    </row>
    <row r="61" spans="1:19" s="111" customFormat="1" ht="21" customHeight="1" thickBot="1" x14ac:dyDescent="0.35">
      <c r="A61" s="423" t="s">
        <v>35</v>
      </c>
      <c r="B61" s="423"/>
      <c r="C61" s="180"/>
      <c r="D61" s="163" t="s">
        <v>40</v>
      </c>
      <c r="E61" s="162">
        <v>2</v>
      </c>
      <c r="F61" s="403" t="s">
        <v>278</v>
      </c>
      <c r="G61" s="404"/>
      <c r="H61" s="404"/>
      <c r="I61" s="404"/>
      <c r="J61" s="404"/>
      <c r="K61" s="405"/>
      <c r="L61" s="362"/>
    </row>
    <row r="62" spans="1:19" s="92" customFormat="1" ht="28.5" customHeight="1" thickBot="1" x14ac:dyDescent="0.3">
      <c r="A62" s="424"/>
      <c r="B62" s="425"/>
      <c r="C62" s="25" t="s">
        <v>22</v>
      </c>
      <c r="D62" s="16" t="str">
        <f>IF(E62&lt;1.5,"Not at all",IF(E62&lt;2.5,"Moderate",IF(E62&lt;3.5,"Substantial",IF(E62&lt;4.5,"High","n/a"))))</f>
        <v>Moderate</v>
      </c>
      <c r="E62" s="132">
        <f>IF(COUNT(E58:E61)=0,"n/a",AVERAGE(E58:E61))</f>
        <v>2</v>
      </c>
      <c r="F62" s="38">
        <f>E62</f>
        <v>2</v>
      </c>
      <c r="G62" s="107"/>
      <c r="H62" s="39" t="s">
        <v>21</v>
      </c>
      <c r="I62" s="307" t="str">
        <f>D62</f>
        <v>Moderate</v>
      </c>
      <c r="J62" s="78">
        <f>IF(I62=$N$7,"n/a",IF(AND(I62=$N$5,D62=$N$6),1.5,IF(AND(I62=$N$4,D62=$N$5),2.5,IF(AND(I62=$N$3,D62=$N$4),3.5,IF(AND(I62=$N$6,D62=$N$5),1.49,IF(AND(I62=$N$5,D62=$N$4),2.49,IF(AND(I62=$N$4,D62=$N$3),3.49,E62)))))))</f>
        <v>2</v>
      </c>
      <c r="K62" s="308" t="s">
        <v>87</v>
      </c>
      <c r="L62" s="358"/>
    </row>
    <row r="63" spans="1:19" s="92" customFormat="1" ht="21.75" customHeight="1" x14ac:dyDescent="0.25">
      <c r="A63" s="185" t="s">
        <v>146</v>
      </c>
      <c r="B63" s="125"/>
      <c r="C63" s="133"/>
      <c r="D63" s="125"/>
      <c r="E63" s="181"/>
      <c r="F63" s="181"/>
      <c r="G63" s="181"/>
      <c r="H63" s="181"/>
      <c r="I63" s="181"/>
      <c r="J63" s="181"/>
      <c r="K63" s="184"/>
      <c r="L63" s="358"/>
    </row>
    <row r="64" spans="1:19" s="135" customFormat="1" ht="47.25" customHeight="1" x14ac:dyDescent="0.25">
      <c r="A64" s="410" t="s">
        <v>147</v>
      </c>
      <c r="B64" s="411"/>
      <c r="C64" s="27"/>
      <c r="D64" s="182" t="s">
        <v>40</v>
      </c>
      <c r="E64" s="183">
        <v>2</v>
      </c>
      <c r="F64" s="402" t="s">
        <v>279</v>
      </c>
      <c r="G64" s="402"/>
      <c r="H64" s="402"/>
      <c r="I64" s="402"/>
      <c r="J64" s="402"/>
      <c r="K64" s="402"/>
      <c r="L64" s="367"/>
      <c r="S64" s="136"/>
    </row>
    <row r="65" spans="1:19" s="135" customFormat="1" ht="48.75" customHeight="1" thickBot="1" x14ac:dyDescent="0.3">
      <c r="A65" s="415" t="s">
        <v>148</v>
      </c>
      <c r="B65" s="416"/>
      <c r="C65" s="178"/>
      <c r="D65" s="152" t="s">
        <v>40</v>
      </c>
      <c r="E65" s="150">
        <v>2</v>
      </c>
      <c r="F65" s="403" t="s">
        <v>280</v>
      </c>
      <c r="G65" s="404"/>
      <c r="H65" s="404"/>
      <c r="I65" s="404"/>
      <c r="J65" s="404"/>
      <c r="K65" s="405"/>
      <c r="L65" s="367"/>
      <c r="S65" s="136"/>
    </row>
    <row r="66" spans="1:19" s="135" customFormat="1" ht="30" customHeight="1" thickBot="1" x14ac:dyDescent="0.3">
      <c r="A66" s="412"/>
      <c r="B66" s="413"/>
      <c r="C66" s="25" t="s">
        <v>22</v>
      </c>
      <c r="D66" s="16" t="str">
        <f>IF(E66&lt;1.5,"Not at all",IF(E66&lt;2.5,"Moderate",IF(E66&lt;3.5,"Substantial",IF(E66&lt;4.5,"High","n/a"))))</f>
        <v>Moderate</v>
      </c>
      <c r="E66" s="132">
        <f>IF(COUNT(E64:E65)=0,"n/a",AVERAGE(E64:E65))</f>
        <v>2</v>
      </c>
      <c r="F66" s="38">
        <f>E66</f>
        <v>2</v>
      </c>
      <c r="G66" s="203"/>
      <c r="H66" s="39" t="s">
        <v>21</v>
      </c>
      <c r="I66" s="307" t="str">
        <f>D66</f>
        <v>Moderate</v>
      </c>
      <c r="J66" s="78">
        <f>IF(I66=$N$7,"n/a",IF(AND(I66=$N$5,D66=$N$6),1.5,IF(AND(I66=$N$4,D66=$N$5),2.5,IF(AND(I66=$N$3,D66=$N$4),3.5,IF(AND(I66=$N$6,D66=$N$5),1.49,IF(AND(I66=$N$5,D66=$N$4),2.49,IF(AND(I66=$N$4,D66=$N$3),3.49,E66)))))))</f>
        <v>2</v>
      </c>
      <c r="K66" s="309" t="s">
        <v>87</v>
      </c>
      <c r="L66" s="368"/>
      <c r="S66" s="136"/>
    </row>
    <row r="67" spans="1:19" s="139" customFormat="1" ht="24.75" customHeight="1" thickBot="1" x14ac:dyDescent="0.3">
      <c r="A67" s="137" t="s">
        <v>214</v>
      </c>
      <c r="B67" s="138"/>
      <c r="C67" s="195"/>
      <c r="D67" s="195"/>
      <c r="E67" s="195"/>
      <c r="F67" s="195"/>
      <c r="G67" s="195"/>
      <c r="H67" s="195"/>
      <c r="I67" s="195"/>
      <c r="J67" s="195"/>
      <c r="K67" s="196"/>
      <c r="L67" s="360" t="s">
        <v>92</v>
      </c>
      <c r="Q67" s="140"/>
    </row>
    <row r="68" spans="1:19" s="139" customFormat="1" ht="23.25" customHeight="1" x14ac:dyDescent="0.25">
      <c r="A68" s="189" t="s">
        <v>207</v>
      </c>
      <c r="B68" s="190"/>
      <c r="C68" s="192"/>
      <c r="D68" s="193"/>
      <c r="E68" s="193"/>
      <c r="F68" s="193"/>
      <c r="G68" s="193"/>
      <c r="H68" s="193"/>
      <c r="I68" s="193"/>
      <c r="J68" s="193"/>
      <c r="K68" s="194"/>
      <c r="L68" s="367"/>
    </row>
    <row r="69" spans="1:19" s="139" customFormat="1" ht="74.5" customHeight="1" x14ac:dyDescent="0.25">
      <c r="A69" s="437" t="s">
        <v>49</v>
      </c>
      <c r="B69" s="510"/>
      <c r="C69" s="211"/>
      <c r="D69" s="212" t="s">
        <v>5</v>
      </c>
      <c r="E69" s="105">
        <v>3</v>
      </c>
      <c r="F69" s="432" t="s">
        <v>281</v>
      </c>
      <c r="G69" s="432"/>
      <c r="H69" s="432"/>
      <c r="I69" s="432"/>
      <c r="J69" s="432"/>
      <c r="K69" s="432"/>
      <c r="L69" s="360" t="s">
        <v>92</v>
      </c>
    </row>
    <row r="70" spans="1:19" s="139" customFormat="1" ht="33.75" customHeight="1" thickBot="1" x14ac:dyDescent="0.3">
      <c r="A70" s="417" t="s">
        <v>50</v>
      </c>
      <c r="B70" s="418"/>
      <c r="C70" s="213"/>
      <c r="D70" s="152" t="s">
        <v>40</v>
      </c>
      <c r="E70" s="162">
        <v>2</v>
      </c>
      <c r="F70" s="426" t="s">
        <v>282</v>
      </c>
      <c r="G70" s="427"/>
      <c r="H70" s="426"/>
      <c r="I70" s="426"/>
      <c r="J70" s="427"/>
      <c r="K70" s="426"/>
      <c r="L70" s="360" t="s">
        <v>92</v>
      </c>
    </row>
    <row r="71" spans="1:19" s="139" customFormat="1" ht="27" customHeight="1" thickBot="1" x14ac:dyDescent="0.3">
      <c r="A71" s="421"/>
      <c r="B71" s="422"/>
      <c r="C71" s="199" t="s">
        <v>22</v>
      </c>
      <c r="D71" s="35" t="str">
        <f>IF(E71&lt;1.5,"Not at all",IF(E71&lt;2.5,"Moderate",IF(E71&lt;3.5,"Substantial",IF(E71&lt;4.5,"High","n/a"))))</f>
        <v>Substantial</v>
      </c>
      <c r="E71" s="132">
        <f>IF(COUNT(E69:E70)=0,"n/a",AVERAGE(E69:E70))</f>
        <v>2.5</v>
      </c>
      <c r="F71" s="17">
        <f>E71</f>
        <v>2.5</v>
      </c>
      <c r="G71" s="203"/>
      <c r="H71" s="18" t="s">
        <v>21</v>
      </c>
      <c r="I71" s="15" t="str">
        <f>D71</f>
        <v>Substantial</v>
      </c>
      <c r="J71" s="19">
        <f>IF(I71=$N$7,"n/a",IF(AND(I71=$N$5,D71=$N$6),1.5,IF(AND(I71=$N$4,D71=$N$5),2.5,IF(AND(I71=$N$3,D71=$N$4),3.5,IF(AND(I71=$N$6,D71=$N$5),1.49,IF(AND(I71=$N$5,D71=$N$4),2.49,IF(AND(I71=$N$4,D71=$N$3),3.49,E71)))))))</f>
        <v>2.5</v>
      </c>
      <c r="K71" s="168" t="s">
        <v>87</v>
      </c>
      <c r="L71" s="367"/>
    </row>
    <row r="72" spans="1:19" s="139" customFormat="1" ht="20.25" customHeight="1" x14ac:dyDescent="0.25">
      <c r="A72" s="295" t="s">
        <v>41</v>
      </c>
      <c r="B72" s="192"/>
      <c r="C72" s="193"/>
      <c r="D72" s="186"/>
      <c r="E72" s="187"/>
      <c r="F72" s="193"/>
      <c r="G72" s="193"/>
      <c r="H72" s="193"/>
      <c r="I72" s="193"/>
      <c r="J72" s="193"/>
      <c r="K72" s="194"/>
      <c r="L72" s="367"/>
    </row>
    <row r="73" spans="1:19" s="139" customFormat="1" ht="36" customHeight="1" x14ac:dyDescent="0.25">
      <c r="A73" s="406" t="s">
        <v>71</v>
      </c>
      <c r="B73" s="407"/>
      <c r="C73" s="214"/>
      <c r="D73" s="155" t="s">
        <v>5</v>
      </c>
      <c r="E73" s="105">
        <v>2</v>
      </c>
      <c r="F73" s="515" t="s">
        <v>283</v>
      </c>
      <c r="G73" s="426"/>
      <c r="H73" s="426"/>
      <c r="I73" s="426"/>
      <c r="J73" s="426"/>
      <c r="K73" s="516"/>
      <c r="L73" s="360"/>
    </row>
    <row r="74" spans="1:19" s="139" customFormat="1" ht="33.75" customHeight="1" thickBot="1" x14ac:dyDescent="0.3">
      <c r="A74" s="417" t="s">
        <v>54</v>
      </c>
      <c r="B74" s="418"/>
      <c r="C74" s="215"/>
      <c r="D74" s="154" t="s">
        <v>76</v>
      </c>
      <c r="E74" s="162">
        <v>1</v>
      </c>
      <c r="F74" s="507" t="s">
        <v>284</v>
      </c>
      <c r="G74" s="508"/>
      <c r="H74" s="508"/>
      <c r="I74" s="508"/>
      <c r="J74" s="508"/>
      <c r="K74" s="528"/>
      <c r="L74" s="360" t="s">
        <v>92</v>
      </c>
    </row>
    <row r="75" spans="1:19" s="139" customFormat="1" ht="25.5" customHeight="1" thickBot="1" x14ac:dyDescent="0.3">
      <c r="A75" s="433"/>
      <c r="B75" s="434"/>
      <c r="C75" s="34" t="s">
        <v>22</v>
      </c>
      <c r="D75" s="16" t="str">
        <f>IF(E75&lt;1.5,"Not at all",IF(E75&lt;2.5,"Moderate",IF(E75&lt;3.5,"Substantial",IF(E75&lt;4.5,"High","n/a"))))</f>
        <v>Moderate</v>
      </c>
      <c r="E75" s="132">
        <f>IF(COUNT(E73:E74)=0,"n/a",AVERAGE(E73:E74))</f>
        <v>1.5</v>
      </c>
      <c r="F75" s="38">
        <f>E75</f>
        <v>1.5</v>
      </c>
      <c r="G75" s="203"/>
      <c r="H75" s="39" t="s">
        <v>21</v>
      </c>
      <c r="I75" s="307" t="str">
        <f>D75</f>
        <v>Moderate</v>
      </c>
      <c r="J75" s="78">
        <f>IF(I75=$N$7,"n/a",IF(AND(I75=$N$5,D75=$N$6),1.5,IF(AND(I75=$N$4,D75=$N$5),2.5,IF(AND(I75=$N$3,D75=$N$4),3.5,IF(AND(I75=$N$6,D75=$N$5),1.49,IF(AND(I75=$N$5,D75=$N$4),2.49,IF(AND(I75=$N$4,D75=$N$3),3.49,E75)))))))</f>
        <v>1.5</v>
      </c>
      <c r="K75" s="79" t="s">
        <v>87</v>
      </c>
      <c r="L75" s="367"/>
    </row>
    <row r="76" spans="1:19" s="139" customFormat="1" ht="21" customHeight="1" x14ac:dyDescent="0.25">
      <c r="A76" s="189" t="s">
        <v>51</v>
      </c>
      <c r="B76" s="190"/>
      <c r="C76" s="186"/>
      <c r="D76" s="186"/>
      <c r="E76" s="186"/>
      <c r="F76" s="186"/>
      <c r="G76" s="186"/>
      <c r="H76" s="186"/>
      <c r="I76" s="186"/>
      <c r="J76" s="186"/>
      <c r="K76" s="188"/>
      <c r="L76" s="367"/>
    </row>
    <row r="77" spans="1:19" s="139" customFormat="1" ht="35.25" customHeight="1" x14ac:dyDescent="0.25">
      <c r="A77" s="437" t="s">
        <v>52</v>
      </c>
      <c r="B77" s="510"/>
      <c r="C77" s="216"/>
      <c r="D77" s="155" t="s">
        <v>40</v>
      </c>
      <c r="E77" s="105">
        <v>2</v>
      </c>
      <c r="F77" s="432" t="s">
        <v>286</v>
      </c>
      <c r="G77" s="432"/>
      <c r="H77" s="432"/>
      <c r="I77" s="432"/>
      <c r="J77" s="432"/>
      <c r="K77" s="432"/>
      <c r="L77" s="367"/>
    </row>
    <row r="78" spans="1:19" s="139" customFormat="1" ht="45.5" customHeight="1" x14ac:dyDescent="0.25">
      <c r="A78" s="437" t="s">
        <v>53</v>
      </c>
      <c r="B78" s="438"/>
      <c r="C78" s="214"/>
      <c r="D78" s="37" t="s">
        <v>40</v>
      </c>
      <c r="E78" s="105">
        <v>2</v>
      </c>
      <c r="F78" s="426" t="s">
        <v>285</v>
      </c>
      <c r="G78" s="426"/>
      <c r="H78" s="426"/>
      <c r="I78" s="426"/>
      <c r="J78" s="426"/>
      <c r="K78" s="426"/>
      <c r="L78" s="360" t="s">
        <v>92</v>
      </c>
    </row>
    <row r="79" spans="1:19" s="139" customFormat="1" ht="33.5" customHeight="1" thickBot="1" x14ac:dyDescent="0.3">
      <c r="A79" s="437" t="s">
        <v>72</v>
      </c>
      <c r="B79" s="438"/>
      <c r="C79" s="217"/>
      <c r="D79" s="154" t="s">
        <v>40</v>
      </c>
      <c r="E79" s="162">
        <v>2</v>
      </c>
      <c r="F79" s="426" t="s">
        <v>287</v>
      </c>
      <c r="G79" s="427"/>
      <c r="H79" s="426"/>
      <c r="I79" s="426"/>
      <c r="J79" s="427"/>
      <c r="K79" s="426"/>
      <c r="L79" s="360" t="s">
        <v>92</v>
      </c>
    </row>
    <row r="80" spans="1:19" s="139" customFormat="1" ht="27.75" customHeight="1" thickBot="1" x14ac:dyDescent="0.3">
      <c r="A80" s="433"/>
      <c r="B80" s="434"/>
      <c r="C80" s="34" t="s">
        <v>22</v>
      </c>
      <c r="D80" s="16" t="str">
        <f>IF(E80&lt;1.5,"Not at all",IF(E80&lt;2.5,"Moderate",IF(E80&lt;3.5,"Substantial",IF(E80&lt;4.5,"High","n/a"))))</f>
        <v>Moderate</v>
      </c>
      <c r="E80" s="132">
        <f>IF(COUNT(E77:E79)=0,"n/a",AVERAGE(E77:E79))</f>
        <v>2</v>
      </c>
      <c r="F80" s="17">
        <f>E80</f>
        <v>2</v>
      </c>
      <c r="G80" s="203"/>
      <c r="H80" s="18" t="s">
        <v>21</v>
      </c>
      <c r="I80" s="15" t="str">
        <f>D80</f>
        <v>Moderate</v>
      </c>
      <c r="J80" s="19">
        <f>IF(I80=$N$7,"n/a",IF(AND(I80=$N$5,D80=$N$6),1.5,IF(AND(I80=$N$4,D80=$N$5),2.5,IF(AND(I80=$N$3,D80=$N$4),3.5,IF(AND(I80=$N$6,D80=$N$5),1.49,IF(AND(I80=$N$5,D80=$N$4),2.49,IF(AND(I80=$N$4,D80=$N$3),3.49,E80)))))))</f>
        <v>2</v>
      </c>
      <c r="K80" s="76" t="s">
        <v>87</v>
      </c>
      <c r="L80" s="367"/>
    </row>
    <row r="81" spans="1:17" s="139" customFormat="1" ht="21" customHeight="1" x14ac:dyDescent="0.25">
      <c r="A81" s="191" t="s">
        <v>55</v>
      </c>
      <c r="B81" s="186"/>
      <c r="C81" s="186"/>
      <c r="D81" s="186"/>
      <c r="E81" s="186"/>
      <c r="F81" s="186"/>
      <c r="G81" s="186"/>
      <c r="H81" s="186"/>
      <c r="I81" s="186"/>
      <c r="J81" s="186"/>
      <c r="K81" s="188"/>
      <c r="L81" s="367"/>
    </row>
    <row r="82" spans="1:17" s="139" customFormat="1" ht="34.5" customHeight="1" x14ac:dyDescent="0.25">
      <c r="A82" s="437" t="s">
        <v>74</v>
      </c>
      <c r="B82" s="510"/>
      <c r="C82" s="216"/>
      <c r="D82" s="155" t="s">
        <v>40</v>
      </c>
      <c r="E82" s="105">
        <v>2</v>
      </c>
      <c r="F82" s="432" t="s">
        <v>289</v>
      </c>
      <c r="G82" s="432"/>
      <c r="H82" s="432"/>
      <c r="I82" s="432"/>
      <c r="J82" s="432"/>
      <c r="K82" s="432"/>
      <c r="L82" s="367"/>
    </row>
    <row r="83" spans="1:17" s="139" customFormat="1" ht="49.5" customHeight="1" thickBot="1" x14ac:dyDescent="0.3">
      <c r="A83" s="417" t="s">
        <v>75</v>
      </c>
      <c r="B83" s="418"/>
      <c r="C83" s="217"/>
      <c r="D83" s="154" t="s">
        <v>76</v>
      </c>
      <c r="E83" s="162">
        <v>1</v>
      </c>
      <c r="F83" s="507" t="s">
        <v>288</v>
      </c>
      <c r="G83" s="508"/>
      <c r="H83" s="508"/>
      <c r="I83" s="508"/>
      <c r="J83" s="508"/>
      <c r="K83" s="509"/>
      <c r="L83" s="360" t="s">
        <v>92</v>
      </c>
      <c r="Q83" s="141"/>
    </row>
    <row r="84" spans="1:17" s="139" customFormat="1" ht="26.25" customHeight="1" thickBot="1" x14ac:dyDescent="0.3">
      <c r="A84" s="197"/>
      <c r="B84" s="198"/>
      <c r="C84" s="199" t="s">
        <v>22</v>
      </c>
      <c r="D84" s="16" t="str">
        <f>IF(E84&lt;1.5,"Not at all",IF(E84&lt;2.5,"Moderate",IF(E84&lt;3.5,"Substantial",IF(E84&lt;4.5,"High","n/a"))))</f>
        <v>Moderate</v>
      </c>
      <c r="E84" s="132">
        <f>IF(COUNT(E82:E83)=0,"n/a",AVERAGE(E82:E83))</f>
        <v>1.5</v>
      </c>
      <c r="F84" s="38">
        <f>E84</f>
        <v>1.5</v>
      </c>
      <c r="G84" s="204"/>
      <c r="H84" s="306" t="s">
        <v>21</v>
      </c>
      <c r="I84" s="307" t="str">
        <f>D84</f>
        <v>Moderate</v>
      </c>
      <c r="J84" s="78">
        <f>IF(I84=$N$7,"n/a",IF(AND(I84=$N$5,D84=$N$6),1.5,IF(AND(I84=$N$4,D84=$N$5),2.5,IF(AND(I84=$N$3,D84=$N$4),3.5,IF(AND(I84=$N$6,D84=$N$5),1.49,IF(AND(I84=$N$5,D84=$N$4),2.49,IF(AND(I84=$N$4,D84=$N$3),3.49,E84)))))))</f>
        <v>1.5</v>
      </c>
      <c r="K84" s="308" t="s">
        <v>87</v>
      </c>
      <c r="L84" s="367"/>
      <c r="Q84" s="142"/>
    </row>
    <row r="85" spans="1:17" s="139" customFormat="1" ht="26.25" customHeight="1" thickBot="1" x14ac:dyDescent="0.3">
      <c r="A85" s="273" t="s">
        <v>215</v>
      </c>
      <c r="B85" s="272"/>
      <c r="C85" s="272"/>
      <c r="D85" s="272"/>
      <c r="E85" s="272"/>
      <c r="F85" s="272"/>
      <c r="G85" s="272"/>
      <c r="H85" s="272"/>
      <c r="I85" s="272"/>
      <c r="J85" s="272"/>
      <c r="K85" s="272"/>
      <c r="L85" s="367"/>
      <c r="Q85" s="142"/>
    </row>
    <row r="86" spans="1:17" s="139" customFormat="1" ht="21.75" customHeight="1" x14ac:dyDescent="0.25">
      <c r="A86" s="376" t="s">
        <v>171</v>
      </c>
      <c r="B86" s="274"/>
      <c r="C86" s="274"/>
      <c r="D86" s="274"/>
      <c r="E86" s="274"/>
      <c r="F86" s="274"/>
      <c r="G86" s="274"/>
      <c r="H86" s="274"/>
      <c r="I86" s="274"/>
      <c r="J86" s="274"/>
      <c r="K86" s="275"/>
      <c r="L86" s="367"/>
      <c r="Q86" s="142"/>
    </row>
    <row r="87" spans="1:17" s="139" customFormat="1" ht="58.25" customHeight="1" x14ac:dyDescent="0.25">
      <c r="A87" s="445" t="s">
        <v>149</v>
      </c>
      <c r="B87" s="446"/>
      <c r="C87" s="276"/>
      <c r="D87" s="212" t="s">
        <v>40</v>
      </c>
      <c r="E87" s="200">
        <v>2</v>
      </c>
      <c r="F87" s="432" t="s">
        <v>290</v>
      </c>
      <c r="G87" s="432"/>
      <c r="H87" s="432"/>
      <c r="I87" s="432"/>
      <c r="J87" s="432"/>
      <c r="K87" s="432"/>
      <c r="L87" s="367"/>
      <c r="Q87" s="142"/>
    </row>
    <row r="88" spans="1:17" s="139" customFormat="1" ht="33.75" customHeight="1" x14ac:dyDescent="0.25">
      <c r="A88" s="445" t="s">
        <v>150</v>
      </c>
      <c r="B88" s="446"/>
      <c r="C88" s="276"/>
      <c r="D88" s="212" t="s">
        <v>40</v>
      </c>
      <c r="E88" s="200">
        <f>IF(D88=$N$6,1,IF(D88=$N$5,2,IF(D88=$N$4,3,IF(D88=$N$3,4,"n/a"))))</f>
        <v>2</v>
      </c>
      <c r="F88" s="432" t="s">
        <v>291</v>
      </c>
      <c r="G88" s="432"/>
      <c r="H88" s="432"/>
      <c r="I88" s="432"/>
      <c r="J88" s="432"/>
      <c r="K88" s="432"/>
      <c r="L88" s="360" t="s">
        <v>92</v>
      </c>
      <c r="Q88" s="142"/>
    </row>
    <row r="89" spans="1:17" s="139" customFormat="1" ht="30.75" customHeight="1" x14ac:dyDescent="0.25">
      <c r="A89" s="445" t="s">
        <v>151</v>
      </c>
      <c r="B89" s="446"/>
      <c r="C89" s="276"/>
      <c r="D89" s="212" t="s">
        <v>40</v>
      </c>
      <c r="E89" s="200">
        <f>IF(D89=$N$6,1,IF(D89=$N$5,2,IF(D89=$N$4,3,IF(D89=$N$3,4,"n/a"))))</f>
        <v>2</v>
      </c>
      <c r="F89" s="432" t="s">
        <v>292</v>
      </c>
      <c r="G89" s="432"/>
      <c r="H89" s="432"/>
      <c r="I89" s="432"/>
      <c r="J89" s="432"/>
      <c r="K89" s="432"/>
      <c r="L89" s="367"/>
      <c r="Q89" s="142"/>
    </row>
    <row r="90" spans="1:17" s="139" customFormat="1" ht="45.75" customHeight="1" thickBot="1" x14ac:dyDescent="0.3">
      <c r="A90" s="445" t="s">
        <v>172</v>
      </c>
      <c r="B90" s="446"/>
      <c r="C90" s="276"/>
      <c r="D90" s="212" t="s">
        <v>40</v>
      </c>
      <c r="E90" s="200">
        <f>IF(D90=$N$6,1,IF(D90=$N$5,2,IF(D90=$N$4,3,IF(D90=$N$3,4,"n/a"))))</f>
        <v>2</v>
      </c>
      <c r="F90" s="432" t="s">
        <v>293</v>
      </c>
      <c r="G90" s="432"/>
      <c r="H90" s="432"/>
      <c r="I90" s="432"/>
      <c r="J90" s="447"/>
      <c r="K90" s="432"/>
      <c r="L90" s="367"/>
      <c r="Q90" s="142"/>
    </row>
    <row r="91" spans="1:17" s="139" customFormat="1" ht="26.25" customHeight="1" thickBot="1" x14ac:dyDescent="0.3">
      <c r="A91" s="450"/>
      <c r="B91" s="451"/>
      <c r="C91" s="277" t="s">
        <v>22</v>
      </c>
      <c r="D91" s="16" t="str">
        <f>IF(E91&lt;1.5,"Not at all",IF(E91&lt;2.5,"Moderate",IF(E91&lt;3.5,"Substantial",IF(E91&lt;4.5,"High","n/a"))))</f>
        <v>Moderate</v>
      </c>
      <c r="E91" s="132">
        <f>IF(COUNT(E87:E90)=0,"n/a",AVERAGE(E87:E90))</f>
        <v>2</v>
      </c>
      <c r="F91" s="17">
        <f>E91</f>
        <v>2</v>
      </c>
      <c r="G91" s="204"/>
      <c r="H91" s="40" t="s">
        <v>21</v>
      </c>
      <c r="I91" s="15" t="str">
        <f>D91</f>
        <v>Moderate</v>
      </c>
      <c r="J91" s="19">
        <f>IF(I91=$N$7,"n/a",IF(AND(I91=$N$5,D91=$N$6),1.5,IF(AND(I91=$N$4,D91=$N$5),2.5,IF(AND(I91=$N$3,D91=$N$4),3.5,IF(AND(I91=$N$6,D91=$N$5),1.49,IF(AND(I91=$N$5,D91=$N$4),2.49,IF(AND(I91=$N$4,D91=$N$3),3.49,E91)))))))</f>
        <v>2</v>
      </c>
      <c r="K91" s="76" t="s">
        <v>87</v>
      </c>
      <c r="L91" s="367"/>
      <c r="Q91" s="142"/>
    </row>
    <row r="92" spans="1:17" s="139" customFormat="1" ht="21" customHeight="1" x14ac:dyDescent="0.25">
      <c r="A92" s="376" t="s">
        <v>162</v>
      </c>
      <c r="B92" s="274"/>
      <c r="C92" s="274"/>
      <c r="D92" s="274"/>
      <c r="E92" s="274"/>
      <c r="F92" s="274"/>
      <c r="G92" s="274"/>
      <c r="H92" s="274"/>
      <c r="I92" s="274"/>
      <c r="J92" s="274"/>
      <c r="K92" s="275"/>
      <c r="L92" s="367"/>
      <c r="Q92" s="142"/>
    </row>
    <row r="93" spans="1:17" s="139" customFormat="1" ht="47.25" customHeight="1" x14ac:dyDescent="0.25">
      <c r="A93" s="445" t="s">
        <v>163</v>
      </c>
      <c r="B93" s="446"/>
      <c r="C93" s="276"/>
      <c r="D93" s="155" t="s">
        <v>40</v>
      </c>
      <c r="E93" s="200">
        <f>IF(D93=$N$6,1,IF(D93=$N$5,2,IF(D93=$N$4,3,IF(D93=$N$3,4,"n/a"))))</f>
        <v>2</v>
      </c>
      <c r="F93" s="432" t="s">
        <v>294</v>
      </c>
      <c r="G93" s="432"/>
      <c r="H93" s="432"/>
      <c r="I93" s="432"/>
      <c r="J93" s="432"/>
      <c r="K93" s="432"/>
      <c r="L93" s="367"/>
      <c r="Q93" s="142"/>
    </row>
    <row r="94" spans="1:17" s="139" customFormat="1" ht="31.5" customHeight="1" thickBot="1" x14ac:dyDescent="0.3">
      <c r="A94" s="521" t="s">
        <v>174</v>
      </c>
      <c r="B94" s="522"/>
      <c r="C94" s="278"/>
      <c r="D94" s="154" t="s">
        <v>40</v>
      </c>
      <c r="E94" s="162">
        <f>IF(D94=$N$6,1,IF(D94=$N$5,2,IF(D94=$N$4,3,IF(D94=$N$3,4,"n/a"))))</f>
        <v>2</v>
      </c>
      <c r="F94" s="519" t="s">
        <v>295</v>
      </c>
      <c r="G94" s="520"/>
      <c r="H94" s="520"/>
      <c r="I94" s="520"/>
      <c r="J94" s="520"/>
      <c r="K94" s="518"/>
      <c r="L94" s="360" t="s">
        <v>92</v>
      </c>
      <c r="Q94" s="142"/>
    </row>
    <row r="95" spans="1:17" s="139" customFormat="1" ht="26.25" customHeight="1" thickBot="1" x14ac:dyDescent="0.3">
      <c r="A95" s="523"/>
      <c r="B95" s="524"/>
      <c r="C95" s="277" t="s">
        <v>22</v>
      </c>
      <c r="D95" s="16" t="str">
        <f>IF(E95&lt;1.5,"Not at all",IF(E95&lt;2.5,"Moderate",IF(E95&lt;3.5,"Substantial",IF(E95&lt;4.5,"High","n/a"))))</f>
        <v>Moderate</v>
      </c>
      <c r="E95" s="132">
        <f>IF(COUNT(E93:E94)=0,"n/a",AVERAGE(E93:E94))</f>
        <v>2</v>
      </c>
      <c r="F95" s="17">
        <f>E95</f>
        <v>2</v>
      </c>
      <c r="G95" s="203"/>
      <c r="H95" s="18" t="s">
        <v>21</v>
      </c>
      <c r="I95" s="15" t="str">
        <f>D95</f>
        <v>Moderate</v>
      </c>
      <c r="J95" s="19">
        <f>IF(I95=$N$7,"n/a",IF(AND(I95=$N$5,D95=$N$6),1.5,IF(AND(I95=$N$4,D95=$N$5),2.5,IF(AND(I95=$N$3,D95=$N$4),3.5,IF(AND(I95=$N$6,D95=$N$5),1.49,IF(AND(I95=$N$5,D95=$N$4),2.49,IF(AND(I95=$N$4,D95=$N$3),3.49,E95)))))))</f>
        <v>2</v>
      </c>
      <c r="K95" s="76" t="s">
        <v>87</v>
      </c>
      <c r="L95" s="367"/>
      <c r="Q95" s="142"/>
    </row>
    <row r="96" spans="1:17" s="139" customFormat="1" ht="21" customHeight="1" x14ac:dyDescent="0.25">
      <c r="A96" s="376" t="s">
        <v>153</v>
      </c>
      <c r="B96" s="274"/>
      <c r="C96" s="274"/>
      <c r="D96" s="274"/>
      <c r="E96" s="274"/>
      <c r="F96" s="274"/>
      <c r="G96" s="274"/>
      <c r="H96" s="274"/>
      <c r="I96" s="274"/>
      <c r="J96" s="274"/>
      <c r="K96" s="275"/>
      <c r="L96" s="367"/>
      <c r="Q96" s="142"/>
    </row>
    <row r="97" spans="1:17" s="139" customFormat="1" ht="33.75" customHeight="1" x14ac:dyDescent="0.25">
      <c r="A97" s="445" t="s">
        <v>154</v>
      </c>
      <c r="B97" s="446"/>
      <c r="C97" s="279"/>
      <c r="D97" s="155" t="s">
        <v>40</v>
      </c>
      <c r="E97" s="105">
        <f>IF(D97=$N$6,1,IF(D97=$N$5,2,IF(D97=$N$4,3,IF(D97=$N$3,4,"n/a"))))</f>
        <v>2</v>
      </c>
      <c r="F97" s="432" t="s">
        <v>296</v>
      </c>
      <c r="G97" s="432"/>
      <c r="H97" s="432"/>
      <c r="I97" s="432"/>
      <c r="J97" s="432"/>
      <c r="K97" s="432"/>
      <c r="L97" s="360" t="s">
        <v>92</v>
      </c>
      <c r="Q97" s="142"/>
    </row>
    <row r="98" spans="1:17" s="139" customFormat="1" ht="33" customHeight="1" x14ac:dyDescent="0.25">
      <c r="A98" s="521" t="s">
        <v>155</v>
      </c>
      <c r="B98" s="525"/>
      <c r="C98" s="279"/>
      <c r="D98" s="37" t="s">
        <v>40</v>
      </c>
      <c r="E98" s="105">
        <f>IF(D98=$N$6,1,IF(D98=$N$5,2,IF(D98=$N$4,3,IF(D98=$N$3,4,"n/a"))))</f>
        <v>2</v>
      </c>
      <c r="F98" s="515" t="s">
        <v>297</v>
      </c>
      <c r="G98" s="426"/>
      <c r="H98" s="426"/>
      <c r="I98" s="426"/>
      <c r="J98" s="426"/>
      <c r="K98" s="516"/>
      <c r="L98" s="360" t="s">
        <v>92</v>
      </c>
      <c r="P98" s="293"/>
      <c r="Q98" s="142"/>
    </row>
    <row r="99" spans="1:17" s="139" customFormat="1" ht="31.5" customHeight="1" thickBot="1" x14ac:dyDescent="0.3">
      <c r="A99" s="526" t="s">
        <v>156</v>
      </c>
      <c r="B99" s="527"/>
      <c r="C99" s="280"/>
      <c r="D99" s="270" t="s">
        <v>40</v>
      </c>
      <c r="E99" s="271">
        <f>IF(D99=$N$6,1,IF(D99=$N$5,2,IF(D99=$N$4,3,IF(D99=$N$3,4,"n/a"))))</f>
        <v>2</v>
      </c>
      <c r="F99" s="517" t="s">
        <v>298</v>
      </c>
      <c r="G99" s="427"/>
      <c r="H99" s="427"/>
      <c r="I99" s="427"/>
      <c r="J99" s="427"/>
      <c r="K99" s="518"/>
      <c r="L99" s="367"/>
      <c r="P99" s="293"/>
      <c r="Q99" s="142"/>
    </row>
    <row r="100" spans="1:17" s="139" customFormat="1" ht="26.25" customHeight="1" thickBot="1" x14ac:dyDescent="0.3">
      <c r="A100" s="513"/>
      <c r="B100" s="514"/>
      <c r="C100" s="277" t="s">
        <v>22</v>
      </c>
      <c r="D100" s="16" t="str">
        <f>IF(E100&lt;1.5,"Not at all",IF(E100&lt;2.5,"Moderate",IF(E100&lt;3.5,"Substantial",IF(E100&lt;4.5,"High","n/a"))))</f>
        <v>Moderate</v>
      </c>
      <c r="E100" s="132">
        <f>IF(COUNT(E97:E99)=0,"n/a",AVERAGE(E97:E99))</f>
        <v>2</v>
      </c>
      <c r="F100" s="17">
        <f>E100</f>
        <v>2</v>
      </c>
      <c r="G100" s="203"/>
      <c r="H100" s="18" t="s">
        <v>21</v>
      </c>
      <c r="I100" s="15" t="str">
        <f>D100</f>
        <v>Moderate</v>
      </c>
      <c r="J100" s="19">
        <f>IF(I100=$N$7,"n/a",IF(AND(I100=$N$5,D100=$N$6),1.5,IF(AND(I100=$N$4,D100=$N$5),2.5,IF(AND(I100=$N$3,D100=$N$4),3.5,IF(AND(I100=$N$6,D100=$N$5),1.49,IF(AND(I100=$N$5,D100=$N$4),2.49,IF(AND(I100=$N$4,D100=$N$3),3.49,E100)))))))</f>
        <v>2</v>
      </c>
      <c r="K100" s="76" t="s">
        <v>87</v>
      </c>
      <c r="L100" s="367"/>
      <c r="P100" s="293"/>
      <c r="Q100" s="142"/>
    </row>
    <row r="101" spans="1:17" s="139" customFormat="1" ht="23.25" customHeight="1" thickBot="1" x14ac:dyDescent="0.3">
      <c r="A101" s="143" t="s">
        <v>216</v>
      </c>
      <c r="B101" s="144"/>
      <c r="C101" s="144"/>
      <c r="D101" s="144"/>
      <c r="E101" s="144"/>
      <c r="F101" s="144"/>
      <c r="G101" s="144"/>
      <c r="H101" s="144"/>
      <c r="I101" s="144"/>
      <c r="J101" s="144"/>
      <c r="K101" s="144"/>
      <c r="L101" s="367"/>
      <c r="M101" s="142"/>
    </row>
    <row r="102" spans="1:17" s="139" customFormat="1" ht="20.25" customHeight="1" x14ac:dyDescent="0.25">
      <c r="A102" s="377" t="s">
        <v>158</v>
      </c>
      <c r="B102" s="201"/>
      <c r="C102" s="201"/>
      <c r="D102" s="201"/>
      <c r="E102" s="201"/>
      <c r="F102" s="201"/>
      <c r="G102" s="201"/>
      <c r="H102" s="201"/>
      <c r="I102" s="201"/>
      <c r="J102" s="201"/>
      <c r="K102" s="202"/>
      <c r="L102" s="367"/>
    </row>
    <row r="103" spans="1:17" s="139" customFormat="1" ht="30.75" customHeight="1" x14ac:dyDescent="0.25">
      <c r="A103" s="430" t="s">
        <v>177</v>
      </c>
      <c r="B103" s="431"/>
      <c r="C103" s="218"/>
      <c r="D103" s="212" t="s">
        <v>5</v>
      </c>
      <c r="E103" s="200">
        <f>IF(D103=$N$6,1,IF(D103=$N$5,2,IF(D103=$N$4,3,IF(D103=$N$3,4,"n/a"))))</f>
        <v>3</v>
      </c>
      <c r="F103" s="432" t="s">
        <v>299</v>
      </c>
      <c r="G103" s="432"/>
      <c r="H103" s="432"/>
      <c r="I103" s="432"/>
      <c r="J103" s="432"/>
      <c r="K103" s="432"/>
      <c r="L103" s="360" t="s">
        <v>92</v>
      </c>
      <c r="Q103" s="142"/>
    </row>
    <row r="104" spans="1:17" s="139" customFormat="1" ht="75" customHeight="1" x14ac:dyDescent="0.25">
      <c r="A104" s="503" t="s">
        <v>178</v>
      </c>
      <c r="B104" s="504"/>
      <c r="C104" s="219"/>
      <c r="D104" s="182" t="s">
        <v>5</v>
      </c>
      <c r="E104" s="105">
        <f>IF(D104=$N$6,1,IF(D104=$N$5,2,IF(D104=$N$4,3,IF(D104=$N$3,4,"n/a"))))</f>
        <v>3</v>
      </c>
      <c r="F104" s="426" t="s">
        <v>300</v>
      </c>
      <c r="G104" s="426"/>
      <c r="H104" s="426"/>
      <c r="I104" s="426"/>
      <c r="J104" s="426"/>
      <c r="K104" s="426"/>
      <c r="L104" s="360" t="s">
        <v>92</v>
      </c>
      <c r="Q104" s="145"/>
    </row>
    <row r="105" spans="1:17" ht="47.5" customHeight="1" thickBot="1" x14ac:dyDescent="0.3">
      <c r="A105" s="443" t="s">
        <v>179</v>
      </c>
      <c r="B105" s="444"/>
      <c r="C105" s="220"/>
      <c r="D105" s="152" t="s">
        <v>5</v>
      </c>
      <c r="E105" s="162">
        <f>IF(D105=$N$6,1,IF(D105=$N$5,2,IF(D105=$N$4,3,IF(D105=$N$3,4,"n/a"))))</f>
        <v>3</v>
      </c>
      <c r="F105" s="426" t="s">
        <v>301</v>
      </c>
      <c r="G105" s="427"/>
      <c r="H105" s="426"/>
      <c r="I105" s="426"/>
      <c r="J105" s="427"/>
      <c r="K105" s="426"/>
      <c r="L105" s="360" t="s">
        <v>92</v>
      </c>
    </row>
    <row r="106" spans="1:17" ht="32.25" customHeight="1" thickBot="1" x14ac:dyDescent="0.3">
      <c r="A106" s="448"/>
      <c r="B106" s="449"/>
      <c r="C106" s="28" t="s">
        <v>22</v>
      </c>
      <c r="D106" s="16" t="str">
        <f>IF(E106&lt;1.5,"Not at all",IF(E106&lt;2.5,"Moderate",IF(E106&lt;3.5,"Substantial",IF(E106&lt;4.5,"High","n/a"))))</f>
        <v>Substantial</v>
      </c>
      <c r="E106" s="132">
        <f>IF(COUNT(E103:E105)=0,"n/a",AVERAGE(E103:E105))</f>
        <v>3</v>
      </c>
      <c r="F106" s="17">
        <f>E106</f>
        <v>3</v>
      </c>
      <c r="G106" s="204"/>
      <c r="H106" s="40" t="s">
        <v>21</v>
      </c>
      <c r="I106" s="15" t="str">
        <f>D106</f>
        <v>Substantial</v>
      </c>
      <c r="J106" s="19">
        <f>IF(I106=$N$7,"n/a",IF(AND(I106=$N$5,D106=$N$6),1.5,IF(AND(I106=$N$4,D106=$N$5),2.5,IF(AND(I106=$N$3,D106=$N$4),3.5,IF(AND(I106=$N$6,D106=$N$5),1.49,IF(AND(I106=$N$5,D106=$N$4),2.49,IF(AND(I106=$N$4,D106=$N$3),3.49,E106)))))))</f>
        <v>3</v>
      </c>
      <c r="K106" s="76" t="s">
        <v>87</v>
      </c>
      <c r="L106" s="362"/>
    </row>
    <row r="107" spans="1:17" ht="19.5" customHeight="1" x14ac:dyDescent="0.25">
      <c r="A107" s="378" t="s">
        <v>159</v>
      </c>
      <c r="B107" s="201"/>
      <c r="C107" s="201"/>
      <c r="D107" s="201"/>
      <c r="E107" s="201"/>
      <c r="F107" s="201"/>
      <c r="G107" s="201"/>
      <c r="H107" s="201"/>
      <c r="I107" s="201"/>
      <c r="J107" s="201"/>
      <c r="K107" s="202"/>
      <c r="L107" s="362"/>
    </row>
    <row r="108" spans="1:17" ht="31.5" customHeight="1" x14ac:dyDescent="0.25">
      <c r="A108" s="430" t="s">
        <v>180</v>
      </c>
      <c r="B108" s="431"/>
      <c r="C108" s="218"/>
      <c r="D108" s="155" t="s">
        <v>40</v>
      </c>
      <c r="E108" s="200">
        <f>IF(D108=$N$6,1,IF(D108=$N$5,2,IF(D108=$N$4,3,IF(D108=$N$3,4,"n/a"))))</f>
        <v>2</v>
      </c>
      <c r="F108" s="432" t="s">
        <v>309</v>
      </c>
      <c r="G108" s="432"/>
      <c r="H108" s="432"/>
      <c r="I108" s="432"/>
      <c r="J108" s="432"/>
      <c r="K108" s="432"/>
      <c r="L108" s="362"/>
    </row>
    <row r="109" spans="1:17" ht="31.5" customHeight="1" thickBot="1" x14ac:dyDescent="0.3">
      <c r="A109" s="505" t="s">
        <v>181</v>
      </c>
      <c r="B109" s="506"/>
      <c r="C109" s="221"/>
      <c r="D109" s="154" t="s">
        <v>40</v>
      </c>
      <c r="E109" s="162">
        <f>IF(D109=$N$6,1,IF(D109=$N$5,2,IF(D109=$N$4,3,IF(D109=$N$3,4,"n/a"))))</f>
        <v>2</v>
      </c>
      <c r="F109" s="519" t="s">
        <v>302</v>
      </c>
      <c r="G109" s="520"/>
      <c r="H109" s="520"/>
      <c r="I109" s="520"/>
      <c r="J109" s="520"/>
      <c r="K109" s="518"/>
      <c r="L109" s="362"/>
    </row>
    <row r="110" spans="1:17" ht="27" customHeight="1" thickBot="1" x14ac:dyDescent="0.3">
      <c r="A110" s="428"/>
      <c r="B110" s="429"/>
      <c r="C110" s="28" t="s">
        <v>22</v>
      </c>
      <c r="D110" s="16" t="str">
        <f>IF(E110&lt;1.5,"Not at all",IF(E110&lt;2.5,"Moderate",IF(E110&lt;3.5,"Substantial",IF(E110&lt;4.5,"High","n/a"))))</f>
        <v>Moderate</v>
      </c>
      <c r="E110" s="132">
        <f>IF(COUNT(E108:E109)=0,"n/a",AVERAGE(E108:E109))</f>
        <v>2</v>
      </c>
      <c r="F110" s="17">
        <f>E110</f>
        <v>2</v>
      </c>
      <c r="G110" s="203"/>
      <c r="H110" s="18" t="s">
        <v>21</v>
      </c>
      <c r="I110" s="15" t="str">
        <f>D110</f>
        <v>Moderate</v>
      </c>
      <c r="J110" s="19">
        <f>IF(I110=$N$7,"n/a",IF(AND(I110=$N$5,D110=$N$6),1.5,IF(AND(I110=$N$4,D110=$N$5),2.5,IF(AND(I110=$N$3,D110=$N$4),3.5,IF(AND(I110=$N$6,D110=$N$5),1.49,IF(AND(I110=$N$5,D110=$N$4),2.49,IF(AND(I110=$N$4,D110=$N$3),3.49,E110)))))))</f>
        <v>2</v>
      </c>
      <c r="K110" s="76" t="s">
        <v>87</v>
      </c>
      <c r="L110" s="362"/>
    </row>
    <row r="111" spans="1:17" ht="21" customHeight="1" x14ac:dyDescent="0.35">
      <c r="A111" s="378" t="s">
        <v>160</v>
      </c>
      <c r="B111" s="201"/>
      <c r="C111" s="201"/>
      <c r="D111" s="201"/>
      <c r="E111" s="201"/>
      <c r="F111" s="201"/>
      <c r="G111" s="201"/>
      <c r="H111" s="201"/>
      <c r="I111" s="201"/>
      <c r="J111" s="201"/>
      <c r="K111" s="202"/>
      <c r="L111" s="362"/>
      <c r="Q111" s="146"/>
    </row>
    <row r="112" spans="1:17" ht="29.25" customHeight="1" x14ac:dyDescent="0.25">
      <c r="A112" s="430" t="s">
        <v>182</v>
      </c>
      <c r="B112" s="431"/>
      <c r="C112" s="218"/>
      <c r="D112" s="212" t="s">
        <v>4</v>
      </c>
      <c r="E112" s="200">
        <f>IF(D112=$N$6,1,IF(D112=$N$5,2,IF(D112=$N$4,3,IF(D112=$N$3,4,"n/a"))))</f>
        <v>4</v>
      </c>
      <c r="F112" s="432" t="s">
        <v>303</v>
      </c>
      <c r="G112" s="432"/>
      <c r="H112" s="432"/>
      <c r="I112" s="432"/>
      <c r="J112" s="432"/>
      <c r="K112" s="432"/>
      <c r="L112" s="362"/>
    </row>
    <row r="113" spans="1:12" ht="30.75" customHeight="1" x14ac:dyDescent="0.25">
      <c r="A113" s="503" t="s">
        <v>183</v>
      </c>
      <c r="B113" s="504"/>
      <c r="C113" s="219"/>
      <c r="D113" s="182" t="s">
        <v>5</v>
      </c>
      <c r="E113" s="105">
        <f>IF(D113=$N$6,1,IF(D113=$N$5,2,IF(D113=$N$4,3,IF(D113=$N$3,4,"n/a"))))</f>
        <v>3</v>
      </c>
      <c r="F113" s="515" t="s">
        <v>304</v>
      </c>
      <c r="G113" s="426"/>
      <c r="H113" s="426"/>
      <c r="I113" s="426"/>
      <c r="J113" s="426"/>
      <c r="K113" s="516"/>
      <c r="L113" s="362"/>
    </row>
    <row r="114" spans="1:12" ht="42.75" customHeight="1" thickBot="1" x14ac:dyDescent="0.3">
      <c r="A114" s="443" t="s">
        <v>161</v>
      </c>
      <c r="B114" s="444"/>
      <c r="C114" s="220"/>
      <c r="D114" s="152" t="s">
        <v>40</v>
      </c>
      <c r="E114" s="162">
        <f>IF(D114=$N$6,1,IF(D114=$N$5,2,IF(D114=$N$4,3,IF(D114=$N$3,4,"n/a"))))</f>
        <v>2</v>
      </c>
      <c r="F114" s="517" t="s">
        <v>305</v>
      </c>
      <c r="G114" s="427"/>
      <c r="H114" s="427"/>
      <c r="I114" s="427"/>
      <c r="J114" s="427"/>
      <c r="K114" s="518"/>
      <c r="L114" s="360" t="s">
        <v>92</v>
      </c>
    </row>
    <row r="115" spans="1:12" ht="26.25" customHeight="1" thickBot="1" x14ac:dyDescent="0.3">
      <c r="A115" s="435"/>
      <c r="B115" s="436"/>
      <c r="C115" s="28" t="s">
        <v>22</v>
      </c>
      <c r="D115" s="16" t="str">
        <f>IF(E115&lt;1.5,"Not at all",IF(E115&lt;2.5,"Moderate",IF(E115&lt;3.5,"Substantial",IF(E115&lt;4.5,"High","n/a"))))</f>
        <v>Substantial</v>
      </c>
      <c r="E115" s="132">
        <f>IF(COUNT(E112:E114)=0,"n/a",AVERAGE(E112:E114))</f>
        <v>3</v>
      </c>
      <c r="F115" s="17">
        <f>E115</f>
        <v>3</v>
      </c>
      <c r="G115" s="203"/>
      <c r="H115" s="18" t="s">
        <v>21</v>
      </c>
      <c r="I115" s="15" t="str">
        <f>D115</f>
        <v>Substantial</v>
      </c>
      <c r="J115" s="19">
        <f>IF(I115=$N$7,"n/a",IF(AND(I115=$N$5,D115=$N$6),1.5,IF(AND(I115=$N$4,D115=$N$5),2.5,IF(AND(I115=$N$3,D115=$N$4),3.5,IF(AND(I115=$N$6,D115=$N$5),1.49,IF(AND(I115=$N$5,D115=$N$4),2.49,IF(AND(I115=$N$4,D115=$N$3),3.49,E115)))))))</f>
        <v>3</v>
      </c>
      <c r="K115" s="76" t="s">
        <v>87</v>
      </c>
      <c r="L115" s="362"/>
    </row>
    <row r="116" spans="1:12" ht="23.25" customHeight="1" x14ac:dyDescent="0.25">
      <c r="A116" s="378" t="s">
        <v>164</v>
      </c>
      <c r="B116" s="201"/>
      <c r="C116" s="201"/>
      <c r="D116" s="201"/>
      <c r="E116" s="201"/>
      <c r="F116" s="201"/>
      <c r="G116" s="201"/>
      <c r="H116" s="201"/>
      <c r="I116" s="201"/>
      <c r="J116" s="201"/>
      <c r="K116" s="202"/>
      <c r="L116" s="362"/>
    </row>
    <row r="117" spans="1:12" ht="33" customHeight="1" x14ac:dyDescent="0.25">
      <c r="A117" s="441" t="s">
        <v>165</v>
      </c>
      <c r="B117" s="442"/>
      <c r="C117" s="222"/>
      <c r="D117" s="155" t="s">
        <v>17</v>
      </c>
      <c r="E117" s="105" t="str">
        <f>IF(D117=$N$6,1,IF(D117=$N$5,2,IF(D117=$N$4,3,IF(D117=$N$3,4,"n/a"))))</f>
        <v>n/a</v>
      </c>
      <c r="F117" s="432" t="s">
        <v>15</v>
      </c>
      <c r="G117" s="432"/>
      <c r="H117" s="432"/>
      <c r="I117" s="432"/>
      <c r="J117" s="432"/>
      <c r="K117" s="432"/>
      <c r="L117" s="360"/>
    </row>
    <row r="118" spans="1:12" ht="33" customHeight="1" x14ac:dyDescent="0.25">
      <c r="A118" s="441" t="s">
        <v>166</v>
      </c>
      <c r="B118" s="442"/>
      <c r="C118" s="219"/>
      <c r="D118" s="182" t="s">
        <v>17</v>
      </c>
      <c r="E118" s="105" t="str">
        <f>IF(D118=$N$6,1,IF(D118=$N$5,2,IF(D118=$N$4,3,IF(D118=$N$3,4,"n/a"))))</f>
        <v>n/a</v>
      </c>
      <c r="F118" s="515" t="s">
        <v>15</v>
      </c>
      <c r="G118" s="426"/>
      <c r="H118" s="426"/>
      <c r="I118" s="426"/>
      <c r="J118" s="426"/>
      <c r="K118" s="516"/>
      <c r="L118" s="360"/>
    </row>
    <row r="119" spans="1:12" ht="34.5" customHeight="1" thickBot="1" x14ac:dyDescent="0.3">
      <c r="A119" s="439" t="s">
        <v>189</v>
      </c>
      <c r="B119" s="440"/>
      <c r="C119" s="222"/>
      <c r="D119" s="154" t="s">
        <v>17</v>
      </c>
      <c r="E119" s="162" t="str">
        <f>IF(D119=$N$6,1,IF(D119=$N$5,2,IF(D119=$N$4,3,IF(D119=$N$3,4,"n/a"))))</f>
        <v>n/a</v>
      </c>
      <c r="F119" s="517" t="s">
        <v>15</v>
      </c>
      <c r="G119" s="427"/>
      <c r="H119" s="427"/>
      <c r="I119" s="427"/>
      <c r="J119" s="427"/>
      <c r="K119" s="518"/>
      <c r="L119" s="360"/>
    </row>
    <row r="120" spans="1:12" ht="27" customHeight="1" thickBot="1" x14ac:dyDescent="0.3">
      <c r="A120" s="428"/>
      <c r="B120" s="429"/>
      <c r="C120" s="28" t="s">
        <v>22</v>
      </c>
      <c r="D120" s="16" t="str">
        <f>IF(E120&lt;1.5,"Not at all",IF(E120&lt;2.5,"Moderate",IF(E120&lt;3.5,"Substantial",IF(E120&lt;4.5,"High","n/a"))))</f>
        <v>n/a</v>
      </c>
      <c r="E120" s="132" t="str">
        <f>IF(COUNT(E117:E119)=0,"n/a",AVERAGE(E117:E119))</f>
        <v>n/a</v>
      </c>
      <c r="F120" s="17" t="str">
        <f>E120</f>
        <v>n/a</v>
      </c>
      <c r="G120" s="203"/>
      <c r="H120" s="18" t="s">
        <v>21</v>
      </c>
      <c r="I120" s="15" t="str">
        <f>D120</f>
        <v>n/a</v>
      </c>
      <c r="J120" s="19" t="str">
        <f>IF(I120=$N$7,"n/a",IF(AND(I120=$N$5,D120=$N$6),1.5,IF(AND(I120=$N$4,D120=$N$5),2.5,IF(AND(I120=$N$3,D120=$N$4),3.5,IF(AND(I120=$N$6,D120=$N$5),1.49,IF(AND(I120=$N$5,D120=$N$4),2.49,IF(AND(I120=$N$4,D120=$N$3),3.49,E120)))))))</f>
        <v>n/a</v>
      </c>
      <c r="K120" s="76" t="s">
        <v>87</v>
      </c>
      <c r="L120" s="362"/>
    </row>
  </sheetData>
  <sheetProtection formatRows="0"/>
  <mergeCells count="155">
    <mergeCell ref="F93:K93"/>
    <mergeCell ref="A94:B94"/>
    <mergeCell ref="A95:B95"/>
    <mergeCell ref="A97:B97"/>
    <mergeCell ref="F97:K97"/>
    <mergeCell ref="A98:B98"/>
    <mergeCell ref="A99:B99"/>
    <mergeCell ref="A74:B74"/>
    <mergeCell ref="F74:K74"/>
    <mergeCell ref="A78:B78"/>
    <mergeCell ref="F78:K78"/>
    <mergeCell ref="A77:B77"/>
    <mergeCell ref="A75:B75"/>
    <mergeCell ref="A118:B118"/>
    <mergeCell ref="F113:K113"/>
    <mergeCell ref="F118:K118"/>
    <mergeCell ref="F119:K119"/>
    <mergeCell ref="F114:K114"/>
    <mergeCell ref="F109:K109"/>
    <mergeCell ref="F99:K99"/>
    <mergeCell ref="F98:K98"/>
    <mergeCell ref="F94:K94"/>
    <mergeCell ref="A113:B113"/>
    <mergeCell ref="A112:B112"/>
    <mergeCell ref="A8:B8"/>
    <mergeCell ref="F8:K8"/>
    <mergeCell ref="A9:B9"/>
    <mergeCell ref="F61:K61"/>
    <mergeCell ref="F112:K112"/>
    <mergeCell ref="A110:B110"/>
    <mergeCell ref="A103:B103"/>
    <mergeCell ref="F103:K103"/>
    <mergeCell ref="A104:B104"/>
    <mergeCell ref="A105:B105"/>
    <mergeCell ref="A109:B109"/>
    <mergeCell ref="F77:K77"/>
    <mergeCell ref="F83:K83"/>
    <mergeCell ref="F69:K69"/>
    <mergeCell ref="A69:B69"/>
    <mergeCell ref="F82:K82"/>
    <mergeCell ref="A82:B82"/>
    <mergeCell ref="A45:B45"/>
    <mergeCell ref="A49:B49"/>
    <mergeCell ref="F59:K59"/>
    <mergeCell ref="A87:B87"/>
    <mergeCell ref="A100:B100"/>
    <mergeCell ref="A34:B34"/>
    <mergeCell ref="F73:K73"/>
    <mergeCell ref="D1:E1"/>
    <mergeCell ref="A2:B2"/>
    <mergeCell ref="A24:B24"/>
    <mergeCell ref="F12:K12"/>
    <mergeCell ref="F2:K2"/>
    <mergeCell ref="A10:B10"/>
    <mergeCell ref="A14:B14"/>
    <mergeCell ref="F24:K24"/>
    <mergeCell ref="A36:B36"/>
    <mergeCell ref="F36:K36"/>
    <mergeCell ref="A35:B35"/>
    <mergeCell ref="F35:K35"/>
    <mergeCell ref="A5:B5"/>
    <mergeCell ref="F5:K5"/>
    <mergeCell ref="A12:B12"/>
    <mergeCell ref="A20:B20"/>
    <mergeCell ref="F16:K16"/>
    <mergeCell ref="F30:K30"/>
    <mergeCell ref="A25:B25"/>
    <mergeCell ref="A7:B7"/>
    <mergeCell ref="F7:K7"/>
    <mergeCell ref="A17:B17"/>
    <mergeCell ref="A6:B6"/>
    <mergeCell ref="F6:K6"/>
    <mergeCell ref="F25:K25"/>
    <mergeCell ref="F20:K20"/>
    <mergeCell ref="A21:B21"/>
    <mergeCell ref="F31:K31"/>
    <mergeCell ref="F34:K34"/>
    <mergeCell ref="A41:B41"/>
    <mergeCell ref="A43:B43"/>
    <mergeCell ref="A42:B42"/>
    <mergeCell ref="F48:K48"/>
    <mergeCell ref="A48:B48"/>
    <mergeCell ref="A46:B46"/>
    <mergeCell ref="F46:K46"/>
    <mergeCell ref="F47:K47"/>
    <mergeCell ref="A28:B28"/>
    <mergeCell ref="F28:K28"/>
    <mergeCell ref="A29:B29"/>
    <mergeCell ref="F29:K29"/>
    <mergeCell ref="A37:B37"/>
    <mergeCell ref="F37:K37"/>
    <mergeCell ref="F41:K41"/>
    <mergeCell ref="A47:B47"/>
    <mergeCell ref="F9:K9"/>
    <mergeCell ref="A13:B13"/>
    <mergeCell ref="A60:B60"/>
    <mergeCell ref="F52:K52"/>
    <mergeCell ref="A55:B55"/>
    <mergeCell ref="F55:K55"/>
    <mergeCell ref="A51:B51"/>
    <mergeCell ref="F51:K51"/>
    <mergeCell ref="A53:B53"/>
    <mergeCell ref="F53:K53"/>
    <mergeCell ref="F60:K60"/>
    <mergeCell ref="A26:B26"/>
    <mergeCell ref="A58:B58"/>
    <mergeCell ref="A16:B16"/>
    <mergeCell ref="A19:B19"/>
    <mergeCell ref="F19:K19"/>
    <mergeCell ref="F58:K58"/>
    <mergeCell ref="F45:K45"/>
    <mergeCell ref="A31:B31"/>
    <mergeCell ref="F54:K54"/>
    <mergeCell ref="F13:K13"/>
    <mergeCell ref="A56:B56"/>
    <mergeCell ref="A54:B54"/>
    <mergeCell ref="A52:B52"/>
    <mergeCell ref="A120:B120"/>
    <mergeCell ref="A108:B108"/>
    <mergeCell ref="F108:K108"/>
    <mergeCell ref="A80:B80"/>
    <mergeCell ref="F79:K79"/>
    <mergeCell ref="A115:B115"/>
    <mergeCell ref="A79:B79"/>
    <mergeCell ref="A119:B119"/>
    <mergeCell ref="F104:K104"/>
    <mergeCell ref="F105:K105"/>
    <mergeCell ref="A117:B117"/>
    <mergeCell ref="F117:K117"/>
    <mergeCell ref="A114:B114"/>
    <mergeCell ref="F87:K87"/>
    <mergeCell ref="A88:B88"/>
    <mergeCell ref="F88:K88"/>
    <mergeCell ref="A89:B89"/>
    <mergeCell ref="F89:K89"/>
    <mergeCell ref="A90:B90"/>
    <mergeCell ref="F90:K90"/>
    <mergeCell ref="A106:B106"/>
    <mergeCell ref="A91:B91"/>
    <mergeCell ref="A93:B93"/>
    <mergeCell ref="A83:B83"/>
    <mergeCell ref="F64:K64"/>
    <mergeCell ref="F65:K65"/>
    <mergeCell ref="A73:B73"/>
    <mergeCell ref="A30:B30"/>
    <mergeCell ref="A64:B64"/>
    <mergeCell ref="A66:B66"/>
    <mergeCell ref="A59:B59"/>
    <mergeCell ref="A65:B65"/>
    <mergeCell ref="A70:B70"/>
    <mergeCell ref="F42:K42"/>
    <mergeCell ref="A71:B71"/>
    <mergeCell ref="A61:B61"/>
    <mergeCell ref="A62:B62"/>
    <mergeCell ref="F70:K70"/>
  </mergeCells>
  <phoneticPr fontId="1" type="noConversion"/>
  <conditionalFormatting sqref="A91">
    <cfRule type="cellIs" dxfId="55" priority="17" operator="equal">
      <formula>$N$6</formula>
    </cfRule>
    <cfRule type="cellIs" dxfId="54" priority="18" operator="equal">
      <formula>$N$5</formula>
    </cfRule>
    <cfRule type="cellIs" dxfId="53" priority="19" operator="equal">
      <formula>$N$4</formula>
    </cfRule>
    <cfRule type="cellIs" dxfId="52" priority="20" operator="equal">
      <formula>$N$3</formula>
    </cfRule>
  </conditionalFormatting>
  <conditionalFormatting sqref="A2:H2">
    <cfRule type="cellIs" dxfId="51" priority="911" operator="equal">
      <formula>"Low"</formula>
    </cfRule>
    <cfRule type="cellIs" dxfId="50" priority="910" operator="equal">
      <formula>"Moderate"</formula>
    </cfRule>
    <cfRule type="cellIs" dxfId="49" priority="909" operator="equal">
      <formula>"Substantial"</formula>
    </cfRule>
    <cfRule type="cellIs" dxfId="48" priority="908" operator="equal">
      <formula>"High"</formula>
    </cfRule>
  </conditionalFormatting>
  <conditionalFormatting sqref="A118:J119">
    <cfRule type="cellIs" dxfId="47" priority="9" operator="equal">
      <formula>$N$6</formula>
    </cfRule>
    <cfRule type="cellIs" dxfId="46" priority="10" operator="equal">
      <formula>$N$5</formula>
    </cfRule>
    <cfRule type="cellIs" dxfId="45" priority="11" operator="equal">
      <formula>$N$4</formula>
    </cfRule>
    <cfRule type="cellIs" dxfId="44" priority="12" operator="equal">
      <formula>$N$3</formula>
    </cfRule>
  </conditionalFormatting>
  <conditionalFormatting sqref="A3:K25 A26 C26:K26 A73:J74 A75:K90 A92:K93 A94:J94 A100:K105 A106 C106:K106 A107:K108 A109:J109 A110:K112 A113:J114 A115:K117 A120:K120">
    <cfRule type="cellIs" dxfId="43" priority="36" operator="equal">
      <formula>$N$3</formula>
    </cfRule>
    <cfRule type="cellIs" dxfId="42" priority="35" operator="equal">
      <formula>$N$4</formula>
    </cfRule>
    <cfRule type="cellIs" dxfId="41" priority="34" operator="equal">
      <formula>$N$5</formula>
    </cfRule>
    <cfRule type="cellIs" dxfId="40" priority="33" operator="equal">
      <formula>$N$6</formula>
    </cfRule>
  </conditionalFormatting>
  <conditionalFormatting sqref="A27:K72">
    <cfRule type="cellIs" dxfId="39" priority="21" operator="equal">
      <formula>$N$6</formula>
    </cfRule>
    <cfRule type="cellIs" dxfId="38" priority="22" operator="equal">
      <formula>$N$5</formula>
    </cfRule>
    <cfRule type="cellIs" dxfId="37" priority="23" operator="equal">
      <formula>$N$4</formula>
    </cfRule>
    <cfRule type="cellIs" dxfId="36" priority="24" operator="equal">
      <formula>$N$3</formula>
    </cfRule>
  </conditionalFormatting>
  <conditionalFormatting sqref="A95:K97 A98:J99">
    <cfRule type="cellIs" dxfId="35" priority="16" operator="equal">
      <formula>$N$3</formula>
    </cfRule>
    <cfRule type="cellIs" dxfId="34" priority="15" operator="equal">
      <formula>$N$4</formula>
    </cfRule>
    <cfRule type="cellIs" dxfId="33" priority="14" operator="equal">
      <formula>$N$5</formula>
    </cfRule>
    <cfRule type="cellIs" dxfId="32" priority="13" operator="equal">
      <formula>$N$6</formula>
    </cfRule>
  </conditionalFormatting>
  <conditionalFormatting sqref="C1">
    <cfRule type="cellIs" dxfId="31" priority="615" operator="equal">
      <formula>"High"</formula>
    </cfRule>
    <cfRule type="cellIs" dxfId="30" priority="616" operator="equal">
      <formula>"Substantial"</formula>
    </cfRule>
    <cfRule type="cellIs" dxfId="29" priority="617" operator="equal">
      <formula>"Moderate"</formula>
    </cfRule>
    <cfRule type="cellIs" dxfId="28" priority="618" operator="equal">
      <formula>"Low"</formula>
    </cfRule>
  </conditionalFormatting>
  <conditionalFormatting sqref="C91:K91">
    <cfRule type="cellIs" dxfId="27" priority="4" operator="equal">
      <formula>$N$3</formula>
    </cfRule>
    <cfRule type="cellIs" dxfId="26" priority="3" operator="equal">
      <formula>$N$4</formula>
    </cfRule>
    <cfRule type="cellIs" dxfId="25" priority="2" operator="equal">
      <formula>$N$5</formula>
    </cfRule>
    <cfRule type="cellIs" dxfId="24" priority="1" operator="equal">
      <formula>$N$6</formula>
    </cfRule>
  </conditionalFormatting>
  <conditionalFormatting sqref="F1">
    <cfRule type="cellIs" dxfId="23" priority="611" operator="equal">
      <formula>"High"</formula>
    </cfRule>
    <cfRule type="cellIs" dxfId="22" priority="612" operator="equal">
      <formula>"Substantial"</formula>
    </cfRule>
    <cfRule type="cellIs" dxfId="21" priority="613" operator="equal">
      <formula>"Moderate"</formula>
    </cfRule>
    <cfRule type="cellIs" dxfId="20" priority="614" operator="equal">
      <formula>"Low"</formula>
    </cfRule>
  </conditionalFormatting>
  <dataValidations count="1">
    <dataValidation type="list" allowBlank="1" showInputMessage="1" showErrorMessage="1" sqref="I17 I56 I49 I43 I21 I80 I14 I120 I66 D117:D119 I32 I115 I62 I38:I39 I106 I71 I75 I10 D97:D99 D5:D9 D16 D24:D25 D69:D70 D82:D83 D28:D31 D41:D42 I110 D58:D61 D51:D55 D12:D13 D103:D105 D108:D109 D112:D114 D34:D37 D73:D74 D19:D20 D77:D79 D45:D48 I84 D64:D65 I91 D87:D90 I100 I95 D93:D94 I26" xr:uid="{00000000-0002-0000-0200-000000000000}">
      <formula1>$N$3:$N$7</formula1>
    </dataValidation>
  </dataValidations>
  <pageMargins left="0.7" right="0.7" top="0.75" bottom="0.75" header="0.3" footer="0.3"/>
  <pageSetup paperSize="8" scale="88" fitToHeight="0" orientation="landscape" r:id="rId1"/>
  <headerFooter alignWithMargins="0"/>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F55"/>
  <sheetViews>
    <sheetView topLeftCell="A33" zoomScaleNormal="100" zoomScaleSheetLayoutView="115" workbookViewId="0">
      <selection activeCell="B29" sqref="B29"/>
    </sheetView>
  </sheetViews>
  <sheetFormatPr defaultColWidth="8.81640625" defaultRowHeight="12.5" x14ac:dyDescent="0.25"/>
  <cols>
    <col min="1" max="1" width="12.81640625" customWidth="1"/>
    <col min="2" max="2" width="126" customWidth="1"/>
    <col min="4" max="5" width="17.7265625" customWidth="1"/>
    <col min="6" max="6" width="17.81640625" customWidth="1"/>
  </cols>
  <sheetData>
    <row r="1" spans="1:2" ht="24" customHeight="1" thickBot="1" x14ac:dyDescent="0.3">
      <c r="A1" s="616" t="s">
        <v>118</v>
      </c>
      <c r="B1" s="617"/>
    </row>
    <row r="2" spans="1:2" s="139" customFormat="1" ht="23.25" customHeight="1" x14ac:dyDescent="0.25">
      <c r="A2" s="618" t="s">
        <v>205</v>
      </c>
      <c r="B2" s="619"/>
    </row>
    <row r="3" spans="1:2" ht="40.5" customHeight="1" x14ac:dyDescent="0.25">
      <c r="A3" s="370" t="s">
        <v>194</v>
      </c>
      <c r="B3" s="375" t="s">
        <v>190</v>
      </c>
    </row>
    <row r="4" spans="1:2" ht="36" customHeight="1" x14ac:dyDescent="0.25">
      <c r="A4" s="386" t="s">
        <v>195</v>
      </c>
      <c r="B4" s="81" t="s">
        <v>192</v>
      </c>
    </row>
    <row r="5" spans="1:2" ht="36" customHeight="1" thickBot="1" x14ac:dyDescent="0.3">
      <c r="A5" s="370" t="s">
        <v>209</v>
      </c>
      <c r="B5" s="373" t="s">
        <v>210</v>
      </c>
    </row>
    <row r="6" spans="1:2" ht="23.25" customHeight="1" x14ac:dyDescent="0.25">
      <c r="A6" s="620" t="s">
        <v>191</v>
      </c>
      <c r="B6" s="621"/>
    </row>
    <row r="7" spans="1:2" ht="21.75" customHeight="1" x14ac:dyDescent="0.25">
      <c r="A7" s="369" t="s">
        <v>130</v>
      </c>
      <c r="B7" s="237"/>
    </row>
    <row r="8" spans="1:2" ht="37.5" customHeight="1" x14ac:dyDescent="0.25">
      <c r="A8" s="80">
        <v>1</v>
      </c>
      <c r="B8" s="375" t="s">
        <v>193</v>
      </c>
    </row>
    <row r="9" spans="1:2" ht="22.5" customHeight="1" x14ac:dyDescent="0.3">
      <c r="A9" s="369" t="s">
        <v>128</v>
      </c>
      <c r="B9" s="236"/>
    </row>
    <row r="10" spans="1:2" ht="130.5" customHeight="1" x14ac:dyDescent="0.25">
      <c r="A10" s="374">
        <f>+A8+1</f>
        <v>2</v>
      </c>
      <c r="B10" s="81" t="s">
        <v>206</v>
      </c>
    </row>
    <row r="11" spans="1:2" ht="27" customHeight="1" x14ac:dyDescent="0.25">
      <c r="A11" s="374">
        <f>+A10+1</f>
        <v>3</v>
      </c>
      <c r="B11" s="81" t="s">
        <v>196</v>
      </c>
    </row>
    <row r="12" spans="1:2" ht="23.25" customHeight="1" x14ac:dyDescent="0.25">
      <c r="A12" s="374">
        <f t="shared" ref="A12:A13" si="0">+A11+1</f>
        <v>4</v>
      </c>
      <c r="B12" s="81" t="s">
        <v>203</v>
      </c>
    </row>
    <row r="13" spans="1:2" ht="114" customHeight="1" x14ac:dyDescent="0.25">
      <c r="A13" s="374">
        <f t="shared" si="0"/>
        <v>5</v>
      </c>
      <c r="B13" s="81" t="s">
        <v>204</v>
      </c>
    </row>
    <row r="14" spans="1:2" ht="22.5" customHeight="1" x14ac:dyDescent="0.25">
      <c r="A14" s="369" t="s">
        <v>129</v>
      </c>
      <c r="B14" s="237"/>
    </row>
    <row r="15" spans="1:2" ht="54.75" customHeight="1" x14ac:dyDescent="0.25">
      <c r="A15" s="374">
        <f>+A13+1</f>
        <v>6</v>
      </c>
      <c r="B15" s="81" t="s">
        <v>197</v>
      </c>
    </row>
    <row r="16" spans="1:2" ht="23.25" customHeight="1" x14ac:dyDescent="0.25">
      <c r="A16" s="374">
        <f t="shared" ref="A16:A18" si="1">+A15+1</f>
        <v>7</v>
      </c>
      <c r="B16" s="81" t="s">
        <v>198</v>
      </c>
    </row>
    <row r="17" spans="1:2" ht="24.75" customHeight="1" x14ac:dyDescent="0.25">
      <c r="A17" s="374">
        <f t="shared" si="1"/>
        <v>8</v>
      </c>
      <c r="B17" s="81" t="s">
        <v>199</v>
      </c>
    </row>
    <row r="18" spans="1:2" ht="24.75" customHeight="1" x14ac:dyDescent="0.25">
      <c r="A18" s="374">
        <f t="shared" si="1"/>
        <v>9</v>
      </c>
      <c r="B18" s="81" t="s">
        <v>200</v>
      </c>
    </row>
    <row r="19" spans="1:2" ht="21.75" customHeight="1" x14ac:dyDescent="0.25">
      <c r="A19" s="369" t="s">
        <v>130</v>
      </c>
      <c r="B19" s="237"/>
    </row>
    <row r="20" spans="1:2" ht="40.5" customHeight="1" thickBot="1" x14ac:dyDescent="0.3">
      <c r="A20" s="80">
        <f>+A18+1</f>
        <v>10</v>
      </c>
      <c r="B20" s="373" t="s">
        <v>201</v>
      </c>
    </row>
    <row r="21" spans="1:2" ht="52.5" customHeight="1" thickBot="1" x14ac:dyDescent="0.3">
      <c r="A21" s="372" t="s">
        <v>119</v>
      </c>
      <c r="B21" s="238" t="s">
        <v>202</v>
      </c>
    </row>
    <row r="24" spans="1:2" ht="17.25" customHeight="1" x14ac:dyDescent="0.25">
      <c r="A24" s="371" t="s">
        <v>89</v>
      </c>
      <c r="B24" s="371" t="s">
        <v>88</v>
      </c>
    </row>
    <row r="25" spans="1:2" x14ac:dyDescent="0.25">
      <c r="A25" s="82" t="s">
        <v>90</v>
      </c>
      <c r="B25" s="82" t="s">
        <v>69</v>
      </c>
    </row>
    <row r="26" spans="1:2" x14ac:dyDescent="0.25">
      <c r="A26" s="82" t="s">
        <v>91</v>
      </c>
      <c r="B26" s="82" t="s">
        <v>69</v>
      </c>
    </row>
    <row r="27" spans="1:2" x14ac:dyDescent="0.25">
      <c r="A27" s="82" t="s">
        <v>93</v>
      </c>
      <c r="B27" s="83" t="s">
        <v>94</v>
      </c>
    </row>
    <row r="28" spans="1:2" ht="34.5" x14ac:dyDescent="0.25">
      <c r="A28" s="84">
        <v>2.1</v>
      </c>
      <c r="B28" s="85" t="s">
        <v>60</v>
      </c>
    </row>
    <row r="29" spans="1:2" x14ac:dyDescent="0.25">
      <c r="A29" s="86" t="s">
        <v>95</v>
      </c>
      <c r="B29" s="86" t="s">
        <v>61</v>
      </c>
    </row>
    <row r="30" spans="1:2" x14ac:dyDescent="0.25">
      <c r="A30" s="86" t="s">
        <v>96</v>
      </c>
      <c r="B30" s="86" t="s">
        <v>44</v>
      </c>
    </row>
    <row r="31" spans="1:2" ht="23" x14ac:dyDescent="0.25">
      <c r="A31" s="87" t="s">
        <v>97</v>
      </c>
      <c r="B31" s="86" t="s">
        <v>63</v>
      </c>
    </row>
    <row r="32" spans="1:2" x14ac:dyDescent="0.25">
      <c r="A32" s="88" t="s">
        <v>98</v>
      </c>
      <c r="B32" s="88" t="s">
        <v>30</v>
      </c>
    </row>
    <row r="33" spans="1:2" ht="23" x14ac:dyDescent="0.25">
      <c r="A33" s="89">
        <v>4</v>
      </c>
      <c r="B33" s="89" t="s">
        <v>99</v>
      </c>
    </row>
    <row r="34" spans="1:2" x14ac:dyDescent="0.25">
      <c r="A34" s="75" t="s">
        <v>100</v>
      </c>
      <c r="B34" s="75" t="s">
        <v>188</v>
      </c>
    </row>
    <row r="35" spans="1:2" x14ac:dyDescent="0.25">
      <c r="A35" s="75" t="s">
        <v>101</v>
      </c>
      <c r="B35" s="75" t="s">
        <v>112</v>
      </c>
    </row>
    <row r="36" spans="1:2" x14ac:dyDescent="0.25">
      <c r="A36" s="75" t="s">
        <v>102</v>
      </c>
      <c r="B36" s="75" t="s">
        <v>111</v>
      </c>
    </row>
    <row r="37" spans="1:2" ht="34.5" x14ac:dyDescent="0.25">
      <c r="A37" s="75" t="s">
        <v>103</v>
      </c>
      <c r="B37" s="75" t="s">
        <v>104</v>
      </c>
    </row>
    <row r="38" spans="1:2" ht="23" x14ac:dyDescent="0.25">
      <c r="A38" s="75" t="s">
        <v>105</v>
      </c>
      <c r="B38" s="75" t="s">
        <v>73</v>
      </c>
    </row>
    <row r="39" spans="1:2" x14ac:dyDescent="0.25">
      <c r="A39" s="75" t="s">
        <v>106</v>
      </c>
      <c r="B39" s="75" t="s">
        <v>113</v>
      </c>
    </row>
    <row r="40" spans="1:2" x14ac:dyDescent="0.25">
      <c r="A40" s="291" t="s">
        <v>107</v>
      </c>
      <c r="B40" s="291" t="s">
        <v>152</v>
      </c>
    </row>
    <row r="41" spans="1:2" x14ac:dyDescent="0.25">
      <c r="A41" s="292" t="s">
        <v>173</v>
      </c>
      <c r="B41" s="292" t="s">
        <v>176</v>
      </c>
    </row>
    <row r="42" spans="1:2" x14ac:dyDescent="0.25">
      <c r="A42" s="292" t="s">
        <v>157</v>
      </c>
      <c r="B42" s="292" t="s">
        <v>116</v>
      </c>
    </row>
    <row r="43" spans="1:2" x14ac:dyDescent="0.25">
      <c r="A43" s="292" t="s">
        <v>110</v>
      </c>
      <c r="B43" s="292" t="s">
        <v>117</v>
      </c>
    </row>
    <row r="44" spans="1:2" x14ac:dyDescent="0.25">
      <c r="A44" s="90" t="s">
        <v>167</v>
      </c>
      <c r="B44" s="90" t="s">
        <v>108</v>
      </c>
    </row>
    <row r="45" spans="1:2" x14ac:dyDescent="0.25">
      <c r="A45" s="90" t="s">
        <v>168</v>
      </c>
      <c r="B45" s="91" t="s">
        <v>109</v>
      </c>
    </row>
    <row r="46" spans="1:2" x14ac:dyDescent="0.25">
      <c r="A46" s="91" t="s">
        <v>169</v>
      </c>
      <c r="B46" s="91" t="s">
        <v>114</v>
      </c>
    </row>
    <row r="47" spans="1:2" x14ac:dyDescent="0.25">
      <c r="A47" s="91" t="s">
        <v>170</v>
      </c>
      <c r="B47" s="91" t="s">
        <v>115</v>
      </c>
    </row>
    <row r="48" spans="1:2" ht="13" thickBot="1" x14ac:dyDescent="0.3">
      <c r="A48" s="294"/>
      <c r="B48" s="294"/>
    </row>
    <row r="49" spans="1:6" ht="27.75" customHeight="1" thickBot="1" x14ac:dyDescent="0.35">
      <c r="A49" s="234"/>
      <c r="B49" s="235"/>
      <c r="D49" s="239"/>
      <c r="E49" s="245" t="s">
        <v>121</v>
      </c>
      <c r="F49" s="240" t="s">
        <v>123</v>
      </c>
    </row>
    <row r="50" spans="1:6" ht="45" customHeight="1" thickBot="1" x14ac:dyDescent="0.3">
      <c r="A50" s="234"/>
      <c r="B50" s="235" t="s">
        <v>131</v>
      </c>
      <c r="C50" s="3"/>
      <c r="D50" s="250" t="s">
        <v>122</v>
      </c>
      <c r="E50" s="246" t="s">
        <v>124</v>
      </c>
      <c r="F50" s="244" t="s">
        <v>125</v>
      </c>
    </row>
    <row r="51" spans="1:6" ht="21.75" customHeight="1" x14ac:dyDescent="0.25">
      <c r="A51" s="234"/>
      <c r="B51" s="235"/>
      <c r="C51" s="3"/>
      <c r="D51" s="251" t="s">
        <v>4</v>
      </c>
      <c r="E51" s="247">
        <v>4</v>
      </c>
      <c r="F51" s="243" t="s">
        <v>132</v>
      </c>
    </row>
    <row r="52" spans="1:6" ht="21.75" customHeight="1" x14ac:dyDescent="0.25">
      <c r="A52" s="234"/>
      <c r="B52" s="235"/>
      <c r="C52" s="3"/>
      <c r="D52" s="252" t="s">
        <v>5</v>
      </c>
      <c r="E52" s="248">
        <v>3</v>
      </c>
      <c r="F52" s="241" t="s">
        <v>133</v>
      </c>
    </row>
    <row r="53" spans="1:6" ht="21.75" customHeight="1" x14ac:dyDescent="0.25">
      <c r="A53" s="234"/>
      <c r="B53" s="235"/>
      <c r="C53" s="3"/>
      <c r="D53" s="253" t="s">
        <v>40</v>
      </c>
      <c r="E53" s="248">
        <v>2</v>
      </c>
      <c r="F53" s="241" t="s">
        <v>134</v>
      </c>
    </row>
    <row r="54" spans="1:6" ht="21.75" customHeight="1" x14ac:dyDescent="0.25">
      <c r="A54" s="234"/>
      <c r="B54" s="235"/>
      <c r="C54" s="3"/>
      <c r="D54" s="254" t="s">
        <v>76</v>
      </c>
      <c r="E54" s="248">
        <v>1</v>
      </c>
      <c r="F54" s="241" t="s">
        <v>127</v>
      </c>
    </row>
    <row r="55" spans="1:6" ht="21.75" customHeight="1" thickBot="1" x14ac:dyDescent="0.3">
      <c r="A55" s="234"/>
      <c r="B55" s="235"/>
      <c r="C55" s="3"/>
      <c r="D55" s="255" t="s">
        <v>17</v>
      </c>
      <c r="E55" s="249" t="s">
        <v>126</v>
      </c>
      <c r="F55" s="242" t="s">
        <v>126</v>
      </c>
    </row>
  </sheetData>
  <sheetProtection password="CC15" sheet="1" objects="1" scenarios="1" formatRows="0"/>
  <mergeCells count="3">
    <mergeCell ref="A1:B1"/>
    <mergeCell ref="A2:B2"/>
    <mergeCell ref="A6:B6"/>
  </mergeCells>
  <phoneticPr fontId="1" type="noConversion"/>
  <conditionalFormatting sqref="A27:A28">
    <cfRule type="cellIs" dxfId="19" priority="61" operator="equal">
      <formula>$N$6</formula>
    </cfRule>
    <cfRule type="cellIs" dxfId="18" priority="62" operator="equal">
      <formula>#REF!</formula>
    </cfRule>
    <cfRule type="cellIs" dxfId="17" priority="63" operator="equal">
      <formula>$N$4</formula>
    </cfRule>
    <cfRule type="cellIs" dxfId="16" priority="64" operator="equal">
      <formula>$N$3</formula>
    </cfRule>
  </conditionalFormatting>
  <conditionalFormatting sqref="A45">
    <cfRule type="cellIs" dxfId="15" priority="13" operator="equal">
      <formula>$N$6</formula>
    </cfRule>
    <cfRule type="cellIs" dxfId="14" priority="14" operator="equal">
      <formula>#REF!</formula>
    </cfRule>
    <cfRule type="cellIs" dxfId="13" priority="15" operator="equal">
      <formula>$N$4</formula>
    </cfRule>
    <cfRule type="cellIs" dxfId="12" priority="16" operator="equal">
      <formula>$N$3</formula>
    </cfRule>
  </conditionalFormatting>
  <conditionalFormatting sqref="A25:B26">
    <cfRule type="cellIs" dxfId="11" priority="69" operator="equal">
      <formula>$N$6</formula>
    </cfRule>
    <cfRule type="cellIs" dxfId="10" priority="70" operator="equal">
      <formula>#REF!</formula>
    </cfRule>
    <cfRule type="cellIs" dxfId="9" priority="71" operator="equal">
      <formula>$N$4</formula>
    </cfRule>
    <cfRule type="cellIs" dxfId="8" priority="72" operator="equal">
      <formula>$N$3</formula>
    </cfRule>
  </conditionalFormatting>
  <conditionalFormatting sqref="A32:B40">
    <cfRule type="cellIs" dxfId="7" priority="1" operator="equal">
      <formula>$N$6</formula>
    </cfRule>
    <cfRule type="cellIs" dxfId="6" priority="2" operator="equal">
      <formula>#REF!</formula>
    </cfRule>
    <cfRule type="cellIs" dxfId="5" priority="3" operator="equal">
      <formula>$N$4</formula>
    </cfRule>
    <cfRule type="cellIs" dxfId="4" priority="4" operator="equal">
      <formula>$N$3</formula>
    </cfRule>
  </conditionalFormatting>
  <conditionalFormatting sqref="A44:B44">
    <cfRule type="cellIs" dxfId="3" priority="17" operator="equal">
      <formula>$N$6</formula>
    </cfRule>
    <cfRule type="cellIs" dxfId="2" priority="18" operator="equal">
      <formula>#REF!</formula>
    </cfRule>
    <cfRule type="cellIs" dxfId="1" priority="19" operator="equal">
      <formula>$N$4</formula>
    </cfRule>
    <cfRule type="cellIs" dxfId="0" priority="20" operator="equal">
      <formula>$N$3</formula>
    </cfRule>
  </conditionalFormatting>
  <pageMargins left="0.75" right="0.75" top="1" bottom="1" header="0.5" footer="0.5"/>
  <pageSetup paperSize="9" scale="95" orientation="landscape" r:id="rId1"/>
  <headerFooter alignWithMargins="0"/>
  <rowBreaks count="1" manualBreakCount="1">
    <brk id="24" max="16383" man="1"/>
  </rowBreaks>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ublishingExpirationDate xmlns="http://schemas.microsoft.com/sharepoint/v3" xsi:nil="true"/>
    <PublishingStartDate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CA2A9247B253747B25D6529A116ACA7" ma:contentTypeVersion="1" ma:contentTypeDescription="Create a new document." ma:contentTypeScope="" ma:versionID="ce64260c4de65b389c95145d8ac6abee">
  <xsd:schema xmlns:xsd="http://www.w3.org/2001/XMLSchema" xmlns:xs="http://www.w3.org/2001/XMLSchema" xmlns:p="http://schemas.microsoft.com/office/2006/metadata/properties" xmlns:ns1="http://schemas.microsoft.com/sharepoint/v3" targetNamespace="http://schemas.microsoft.com/office/2006/metadata/properties" ma:root="true" ma:fieldsID="a447206dab0015f8b9f8924535193e8c"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789124-D42E-41EA-9C34-CFE157928930}">
  <ds:schemaRefs>
    <ds:schemaRef ds:uri="http://purl.org/dc/dcmitype/"/>
    <ds:schemaRef ds:uri="http://schemas.microsoft.com/office/2006/metadata/properties"/>
    <ds:schemaRef ds:uri="http://schemas.microsoft.com/office/2006/documentManagement/types"/>
    <ds:schemaRef ds:uri="http://schemas.microsoft.com/office/infopath/2007/PartnerControls"/>
    <ds:schemaRef ds:uri="http://purl.org/dc/terms/"/>
    <ds:schemaRef ds:uri="http://www.w3.org/XML/1998/namespace"/>
    <ds:schemaRef ds:uri="http://purl.org/dc/elements/1.1/"/>
    <ds:schemaRef ds:uri="http://schemas.openxmlformats.org/package/2006/metadata/core-properties"/>
    <ds:schemaRef ds:uri="http://schemas.microsoft.com/sharepoint/v3"/>
  </ds:schemaRefs>
</ds:datastoreItem>
</file>

<file path=customXml/itemProps2.xml><?xml version="1.0" encoding="utf-8"?>
<ds:datastoreItem xmlns:ds="http://schemas.openxmlformats.org/officeDocument/2006/customXml" ds:itemID="{3990A9CF-0A02-4A06-8094-BA9C836988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05C8FF2-37EA-4042-A6CB-7136DC3E331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Profile</vt:lpstr>
      <vt:lpstr>Register</vt:lpstr>
      <vt:lpstr>Questionnaire</vt:lpstr>
      <vt:lpstr>Guidance</vt:lpstr>
      <vt:lpstr>Profile!Print_Area</vt:lpstr>
      <vt:lpstr>Questionnaire!Print_Area</vt:lpstr>
      <vt:lpstr>Register!Print_Area</vt:lpstr>
      <vt:lpstr>Questionnaire!Print_Titles</vt:lpstr>
      <vt:lpstr>Register!Print_Titles</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PF</dc:creator>
  <cp:lastModifiedBy>Sara Baumgart</cp:lastModifiedBy>
  <cp:lastPrinted>2015-09-16T12:49:58Z</cp:lastPrinted>
  <dcterms:created xsi:type="dcterms:W3CDTF">2012-01-04T16:00:22Z</dcterms:created>
  <dcterms:modified xsi:type="dcterms:W3CDTF">2026-08-14T08:21:21Z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0x0101005CA2A9247B253747B25D6529A116ACA7</vt:lpwstr>
  </property>
</Properties>
</file>