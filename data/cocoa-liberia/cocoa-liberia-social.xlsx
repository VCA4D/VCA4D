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autoCompressPictures="0" defaultThemeVersion="124226"/>
  <mc:AlternateContent xmlns:mc="http://schemas.openxmlformats.org/markup-compatibility/2006">
    <mc:Choice Requires="x15">
      <x15ac:absPath xmlns:x15ac="http://schemas.microsoft.com/office/spreadsheetml/2010/11/ac" url="https://d.docs.live.net/0df29fb5e380c7eb/Desktop/Cloud folder shortcuts/VCA4D Liberia/REPORTING/"/>
    </mc:Choice>
  </mc:AlternateContent>
  <xr:revisionPtr revIDLastSave="279" documentId="8_{191D41F1-91FA-4940-93EC-0785401F2219}" xr6:coauthVersionLast="47" xr6:coauthVersionMax="47" xr10:uidLastSave="{CC14F49C-C966-4B14-88C9-09ED04A11464}"/>
  <bookViews>
    <workbookView xWindow="45960" yWindow="-120" windowWidth="29040" windowHeight="15720" activeTab="2"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1" i="4" l="1"/>
  <c r="A12" i="4" s="1"/>
  <c r="A13" i="4" s="1"/>
  <c r="A15" i="4" s="1"/>
  <c r="A16" i="4" s="1"/>
  <c r="A17" i="4" s="1"/>
  <c r="A18" i="4" s="1"/>
  <c r="A20" i="4" s="1"/>
  <c r="A10" i="4"/>
  <c r="E119" i="3" l="1"/>
  <c r="E118" i="3"/>
  <c r="E117" i="3"/>
  <c r="E114" i="3"/>
  <c r="E113" i="3"/>
  <c r="E112" i="3"/>
  <c r="E109" i="3"/>
  <c r="E108" i="3"/>
  <c r="E105" i="3"/>
  <c r="E104" i="3"/>
  <c r="E103" i="3"/>
  <c r="E99" i="3"/>
  <c r="E98" i="3"/>
  <c r="E97" i="3"/>
  <c r="E94" i="3"/>
  <c r="E93" i="3"/>
  <c r="E90" i="3"/>
  <c r="E89" i="3"/>
  <c r="E88" i="3"/>
  <c r="E87" i="3"/>
  <c r="E83" i="3"/>
  <c r="E82" i="3"/>
  <c r="E79" i="3"/>
  <c r="E78" i="3"/>
  <c r="E77" i="3"/>
  <c r="E74" i="3"/>
  <c r="E73" i="3"/>
  <c r="E70" i="3"/>
  <c r="E69" i="3"/>
  <c r="E65" i="3"/>
  <c r="E64" i="3"/>
  <c r="E66" i="3" s="1"/>
  <c r="E61"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71" i="3" l="1"/>
  <c r="E75" i="3"/>
  <c r="E100" i="3"/>
  <c r="E120" i="3"/>
  <c r="E32" i="3"/>
  <c r="E38" i="3"/>
  <c r="E43" i="3"/>
  <c r="E49" i="3"/>
  <c r="E56" i="3"/>
  <c r="E62" i="3"/>
  <c r="E80" i="3"/>
  <c r="E84" i="3"/>
  <c r="E91" i="3"/>
  <c r="E95" i="3"/>
  <c r="E106" i="3"/>
  <c r="E110" i="3"/>
  <c r="E115" i="3"/>
  <c r="E21" i="3"/>
  <c r="E14" i="3"/>
  <c r="E10" i="3"/>
  <c r="E26" i="3"/>
  <c r="H33" i="2"/>
  <c r="A32" i="2"/>
  <c r="A31" i="2"/>
  <c r="A30" i="2"/>
  <c r="A29" i="2"/>
  <c r="A18" i="1" s="1"/>
  <c r="G18" i="1" l="1"/>
  <c r="F100" i="3"/>
  <c r="D100" i="3"/>
  <c r="D95" i="3"/>
  <c r="I95" i="3" s="1"/>
  <c r="F91" i="3"/>
  <c r="D91" i="3"/>
  <c r="I91" i="3" s="1"/>
  <c r="F95" i="3"/>
  <c r="D1" i="2"/>
  <c r="G1" i="2"/>
  <c r="J1" i="3"/>
  <c r="D1" i="3"/>
  <c r="B1" i="3"/>
  <c r="A1" i="2"/>
  <c r="J100" i="3" l="1"/>
  <c r="B32" i="2" s="1"/>
  <c r="J91" i="3"/>
  <c r="B30" i="2" s="1"/>
  <c r="J95" i="3"/>
  <c r="B31"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1" i="2" l="1"/>
  <c r="C31" i="2"/>
  <c r="C30" i="2"/>
  <c r="D30" i="2"/>
  <c r="B33" i="2"/>
  <c r="D18" i="1" s="1"/>
  <c r="D32" i="2"/>
  <c r="C32" i="2"/>
  <c r="I35" i="2"/>
  <c r="I38" i="2"/>
  <c r="I24" i="2"/>
  <c r="I19" i="2"/>
  <c r="I14" i="2"/>
  <c r="I9" i="2"/>
  <c r="I30" i="2"/>
  <c r="I37" i="2"/>
  <c r="I32" i="2"/>
  <c r="I27" i="2"/>
  <c r="I18" i="2"/>
  <c r="I13" i="2"/>
  <c r="I8" i="2"/>
  <c r="I20" i="2"/>
  <c r="I6" i="2"/>
  <c r="I36" i="2"/>
  <c r="I31" i="2"/>
  <c r="I26" i="2"/>
  <c r="I21" i="2"/>
  <c r="I17" i="2"/>
  <c r="I12" i="2"/>
  <c r="I7" i="2"/>
  <c r="I25" i="2"/>
  <c r="I33" i="2"/>
  <c r="F18" i="1" s="1"/>
  <c r="D62" i="3"/>
  <c r="D66" i="3"/>
  <c r="D106" i="3"/>
  <c r="D115" i="3"/>
  <c r="D110" i="3"/>
  <c r="D71" i="3"/>
  <c r="D43" i="3"/>
  <c r="D26" i="3"/>
  <c r="J26" i="3" s="1"/>
  <c r="D32" i="3"/>
  <c r="D38" i="3"/>
  <c r="D84" i="3"/>
  <c r="D120" i="3"/>
  <c r="D17" i="3"/>
  <c r="C33" i="2" l="1"/>
  <c r="C18" i="1" s="1"/>
  <c r="D33" i="2"/>
  <c r="E18" i="1" s="1"/>
  <c r="F49" i="3"/>
  <c r="D49" i="3"/>
  <c r="D14" i="3"/>
  <c r="I14" i="3" s="1"/>
  <c r="J14" i="3" s="1"/>
  <c r="D21" i="3"/>
  <c r="D10" i="3" l="1"/>
  <c r="I10" i="3" s="1"/>
  <c r="J10" i="3" l="1"/>
  <c r="B6" i="2" s="1"/>
  <c r="C6" i="2" s="1"/>
  <c r="F80" i="3"/>
  <c r="I80" i="3"/>
  <c r="F75" i="3"/>
  <c r="I75" i="3"/>
  <c r="F71" i="3"/>
  <c r="J80" i="3" l="1"/>
  <c r="B26" i="2" s="1"/>
  <c r="C26" i="2" s="1"/>
  <c r="J75" i="3"/>
  <c r="B25" i="2" s="1"/>
  <c r="C25" i="2" s="1"/>
  <c r="H39" i="2"/>
  <c r="G12" i="1"/>
  <c r="H28" i="2"/>
  <c r="H22" i="2"/>
  <c r="I22" i="2" s="1"/>
  <c r="H10" i="2"/>
  <c r="H15" i="2"/>
  <c r="I15" i="1"/>
  <c r="I19" i="1"/>
  <c r="I14" i="1"/>
  <c r="I20" i="1" s="1"/>
  <c r="I17" i="1"/>
  <c r="I16" i="1"/>
  <c r="I28" i="2" l="1"/>
  <c r="F17" i="1" s="1"/>
  <c r="I15" i="2"/>
  <c r="F15" i="1" s="1"/>
  <c r="I10" i="2"/>
  <c r="F14" i="1" s="1"/>
  <c r="I39" i="2"/>
  <c r="F19" i="1" s="1"/>
  <c r="G19" i="1"/>
  <c r="G17" i="1"/>
  <c r="G14" i="1"/>
  <c r="G15" i="1"/>
  <c r="G16" i="1"/>
  <c r="F16" i="1"/>
  <c r="I17" i="3"/>
  <c r="I71" i="3"/>
  <c r="F84" i="3"/>
  <c r="I43" i="3"/>
  <c r="J43" i="3" s="1"/>
  <c r="F62" i="3"/>
  <c r="I66" i="3"/>
  <c r="J66" i="3" s="1"/>
  <c r="F106" i="3"/>
  <c r="J32" i="3"/>
  <c r="I49" i="3"/>
  <c r="J49" i="3" s="1"/>
  <c r="F115" i="3"/>
  <c r="F66" i="3"/>
  <c r="F38" i="3"/>
  <c r="I56" i="3"/>
  <c r="J56" i="3" s="1"/>
  <c r="F56" i="3"/>
  <c r="B12" i="2"/>
  <c r="C12" i="2" s="1"/>
  <c r="F26" i="3"/>
  <c r="F21" i="3"/>
  <c r="F17" i="3"/>
  <c r="J38" i="3" l="1"/>
  <c r="B14" i="2" s="1"/>
  <c r="C14" i="2" s="1"/>
  <c r="J71" i="3"/>
  <c r="B24" i="2" s="1"/>
  <c r="J120" i="3"/>
  <c r="B38" i="2" s="1"/>
  <c r="C38" i="2" s="1"/>
  <c r="J17" i="3"/>
  <c r="B8" i="2" s="1"/>
  <c r="C8" i="2" s="1"/>
  <c r="D12" i="2"/>
  <c r="I110" i="3"/>
  <c r="F110" i="3"/>
  <c r="B19" i="2"/>
  <c r="C19" i="2" s="1"/>
  <c r="B18" i="2"/>
  <c r="C18" i="2" s="1"/>
  <c r="B21" i="2"/>
  <c r="C21" i="2" s="1"/>
  <c r="B17" i="2"/>
  <c r="C17" i="2" s="1"/>
  <c r="I62" i="3"/>
  <c r="J62" i="3" s="1"/>
  <c r="B13" i="2"/>
  <c r="C13" i="2" s="1"/>
  <c r="I21" i="3"/>
  <c r="F32" i="3"/>
  <c r="F14" i="3"/>
  <c r="J106" i="3"/>
  <c r="F43" i="3"/>
  <c r="J84" i="3"/>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<sst xmlns="http://schemas.openxmlformats.org/spreadsheetml/2006/main" count="519" uniqueCount="335">
  <si>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</si>
  <si>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</si>
  <si>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</si>
  <si>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</si>
  <si>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</si>
  <si>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</si>
  <si>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</si>
  <si>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</si>
  <si>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</si>
  <si>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</si>
  <si>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</si>
  <si>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</si>
  <si>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</si>
  <si>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</si>
  <si>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</si>
  <si>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</si>
  <si>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</si>
  <si>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</si>
  <si>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</si>
  <si>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</si>
  <si>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</si>
  <si>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</si>
  <si>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</si>
  <si>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</si>
  <si>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</si>
  <si>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</si>
  <si>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</si>
  <si>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</si>
  <si>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</si>
  <si>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</si>
  <si>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</si>
  <si>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</si>
  <si>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</si>
  <si>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</si>
  <si>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</si>
  <si>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</si>
  <si>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</si>
  <si>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</si>
  <si>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</si>
  <si>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</si>
  <si>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</si>
  <si>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</si>
  <si>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</si>
  <si>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</si>
  <si>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</si>
  <si>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</si>
  <si>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</si>
  <si>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</si>
  <si>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</si>
  <si>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</si>
  <si>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</si>
  <si>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</si>
  <si>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</si>
  <si>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</si>
  <si>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</si>
  <si>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</si>
  <si>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</si>
  <si>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</si>
  <si>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</si>
  <si>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</si>
  <si>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</si>
  <si>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</si>
  <si>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</si>
  <si>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</si>
  <si>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</si>
  <si>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</si>
  <si>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</si>
  <si>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</si>
  <si>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</si>
  <si>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</si>
  <si>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</si>
  <si>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</si>
  <si>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</si>
  <si>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</si>
  <si>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</si>
  <si>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</si>
  <si>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</si>
  <si>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</si>
  <si>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</si>
  <si>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</si>
  <si>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</si>
  <si>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</si>
  <si>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</si>
  <si>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</si>
  <si>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</si>
  <si>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</si>
  <si>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</si>
  <si>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</si>
  <si>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</si>
  <si>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</si>
  <si>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</si>
  <si>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</si>
  <si>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</si>
  <si>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</si>
  <si>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</si>
  <si>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</si>
  <si>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</si>
  <si>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</si>
  <si>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</si>
  <si>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</si>
  <si>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</si>
  <si>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</si>
  <si>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</si>
  <si>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</si>
  <si>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</si>
  <si>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</si>
  <si>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</si>
  <si>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</si>
  <si>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</si>
  <si>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</si>
  <si>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</si>
  <si>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</si>
  <si>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</si>
  <si>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</si>
  <si>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</si>
  <si>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</si>
  <si>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</si>
  <si>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</si>
  <si>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</si>
  <si>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</si>
  <si>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</si>
  <si>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</si>
  <si>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</si>
  <si>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</si>
  <si>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</si>
  <si>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</si>
  <si>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</si>
  <si>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</si>
  <si>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</si>
  <si>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</si>
  <si>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</si>
  <si>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</si>
  <si>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</si>
  <si>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</si>
  <si>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</si>
  <si>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</si>
  <si>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</si>
  <si>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</si>
  <si>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</si>
  <si>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</si>
  <si>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</si>
  <si>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</si>
  <si>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</si>
  <si>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</si>
  <si>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</si>
  <si>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</si>
  <si>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</si>
  <si>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</si>
  <si>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</si>
  <si>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</si>
  <si>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</si>
  <si>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</si>
  <si>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</si>
  <si>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</si>
  <si>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</si>
  <si>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</si>
  <si>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</si>
  <si>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</si>
  <si>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</si>
  <si>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</si>
  <si>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</si>
  <si>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</si>
  <si>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</si>
  <si>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</si>
  <si>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</si>
  <si>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</si>
  <si>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</si>
  <si>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</si>
  <si>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</si>
  <si>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</si>
  <si>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</si>
  <si>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</si>
  <si>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</si>
  <si>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</si>
  <si>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</si>
  <si>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</si>
  <si>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</si>
  <si>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</si>
  <si>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</si>
  <si>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</si>
  <si>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</si>
  <si>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</si>
  <si>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</si>
  <si>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</si>
  <si>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</si>
  <si>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</si>
  <si>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</si>
  <si>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</si>
  <si>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</si>
  <si>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</si>
  <si>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</si>
  <si>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</si>
  <si>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</si>
  <si>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</si>
  <si>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</si>
  <si>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</si>
  <si>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</si>
  <si>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</si>
  <si>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</si>
  <si>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</si>
  <si>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</si>
  <si>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</si>
  <si>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</si>
  <si>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</si>
  <si>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</si>
  <si>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</si>
  <si>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</si>
  <si>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</si>
  <si>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</si>
  <si>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</si>
  <si>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</si>
  <si>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</si>
  <si>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</si>
  <si>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</si>
  <si>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</si>
  <si>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</si>
  <si>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</si>
  <si>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Cocoa</t>
  </si>
  <si>
    <t>Liberia</t>
  </si>
  <si>
    <t xml:space="preserve"> 24 / 09 /2024</t>
  </si>
  <si>
    <t xml:space="preserve">As previous - large plantations are not a current feature of the CVC (with the exception of the farm in SW of the country).  Companies/individuals wishing to invest in developing larger farms will find a legal framework that is progressive and gives greater decision making power to communities. This may be too challenging for some investers, although organisations such as Landesa are trying to help make this more accessible by supporting communities to register their land in a way that would make them 'investment ready'.  It is worth noting that agricultural sectors where plantations predominate - e.g. rubber and palm oil - the land rights (and broader human rights) record of operators in these sectors has not been very positive.  Many of these plantations were created before the Land Act 2018.  There is an acknowledged environment of low compliance with human rights in the business environment in Liberia, mainly due to the limited capacity to enforce laws and regulations.  Also, there are concerns about logging on newly registered land which would benefit from greater understandnig.  Although it can't be evidenced at present, it is possibel that the collective impact of cocoa farming on forest area will be a far smaller proportion than could be caused by other activities and sectors.  </t>
  </si>
  <si>
    <t>The Land Act 2018 and associated framework does provide for community engagement/participation, and gives communities considerable control over decision making.  Given the evidence that communiating with/engaging with communities (as seen in level of awareness of LACRA, cocoa regulation and access to information and training) is quite challenging, it is likely that effective engagement on projects will require support from NGOs or other organisations who can facilitate the process.  There will be a considerable cost in supporting community engagement and participation, which will need to be bourn by the investor/company.  Possibly also a challenge for regulatory bodies to oversee it.</t>
  </si>
  <si>
    <t>The VCA4D study was not able to assess this in relation to the one large scale farm we were aware of.  Although the framework exists for good practices/due dilligence, enforcement/oversight of its application is possibly not as robust as it might be.  Experience in other sectors (rubber and palm oil) present a picture of an environment in which human rights have been ignored.</t>
  </si>
  <si>
    <t>6.4.1   Road conditions</t>
  </si>
  <si>
    <t>6.4.2   Mobile phone coverage</t>
  </si>
  <si>
    <t xml:space="preserve">6.4.3  </t>
  </si>
  <si>
    <t>The absence/poor condition of the road network in rural areas is a significant issue for farmers and the CVC.  It makes accessing markets and services (schools and medical facilities) very difficult, particularly during the rainy season. Poor access is a contributory factor for food security and poverty.  Poor transport links also limit livelihood options and ensure that there is poor market integration in the CVC.  And it increases the cost of transportation, as wear and tear/fuel (and roadblock taxes?) must be added to the cost. Areas such as the south-east are particularly badly affected by poor roads.</t>
  </si>
  <si>
    <t>Limited mobile phone coverage and mobile phone ownership restricts peoples access to services such as mobile banking and ICT based traceability systems.  Particularly an issue in areas furthest from Monrovia.  Lower literacy levels in rural areas exacerbates this, particularly among women.</t>
  </si>
  <si>
    <t>Justification if adjustment of the score level =  It is impossible to adjust the score.  I would rate this section as 'Low', rather than Moderate/Low, with a score of 1.5 because the issue of road infrastructure and mobile phone coverage is a significant issue that is impacting on both the CVC but also communities wider socio-econoimc status</t>
  </si>
  <si>
    <t>Water and sanitation provision has improved substantially since the end of the civil war.  Boreholes, wells and latrines were built, and hygiene training provided. However, many rural communities are still practicing open defacation and do not have access to safe drinking water.  Cost of buliding and maintaining latrines and safe wells.</t>
  </si>
  <si>
    <t>Through the land rights governance/policy framework, communities should participate (e.g. when investors want access to land), and the Community Land Development and Management Committees offer a structure through which this can happen.  However, roll out is slow and external support is often needed.  Traditional systems persist.</t>
  </si>
  <si>
    <t>These are enshrined in the Land Act 2018, in as much as traditional customary land tenure is recognised by law.  Other areas of traditional knowledge could not be assessed.</t>
  </si>
  <si>
    <t xml:space="preserve">Yes, coops exist but their capacity is questioned despite considerable investment.  There are more cooperatives in Bong, Nimba and Lofa, with a very few elsewhere in the country.  Rural households have their own systems - including kuu and susu.  </t>
  </si>
  <si>
    <t>Food prices in the local market fluctuate over the course of the year, and also between different markets.  Liberia is dependent on food imports for many products, such as rice (an important staple) and so is vulnerable to global market fluctuations as well.  Cocoa income does provide cash for households to use to buy food if necessary</t>
  </si>
  <si>
    <t>Not assessed</t>
  </si>
  <si>
    <t xml:space="preserve">The VCA4D study were able to talk to women in mixed community groups.  Some of the women were quite vocal, but the majority did not appear to be comfortable speaking out.  </t>
  </si>
  <si>
    <t>We did not observe any labour force large enough (or consistent enough) to foster union activity.  There are virtually no cocoa plantations (SW farm being the exception), and the majority of labour is informal and seasonal.  There are examples of labour force unionisation in other agricultural VCs, notably the rubber and palm oil VCs.  There are two agricultural workers unions in Liberia, but they do not (or would be unable to) include informal CVC workers on SHF.</t>
  </si>
  <si>
    <t xml:space="preserve">The vast majority of the labour force is employed on an informal, casual and seasonal basis.  Contracts are verbal and based on the prevailing rates in the area/for the task, and also, to some extent, on the labourers ability to negotiate.  With SHF getting relatively low farm gate prices, due to selling 'wet' cocoa, the payment rates are also low.  While workers do not have the benefit of enforceable contracts, neither do the people who employ them.  They are enforceable in the context of community norms and dispute resolution.  Preference shown for family labour or members of the community rather than outside workers.  Based on relationships of trust.  We heard of several instances where farmers (main women) had paid for labourers to do a task, but they had left before finishing the work.  </t>
  </si>
  <si>
    <t>It was not possible to assess this.  There were anecdotal reports of busing workers across the border to work on farms.</t>
  </si>
  <si>
    <t>Justification if adjustment of the score level = although application of the law/land registration is still developing, the law provides a framework through which outside investors could be held to account, should large scale investment in cocoa farms take place.</t>
  </si>
  <si>
    <t xml:space="preserve">See previous statement, and also 2.3 (below).  While the legal and governance framework for land enshrines equality and consultation, it's application is still catching up/developing, and external input is requires to suppor the proceses as they are expensive.  </t>
  </si>
  <si>
    <t xml:space="preserve">The VCA4D study was not able to assess this.  </t>
  </si>
  <si>
    <t>Women are less visible in the value chain than men, and become less visible/present the further up the value chain you look. At the household level, they do a lot of the work on the farms (except physically demanding roles such as clearing and brushing) along with child care and household well-being. There has been considerable investment in the CVC, implemented by actors such as NGOs and Government.  Where these initiatives have been implemented, gender awareness and equality have been promoted   However, it was not possible to assess what proportion of cocoa farming households were/had been linked to these proejcts, and therefore exposed to gender mainstreaming activities</t>
  </si>
  <si>
    <t>Women cocoa farmers in the form of female headed households in particular) tend to have smaller farms, and be less well off.  The VCA4D study was not able to assess asset ownership beyond this.</t>
  </si>
  <si>
    <t>Due to higher rates of illiteracy, issues with land title, women are less likely to have access to lines of credit. However, they are active in grass roots organisations such as savings and loan clubs and Susu.</t>
  </si>
  <si>
    <t>Yes, women are part of cooperatives and farmer organisations but mainly where these groups have been part of NGO/Government projects which encourage gemder issues.  Women are most likely to be spontaneiously involved in VSLCs and Susu.</t>
  </si>
  <si>
    <t xml:space="preserve">Liberia has ratified many ILO conventions and has a legal framework through the Decent Work Act, but enforcement is very weak. Most labour is informal, smallholder-based and outside effective legal protection. If paid, it is based on a verbal agreement between parties and against the rates prevailing in the area.  Payment can be cash, kind or a mix of the two, plus reciprocal exchange.  Unsure as to whether labourers are expected to provide their own tools, or if these are provided by the hirer.  There are very few commercial farms. In principle, these would be covered by Liberia's labour laws. Law are not applicable at the smallholder level, and enforcing them would be difficult/impossible. </t>
  </si>
  <si>
    <t>Legal protections exist, but employment and work opportunities are shaped by gender, age, literacy, land access and labour capacity. Women, youth, migrant workers and poorer households face greater barriers to participation and benefit.By its nature, most of the labour opportunities are very physical (clearing forest, brushing, etc), which naturally favours those more physically able.  Women and children were known to be employed in the CVC, although the majority of the workforce were men.  Women's labour is largely hidden as it takes the form of unpaid household labour.  Labouring appears to be an important part of household livelihoods, with a significant proportion of those who we surveyed saying that members of their household were labourinig.  Many workers travelled across the border to work in Liberia (and vice versa).  Those from other countries may come up against some form of discrimination (e.g. Burkinabe in SE Liberia) due to attitudes towards them (e.g. report of clashes with migrants in Lofa).</t>
  </si>
  <si>
    <t>School attendance is weak in many rural areas and children’s work in agriculture remains common. The report found evidence of child labour among surveyed households, including children under 15 working away from home in the southeast sample.School infrastructure in rural areas is reported to be limited and in poor condition.  The number of qualified teachers is also low, so many schools rely on volunteer/untrained teachers.  Reported that many rural schools do not go beyond 6th grade.  School attendance in rural Liberia is well below the national average and the drop out rate is also high.  School age girls have a higher rate of illiteracy, non-attendance and drop out than boys.  Children are vulnerable to child labour</t>
  </si>
  <si>
    <t>Child labour is potentially a major issue in the CVC, and it is difficult to regulate due to the informal nature of the work.  Most tasks associated with CVC carry a degree of risk (use of machete, knives, etc).Liberia’s Children’s Law prohibits work under 12 and limits children under 15 to light work, but enforcement is weak. Agriculture remains a major sector for child labour and hazardous work, especially in rural and food-insecure households.</t>
  </si>
  <si>
    <t xml:space="preserve">Majority of work is informal and therefore unregulated. OHS standards are weakly implemented in informal agriculture. Farmers are aware of risks, but PPE is often unaffordable and injuries can have severe long-term impacts on household income, labour capacity and food security. Although minimal agrochemicals used at present, there are significant risks are associated with other activities.  For example - we encountered a woman farmer who had taken on the majority of the farm responsibilities due to her husband having sustained life changing injuries due to a falling tree while clearing land.  Transport will also be a potential risk area because of the poor condition of roads and vehicles. Farmers are aware of the risks, and will actually engage in behaviours that increase their risk (e.g. drinking alcohol).  the impact of an injury can be catastrophic for smallholder households, and many may not be able to afford the out of pocket expense of healthcare, whether formal or traditional (e.g. bonesetters)  </t>
  </si>
  <si>
    <t>Informal labour usually follows locally negotiated rates, but there is little evidence that remuneration is fair, enforceable or sufficient. Labour can be paid in cash or kind and depends on bargaining power and household need.Cocoa income and labour opportunities are seen positively by the people we enaged with during the VCA4D study.  Other studies confirm that many people see cocoa as a way of improving their socio-economic situation, and of developing their community (e.g. in south-east).  We met  with youth who were getting into cocoa farming, and also rubber farmers who were trying to switch to cocoa.  It is seen as an attractive proposition and buyers are accessible.</t>
  </si>
  <si>
    <t>See previous comment. Cocoa and other tree crops are seen by many households and young people as routes to socioeconomic advancement. However, entry is constrained by land, labour capacity, knowledge, finance and poor infrastructure. A study carried out by Mercy Corps found that youth saw cocoa as an opporutnity for socio-economic advancement, among other tree crops</t>
  </si>
  <si>
    <t>Liberia’s Land Rights Act 2018 is strongly aligned with VGGT principles and the Gbehzohn Declaration supports mainstreaming VGGT. However, large scale investments are not currently a feature of the CVC in Liberia.  At the time of writing the report, we were aware of only 4 large scale cocoa farms (one of which is 2000ha), which were very different in terms of scale and age.  However, if international investment/interest in cocoa were to increase in future, access to land and land rights woudl become a significant issue.  The Land Rights Act of 2018 gives communities far more control over how customary land is used.The various laws are still being tested, modified and implemented, and interpretation of the law is still in development.  They do conform to international standards, and customary practices are considered to be slowly catching up to the ambition of the Land Act. So there is an environment in which companies could be held to account for practices involving land aquisition/use, but as a whole, the institions that would be responsible for this are still developing and roll out of land registration is slow.</t>
  </si>
  <si>
    <t>See previous statement.Liberia has made progress in creating legal and operational frameworks, including the Land Rights Act, regulations and an operational field manual for formalising customary land. However, land records remain patchy and local access to information is still uneven.</t>
  </si>
  <si>
    <t>See previous statements. FPIC is required in law, but given weak enforcement and patchy land administration, practical assurance remains limited.</t>
  </si>
  <si>
    <t xml:space="preserve">Customary land rights are legally recognised and communities can register and manage customary land. However, registration is incomplete and women, youth, migrants and poorer households still face insecurity. The Land Act 2018 sets out the ambition of equitable land rights, recognises customary land rights and gives communities far greater decision making power.  Much progress is being made in terms of its application.  However, as with other aspects of CVC, the capacity of actors to enforce and regulate frameworks is problematic.  There are contradictions between the Land Act 2018 and other legal frameworks for inheritance, divorce, etc. Customary practices can still disadvantage women and youth, and there is a risk of overlapping land title. </t>
  </si>
  <si>
    <t>See previous comments. Access to legal redress are present, but difficult for communities to take advantage of without external support.  The Land Rights Act 21018 does not allow for retrospective complaints to be pursued, so historic injustices (of which there are many in relation to past concessions) cannot be addressed. The report notes ongoing risks from overlapping customary, informal and formal tenure arrangements.</t>
  </si>
  <si>
    <t>See previous comment about women's visibility and presence in the value chain.  Women participate in pod breaking, drying, post-harvest work, informal labour and off-farm activities, but are less visible in farm ownership, marketing, trading and higher-value functions. Women are often more active in VSLAs and susu than in producer groups.There are women cocoa farmers (often in the form of female headed households), and young women are encouraged to farm as a way to prepare them for marriage.  Very little presence of women beyond production.</t>
  </si>
  <si>
    <t>According to the law they do, but enforcement is lacking. See previous comments on land rights. There is growing acceptance of women being allocated land. However, customary practice, inheritance, marriage law and community governance can still discriminate against women and youth.</t>
  </si>
  <si>
    <t>Due to social norms and higher rates of illiteracy, women experience greater challenges accessing training, services, etc.Women are disadvantaged in access to training and services. GROW Liberia found only one in five GAP trainees was female, and COVADEP found very low levels of GAP, traceability and record-keeping training overall.</t>
  </si>
  <si>
    <t>Several reports found women participate in decisions on production of food and other crops, and also cocoa, although others found a gender bias in which crops and to what extent women were involved.Men and women may both be involved in crop decisions, but men dominate land, income and marketing decisions. Women have more control over subsistence crops than cocoa income.</t>
  </si>
  <si>
    <t>Women carry out multiple farm and non-farm tasks, but their autonomy is constrained by household norms, labour capacity, land access, childcare, water collection and limited control over cocoa production decisions.</t>
  </si>
  <si>
    <t>Men tend to manage income from crops sold, while women lead decisions on what is consumed, stored or given away. ACDI/VOCA found women made decisions on 18% of income and expenditure, with 65% made jointly.</t>
  </si>
  <si>
    <t>Women earn income through informal labour, petty trading, VSLAs/susu and some cocoa activities. However, income opportunities are constrained by time poverty, lower assets, lower literacy and weaker access to land and training.Reported that women's main income generation is from off-farm activities (e.g. petty trading).  The VCA4D spoke with several women who reported to have their own cocoa farms, and who kept and used the money earned from this for their own purposes.  However, other studies found that it was the menfolk who took responsibility for the sale of the crop and would retain responsiblity for the income</t>
  </si>
  <si>
    <t>A mixed picture has emerged on this, with some studies showing that they do participate in decisions (e.g. GROW) while others do not.  It was not possible for the VCA4D study to assess this directly during the study.</t>
  </si>
  <si>
    <t>Donor-supported groups promote gender sensitivity, but literacy, record-keeping and traditional norms limit women’s leadership. GROW Liberia found female village coordinators faced disadvantages including lack of phones and male members claiming women’s achievements.</t>
  </si>
  <si>
    <t>Women’s influence remains limited by literacy, land rights, weak representation and male-dominated farmer organisations. CLDMCs create an opportunity for participation, but implementation remains uneven.Through the Land Rights Act 2018, women should be represented in decisions about land use, be part of the Community Land Development and Management Committees and be able to aquire land.  However, in practice it is not clear to what extent this happens in practice</t>
  </si>
  <si>
    <t>Workloads are not equal. Men are more visible in production and marketing, while women combine post-harvest cocoa work, off-farm activities, household work, childcare, water collection and duties for kuu groups. Women carry out the majority of childcare and domestic work, along with youth and children.  Reports that child domestic workers are present, although not related to cocoa production.  Women also do agricultural work, and earn money mainly through off farm activities.  Their time can be constrained.  Female headed households are particularly affected</t>
  </si>
  <si>
    <t>Women and youth undertake harvesting and post-harvest tasks, carry produce, prepare beans, dry cocoa, fetch water and cook for kuu groups. Poor infrastructure and lack of labour-saving services add to time and physical burden.The study found no report of labour saving technologies specifically aimed at women in the CVC.  TWhere farming households are involved in projects, they will be exposed to gender sensitivity training and encouraged to be more balanced.</t>
  </si>
  <si>
    <t>Unable to assess.  Liberia imports a large share of food needs and rural households rely heavily on food purchases.</t>
  </si>
  <si>
    <t>It was not possible to assess whether more food was available in the local markets, or that more variety was available.  Although the levels of food insecurity are still relatively high in many areas of Liberia, along with childhood malnurtirion and stunting, FEWS-NET stopped monitoring Liberia in 2017/18, suggesting that there have been positive trends towards greater food availabilty. There were anecdotal reports from the south-east that Burkinabe farmers were growing other food crops as well as cocoa on the land they rented from their Liberian hosts, and this food was being sold in the local market. Poor market access, seasonal shortages and food price pressures, especially during the rainy/lean season seem to characterise food and nutrition security among cocoa farmers.</t>
  </si>
  <si>
    <t>It was not possible to assess the contribution of cocoa to total household income, or to compare cocoa farmers with other farmers.  But cocoa is an important source of cash income that can be mobilised to pay for food needs as well as health expenses (as reported by VCA4D survey respondents and interviews).  Cocoa cash income helps households buy food and manage food insecurity, health costs and school fees. However, food access remains fragile due to poverty, seasonality, poor roads, food inflation and household reliance on market purchases.</t>
  </si>
  <si>
    <t>Food price inflation is very high this year, and it has fluctuated wildly over the last 15-10 years.  Food prices were increasing, not decreasing. The Central Bank estimated 11.59% food price inflation in June 2024, and WFP found imported rice prices increased by 21% in March 2024 year-on-year.</t>
  </si>
  <si>
    <t>It was not possible to assess the quality of food in the local market.  Evidence points to poor dietary quality, especially in rural counties. The 2022 RFSLNMA found low dietary diversity in 28% of all households and 37.8% of rural households, with some households relying on staples and fats.</t>
  </si>
  <si>
    <t>See previous comments.  Most meals reported during the VCA4D survey were very dependent on starchy staples with the addition of some soup.  Sources of animal protien are limited. Several studies show low dietary diversity, with River Gee, Maryland, Grand Kru and Sinoe among the worst affected.</t>
  </si>
  <si>
    <t>Most rural households report reduced food intake during the 'lean' season.  Cocoa is one means of managing food insecurity in many areas (as per FEWSNET). Cocoa income helps households manage lean periods, but the risk of food shortage remains high. COVADEP found 66.4% of cocoa households in the southeast reported food shortages in the previous 12 months.</t>
  </si>
  <si>
    <t>Membership is uneven. No southeast respondents were cooperative members, while 30% in Lofa, Nimba and Bomi were; kuu and susu participation is more common and often more locally inclusive.Many cooperatives have received support from projects implemented by NGOs and Government actors who promote gender sensitivity and equality.  Those groups who have been part of a project such as this will be more inclsive than those who have not.  Social norms still influence how well gender is mainstreamed.</t>
  </si>
  <si>
    <t>See previous comments. Many cooperatives are weak, with concerns over governance, transparency and limited value addition. Donor-supported organisations promote inclusion, but capacity and accountability remain uneven.</t>
  </si>
  <si>
    <t>Cooperatives have limited bargaining power and may offer lower prices than traders. Many farmers prefer spot sales to traders because this provides cash and flexibility. Perception of cooperatives by farmers is not always positive - complaints of delayed payments and inputs.  As a result, many farmers 'hedge their bets' and continue to side sell some of their products.  Cooperative capacity is regarded as not sustainable by CVC stakeholders</t>
  </si>
  <si>
    <t>This depends entirely on their location, as access to information and training depends on their proximity to/access to NGOs/Government interventions. It was not possible to assess what proportion of farmers were connected to these types of interventions. COVADEP found only around 20% of southeast households were aware of relevant policies/regulations, while ACET found word of mouth and traders were primary information sources. Extension access nationally is below 5%.</t>
  </si>
  <si>
    <t xml:space="preserve">The CVC is highly dependent on relationships of trust as almost all relationships are informal and without a written contract, etc.  Trust is mixed. Relationships with traders can be trusted and practical, but there are many instances of mistrust between buyers, traders, cooperatives and farmers, including side-selling and under-reporting to cooperatives. Traders buy from farmers they know, and farmers prefer to sell to traders they know.  However, a lot of spot selling does take place.  There is trust between farmers and projects, limited engagement between farmers and Government/LACRA. </t>
  </si>
  <si>
    <t xml:space="preserve">Kuu, susu, VSLAs and self-help groups are important forms of voluntary and informal collective action. AIFO Liberia found self-organised self-help groups were the most common form of collaboration for social development. Smallholder farming households prefer to employ family labour and members of their own community before labour from outside the community, therefore retaining the social capital and remuneration within the community </t>
  </si>
  <si>
    <t>As with education facilities, health facilities are limited in rural areas although substantial investment has been made to improve it.  Abitliy to pay for health care is a critical issue.  Cocoa income is often used to cover out of pocket expenses.  Many households will not seek medical care in order to save cost.The report notes that 29% of the population lived more than 5 km from the nearest health facility in 2018, and provision in rural areas remains limited.</t>
  </si>
  <si>
    <t>Substantial investment in health services for rural areas has increased access.  Affordability is an issue, and coverage is not extensive.Health service access depends on location, cash, transport and service availability. Rural households are more likely not to seek healthcare because facilities are far away or unaffordable.</t>
  </si>
  <si>
    <t>Cocoa income helps households manage out-of-pocket health costs, but affordability remains fragile. Health care eeds was a maor reason for cocoa farmers to sell their cocoa prematurely (when it is wet/white) to spot sellers in order to raise cash.</t>
  </si>
  <si>
    <t>Housing quality has improved, but rural housing remains modest. The 2022 census showed high proportions of rural housing in cocoa counties constructed with mud, brick or wood outer walls.</t>
  </si>
  <si>
    <t>Access to primary education is limited in rural areas.  Government primary education is free, but rural attendance, completion and quality remain weak. Only 27.2% of students attend school in rural communities, and many children travel an hour or more to school.Poor facilities, lack of trained teachers, large classes and high drop out rates exist.  Many rural schools stop at primary grade 6, so there are no opportunities to go beyond this.</t>
  </si>
  <si>
    <t>Secondary and vocational access is particularly constrained. Many rural schools stop at 6th or 9th grade, and ACET found very low educational attainment among southeast cocoa farmers, with almost no vocational training.Secondary education is not accessible for most SHF, and is also beyond their means.  Most secondary schools are in larger urban settlements.</t>
  </si>
  <si>
    <t>Where NGOs and Government are active, training is provided to farmers who participate in their initiatives (and there will be some trickle down to neighbours).  However, NGO/Government actors are only active/present in some parts of the country, not everywhere.  So access to training is dependent on proximity to an active stakeholder and cocoa initiative.  There is not cocoa specific extension service.  Some private sector actors may also provide training. COVADEP found only 6% of households had GAP training, 0.1% traceability training and 0.3% farm record-keeping training.</t>
  </si>
  <si>
    <t>Labour rights are weakly protected in practice because most cocoa work is informal, smallholder-based and outside formal employment systems. Workers may lack enforceable contracts, collective bargaining, social protection and effective grievance routes. Women, youth, migrant labourers and poorer households are likely to be particularly exposed.</t>
  </si>
  <si>
    <t>Strengthen awareness of labour rights in cocoa-producing communities; promote clearer agreements for hired labour; integrate labour rights into cooperative, buyer and donor-supported training; strengthen links to social protection and grievance mechanisms.</t>
  </si>
  <si>
    <t>Children’s work in agriculture remains a risk, especially in poorer and more food-insecure households. The main risks are interference with schooling and exposure to hazardous work</t>
  </si>
  <si>
    <t>Reinforce child labour awareness through farmer groups, schools, buyers and community leaders; integrate child protection into cocoa programmes and certification support; strengthen household income stability to reduce pressure on children’s labour.</t>
  </si>
  <si>
    <t>Job safety risks are significant in smallholder production and informal labour settings. Injuries, lack of PPE, poor access to healthcare and the physical demands of cocoa work can reduce household labour capacity and deepen poverty and food insecurity.</t>
  </si>
  <si>
    <t>Provide practical training; promote affordable PPE and safer tool use; integrate safety guidance into extension and buyer training; improve first aid and referral links; include women and youth in safety messaging.</t>
  </si>
  <si>
    <t>Cocoa is attractive to some young people and households as a route to income and socioeconomic advancement, but this is constrained by weak services, poor roads, limited land access, low yields and uncertain market conditions. If conditions do not improve, youth may avoid cocoa or engage only through informal, low-investment production.</t>
  </si>
  <si>
    <t>Improve access to land, training, finance and planting material; link youth to practical opportunities in production, aggregation, services and processing; strengthen roads and market access; make cocoa more visibly profitable and less risky.</t>
  </si>
  <si>
    <t>Liberia’s legal framework is relatively strong, but main risks are uneven land security, weak implementation, land acquisition without proper safeguards, and limited protection for women, youth, migrants and poorer households.</t>
  </si>
  <si>
    <t>Increase awareness of VGGT and responsible land governance among cocoa-sector actors; integrate tenure risk checks into programme design; support customary land registration; ensure cocoa expansion does not bypass community consent or inclusive land governance.</t>
  </si>
  <si>
    <t>The legal framework provides for participation and consent, but practice is uneven and difficult to verify for cocoa-related land arrangements. Weak disclosure or poor consultation could increase conflict, elite capture or exclusion where cocoa expansion involves new land acquisition.</t>
  </si>
  <si>
    <t>Apply FPIC principles in all cocoa-related land investments; strengthen community awareness of land rights; document land agreements clearly; ensure women, youth and migrant groups are included in consultation; monitor how land is acquired for new cocoa farms.</t>
  </si>
  <si>
    <t>Customary land rights are legally recognised, but implementation remains incomplete and access to justice can be difficult. Women, youth and migrants may face insecure rights, while communities may struggle to resolve disputes or claim compensation if land-related investments cause harm.</t>
  </si>
  <si>
    <t>Support inclusive customary land formalisation; strengthen CLDMC capacity and accountability; ensure women and youth are represented in land decisions; provide accessible dispute-resolution support; require grievance mechanisms for cocoa investments.</t>
  </si>
  <si>
    <t>Women are active in cocoa-related work but are less visible and less powerful in farm ownership, marketing, trading and producer organisations. This risks reinforcing women’s unpaid or low-paid labour while men retain control over sales and benefits.</t>
  </si>
  <si>
    <t>Recognise women’s roles in production and post-harvest work; target women directly with training and services; support women’s access to producer groups, VSLAs and market opportunities; improve women’s visibility in cocoa statistics and programme targeting.</t>
  </si>
  <si>
    <t>Women have weaker access to land, assets, credit, extension, inputs and training. This limits their ability to improve cocoa productivity, manage risks, benefit from upgrading or meet future requirements such as traceability and quality standards.</t>
  </si>
  <si>
    <t>Expand women’s access to finance through VSLAs, susu and formal products; ensure training reaches women directly; support women’s land and asset rights; design services around women’s time constraints and literacy levels.</t>
  </si>
  <si>
    <t>Men continue to dominate decisions over cocoa production, land, marketing, income and major assets. Women may contribute labour without controlling the returns, reducing incentives and increasing intra-household inequality.</t>
  </si>
  <si>
    <t>Promote household dialogue and joint decision-making; strengthen women’s control over income from their labour; include women in marketing and producer group decisions; integrate gender into cooperative governance and service delivery.</t>
  </si>
  <si>
    <t>Women’s membership, leadership and public voice remain limited in formal cocoa organisations and community decision-making spaces. Low literacy, social norms, limited phone access and male-dominated leadership can reduce women’s influence over services, land governance and cocoa-sector priorities.</t>
  </si>
  <si>
    <t>Support women’s leadership development; set inclusion targets in producer organisations; create safe spaces for women’s participation; strengthen women’s representation in CLDMCs and cooperative structures; support literacy and digital inclusion where relevant.</t>
  </si>
  <si>
    <t>Women’s workloads are heavy and unequal, combining cocoa-related labour, food production, household work, childcare, water collection and support to communal labour arrangements. Time poverty can limit training participation, income generation, rest and care responsibilities.</t>
  </si>
  <si>
    <t>Promote labour-saving tools and services; reduce barriers to water access; schedule training around women’s availability; address household workload sharing; support childcare and practical measures that reduce women’s time burden.</t>
  </si>
  <si>
    <t>The report does not show that cocoa increases local food production or food supplies in local markets. Food availability remains affected by import dependence, poor roads, seasonality, market access and local production constraints.</t>
  </si>
  <si>
    <t>Maintain diversified farming systems; avoid cocoa expansion that displaces food crops; strengthen local food production and market access alongside cocoa support; consider food security impacts in cocoa expansion areas.</t>
  </si>
  <si>
    <t>Cocoa income can help households buy food, but food access remains fragile because of poverty, seasonality, road constraints and rising food prices. Food inflation and imported rice price increases mean cocoa income may not translate into stable food access.</t>
  </si>
  <si>
    <t>Improve household income stability; support savings and emergency finance; strengthen road and market access; monitor food prices in cocoa areas; combine cocoa support with food security and livelihood diversification measures.</t>
  </si>
  <si>
    <t>Dietary quality and diversity remain weak in many rural cocoa areas. Households may rely heavily on staples and have limited access to diverse foods, while the report provides little evidence that nutrition practices are improving.</t>
  </si>
  <si>
    <t>Integrate nutrition messaging into cocoa and livelihood programmes; support diversified food production; promote dietary diversity and child nutrition; link income gains to nutrition outcomes, not only food purchases.</t>
  </si>
  <si>
    <t>Cocoa income can help households manage lean periods, but food shortage risk remains high, especially where households depend on markets and face seasonal price rises. Food price variation remains significant and is not reduced by the cocoa value chain.</t>
  </si>
  <si>
    <t>Strengthen seasonal savings and credit; support food crop production and livelihood diversification; improve road access to reduce seasonal market isolation; monitor lean-season food security; support income smoothing for cocoa households.</t>
  </si>
  <si>
    <t>Stability is a major concern because cocoa income is seasonal and food prices are volatile.</t>
  </si>
  <si>
    <t>Formal cooperatives and informal groups participate in the cocoa economy, but formal producer organisations are often weak, unevenly distributed and not always attractive to farmers. Weak bargaining power, limited transparency and poor services can push farmers toward spot sales through traders.</t>
  </si>
  <si>
    <t>Strengthen cooperative governance, transparency and business capacity; improve services to members; support inclusive membership; build links between cooperatives, buyers and extension; recognise the role of informal groups such as kuu, susu and VSLAs</t>
  </si>
  <si>
    <t>Farmers have weak access to information on agricultural practices, policies and prices. Reliance on traders and word of mouth can reinforce information asymmetries, while mistrust between farmers, cooperatives, traders and buyers can undermine collective action, quality improvement and traceability.</t>
  </si>
  <si>
    <t>Strengthen extension and market information systems; improve transparency on prices and quality; support farmer record-keeping and traceability training; create trusted communication channels through local groups, cooperatives and buyers.</t>
  </si>
  <si>
    <t>Communities participate in some livelihood-related decisions and voluntary communal activities, but influence is uneven and elite capture remains a risk. Traditional land systems are recognised in law, but the report does not provide strong evidence on protection of traditional knowledge.</t>
  </si>
  <si>
    <t>Strengthen community participation through CLDMCs and local platforms; support women’s and youth voice; build on kuu, susu, VSLAs and self-help groups; ensure cocoa expansion respects customary land and community priorities.</t>
  </si>
  <si>
    <t>Rural households face limited access to health facilities and services because of distance, cost, poor roads and weak service provision. Health shocks can force cocoa sales, borrowing or other coping strategies, weakening household resilience.</t>
  </si>
  <si>
    <t>Improve income stability and emergency savings; strengthen links to health services and insurance where feasible; improve road access; include health-related vulnerability in livelihood support and programme targeting.</t>
  </si>
  <si>
    <t>Housing quality, water access and sanitation remain weak in many rural cocoa areas. Poor water and sanitation conditions increase health risks, while weak housing and infrastructure reinforce wider poverty and vulnerability.</t>
  </si>
  <si>
    <t>Link cocoa development with rural WASH and housing improvement programmes; support income stability so households can invest in living conditions; prioritise improved water and sanitation in remote cocoa communities.</t>
  </si>
  <si>
    <t>Primary education is legally accessible but rural attendance, completion and quality remain weak; secondary and vocational education are more constrained. Farmer training coverage is also low, limiting productivity, quality improvement, traceability and youth engagement.</t>
  </si>
  <si>
    <t>Improve farmer training coverage and quality; target women and youth; link training to practical market opportunities; support school attendance through more stable household income; improve rural access to secondary and vocational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</si>
</sst>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20">
    <xf numFmtId="0" fontId="0" fillId="0" borderId="0" xfId="0"/>
    <xf numFmtId="0" fontId="9" fillId="0" borderId="11"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7" fillId="5" borderId="61" xfId="0" applyFont="1" applyFill="1" applyBorder="1" applyAlignment="1" applyProtection="1">
      <alignment horizontal="left" vertical="center" wrapText="1"/>
      <protection locked="0"/>
    </xf>
    <xf numFmtId="0" fontId="17" fillId="5" borderId="57" xfId="0" applyFont="1" applyFill="1" applyBorder="1" applyAlignment="1" applyProtection="1">
      <alignment horizontal="left" vertical="center" wrapText="1"/>
      <protection locked="0"/>
    </xf>
    <xf numFmtId="0" fontId="10" fillId="0" borderId="0" xfId="0" applyFont="1" applyAlignment="1" applyProtection="1">
      <alignment horizontal="left" vertical="top" wrapText="1"/>
      <protection locked="0"/>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66"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10"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0" fillId="0" borderId="72" xfId="0" applyBorder="1" applyAlignment="1">
      <alignment vertical="top" wrapText="1"/>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xf numFmtId="0" fontId="0" fillId="0" borderId="18" xfId="0" applyFont="1" applyBorder="1" applyAlignment="1" applyProtection="1">
      <alignment horizontal="left" vertical="center" wrapText="1"/>
      <protection locked="0"/>
    </xf>
    <xf numFmtId="0" fontId="0" fillId="0" borderId="11" xfId="0" applyFont="1" applyBorder="1" applyAlignment="1" applyProtection="1">
      <alignment horizontal="left" vertical="center" wrapText="1"/>
      <protection locked="0"/>
    </xf>
    <xf numFmtId="0" fontId="0" fillId="0" borderId="12" xfId="0" applyFont="1" applyBorder="1" applyAlignment="1" applyProtection="1">
      <alignment horizontal="left" vertical="center" wrapText="1"/>
      <protection locked="0"/>
    </xf>
    <xf numFmtId="0" fontId="0" fillId="0" borderId="13" xfId="0" applyFont="1" applyBorder="1" applyAlignment="1" applyProtection="1">
      <alignment horizontal="left" vertical="center" wrapText="1"/>
      <protection locked="0"/>
    </xf>
    <xf numFmtId="0" fontId="0" fillId="0" borderId="10" xfId="0" applyFont="1" applyBorder="1" applyAlignment="1" applyProtection="1">
      <alignment vertical="center"/>
      <protection locked="0"/>
    </xf>
    <xf numFmtId="0" fontId="0" fillId="0" borderId="13" xfId="0" applyFont="1" applyBorder="1" applyAlignment="1" applyProtection="1">
      <alignment vertical="center"/>
      <protection locked="0"/>
    </xf>
    <xf numFmtId="0" fontId="0" fillId="0" borderId="4" xfId="0" applyFont="1" applyBorder="1" applyAlignment="1" applyProtection="1">
      <alignment horizontal="left" vertical="center" wrapText="1"/>
      <protection locked="0"/>
    </xf>
    <xf numFmtId="0" fontId="0" fillId="0" borderId="31" xfId="0" applyFont="1" applyBorder="1" applyAlignment="1" applyProtection="1">
      <alignment horizontal="left" vertical="center" wrapText="1"/>
      <protection locked="0"/>
    </xf>
    <xf numFmtId="0" fontId="0" fillId="0" borderId="3" xfId="0" applyFont="1" applyBorder="1" applyAlignment="1" applyProtection="1">
      <alignment horizontal="left" vertical="center" wrapText="1"/>
      <protection locked="0"/>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1.625</c:v>
                </c:pt>
                <c:pt idx="1">
                  <c:v>2</c:v>
                </c:pt>
                <c:pt idx="2">
                  <c:v>1.65</c:v>
                </c:pt>
                <c:pt idx="3">
                  <c:v>1.25</c:v>
                </c:pt>
                <c:pt idx="4">
                  <c:v>1.8611111111111114</c:v>
                </c:pt>
                <c:pt idx="5">
                  <c:v>1.375</c:v>
                </c:pt>
              </c:numCache>
            </c:numRef>
          </c:val>
          <c:extLst>
            <c:ext xmlns:c16="http://schemas.microsoft.com/office/drawing/2014/chart" uri="{C3380CC4-5D6E-409C-BE32-E72D297353CC}">
              <c16:uniqueId val="{00000000-797F-4A64-946E-69B9CA816628}"/>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797F-4A64-946E-69B9CA816628}"/>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topLeftCell="A5" zoomScale="90" zoomScaleNormal="100" zoomScaleSheetLayoutView="90" workbookViewId="0">
      <selection activeCell="Q8" sqref="Q8"/>
    </sheetView>
  </sheetViews>
  <sheetFormatPr defaultColWidth="8.796875" defaultRowHeight="12.75"/>
  <cols>
    <col min="1" max="1" width="20" customWidth="1"/>
    <col min="2" max="2" width="13.265625" customWidth="1"/>
    <col min="3" max="3" width="14.265625" customWidth="1"/>
    <col min="4" max="4" width="10.46484375" customWidth="1"/>
    <col min="5" max="5" width="8.46484375" customWidth="1"/>
    <col min="6" max="6" width="13.46484375" customWidth="1"/>
    <col min="7" max="7" width="11.265625" customWidth="1"/>
    <col min="9" max="9" width="10.796875" hidden="1" customWidth="1"/>
  </cols>
  <sheetData>
    <row r="1" spans="1:10" ht="22.5" customHeight="1" thickBot="1">
      <c r="A1" s="578" t="s">
        <v>208</v>
      </c>
      <c r="B1" s="579"/>
      <c r="C1" s="580"/>
      <c r="D1" s="396" t="s">
        <v>26</v>
      </c>
      <c r="E1" s="326"/>
      <c r="F1" s="549" t="s">
        <v>217</v>
      </c>
      <c r="G1" s="550"/>
      <c r="I1" s="217"/>
    </row>
    <row r="2" spans="1:10" ht="16.5" customHeight="1" thickBot="1">
      <c r="A2" s="398"/>
      <c r="B2" s="112"/>
      <c r="C2" s="112"/>
      <c r="D2" s="327" t="s">
        <v>123</v>
      </c>
      <c r="E2" s="551" t="s">
        <v>218</v>
      </c>
      <c r="F2" s="551"/>
      <c r="G2" s="552"/>
    </row>
    <row r="3" spans="1:10" ht="18" customHeight="1" thickBot="1">
      <c r="A3" s="14" t="s">
        <v>24</v>
      </c>
      <c r="B3" s="553" t="s">
        <v>219</v>
      </c>
      <c r="C3" s="554"/>
      <c r="D3" s="15"/>
      <c r="G3" s="13"/>
      <c r="J3" s="283"/>
    </row>
    <row r="4" spans="1:10" ht="13.5" customHeight="1">
      <c r="A4" s="12"/>
      <c r="G4" s="13"/>
    </row>
    <row r="5" spans="1:10" ht="20.25" customHeight="1">
      <c r="G5" s="13"/>
    </row>
    <row r="6" spans="1:10" ht="18" customHeight="1">
      <c r="G6" s="13"/>
    </row>
    <row r="7" spans="1:10" ht="18" customHeight="1">
      <c r="G7" s="13"/>
    </row>
    <row r="8" spans="1:10" ht="18" customHeight="1">
      <c r="G8" s="13"/>
    </row>
    <row r="9" spans="1:10" ht="18" customHeight="1">
      <c r="G9" s="13"/>
    </row>
    <row r="10" spans="1:10" ht="6" customHeight="1" thickBot="1">
      <c r="A10" s="12"/>
      <c r="G10" s="13"/>
    </row>
    <row r="11" spans="1:10" ht="13.15" hidden="1" thickBot="1">
      <c r="A11" s="12"/>
      <c r="G11" s="13"/>
    </row>
    <row r="12" spans="1:10" ht="13.5" thickBot="1">
      <c r="A12" s="570" t="s">
        <v>82</v>
      </c>
      <c r="B12" s="571"/>
      <c r="C12" s="574" t="s">
        <v>83</v>
      </c>
      <c r="D12" s="575"/>
      <c r="E12" s="555" t="s">
        <v>7</v>
      </c>
      <c r="F12" s="16" t="s">
        <v>84</v>
      </c>
      <c r="G12" s="17" t="str">
        <f>Register!H3</f>
        <v>../../20..</v>
      </c>
    </row>
    <row r="13" spans="1:10" ht="13.5" thickBot="1">
      <c r="A13" s="572"/>
      <c r="B13" s="573"/>
      <c r="C13" s="85" t="s">
        <v>86</v>
      </c>
      <c r="D13" s="86" t="s">
        <v>87</v>
      </c>
      <c r="E13" s="556"/>
      <c r="F13" s="18" t="s">
        <v>86</v>
      </c>
      <c r="G13" s="19" t="s">
        <v>87</v>
      </c>
      <c r="I13" s="218" t="s">
        <v>15</v>
      </c>
    </row>
    <row r="14" spans="1:10" ht="13.9">
      <c r="A14" s="560" t="str">
        <f>Register!A5</f>
        <v>1. WORKING CONDITIONS</v>
      </c>
      <c r="B14" s="561"/>
      <c r="C14" s="328" t="str">
        <f>Register!C10</f>
        <v>Moderate/Low</v>
      </c>
      <c r="D14" s="312">
        <f>Register!B10</f>
        <v>1.625</v>
      </c>
      <c r="E14" s="313" t="str">
        <f>Register!D10</f>
        <v>↑</v>
      </c>
      <c r="F14" s="20" t="str">
        <f>Register!I10</f>
        <v>Not at all</v>
      </c>
      <c r="G14" s="319">
        <f>Register!H10</f>
        <v>0</v>
      </c>
      <c r="I14" s="219" t="e">
        <f>Register!#REF!</f>
        <v>#REF!</v>
      </c>
    </row>
    <row r="15" spans="1:10" ht="13.9">
      <c r="A15" s="562" t="str">
        <f>Register!A11</f>
        <v>2. LAND &amp; WATER RIGHTS</v>
      </c>
      <c r="B15" s="563"/>
      <c r="C15" s="329" t="str">
        <f>Register!C15</f>
        <v>Moderate/Low</v>
      </c>
      <c r="D15" s="314">
        <f>Register!B15</f>
        <v>2</v>
      </c>
      <c r="E15" s="315" t="str">
        <f>Register!D15</f>
        <v>↑</v>
      </c>
      <c r="F15" s="21" t="str">
        <f>Register!I15</f>
        <v>Not at all</v>
      </c>
      <c r="G15" s="320">
        <f>Register!H15</f>
        <v>0</v>
      </c>
      <c r="I15" s="220" t="e">
        <f>Register!#REF!</f>
        <v>#REF!</v>
      </c>
    </row>
    <row r="16" spans="1:10" ht="13.9">
      <c r="A16" s="564" t="str">
        <f>Register!A16</f>
        <v>3. GENDER EQUALITY</v>
      </c>
      <c r="B16" s="565"/>
      <c r="C16" s="329" t="str">
        <f>Register!C22</f>
        <v>Moderate/Low</v>
      </c>
      <c r="D16" s="314">
        <f>Register!B22</f>
        <v>1.65</v>
      </c>
      <c r="E16" s="315" t="str">
        <f>Register!D22</f>
        <v>↑</v>
      </c>
      <c r="F16" s="21" t="str">
        <f>Register!I22</f>
        <v>Not at all</v>
      </c>
      <c r="G16" s="320">
        <f>Register!H22</f>
        <v>0</v>
      </c>
      <c r="I16" s="220" t="e">
        <f>Register!#REF!</f>
        <v>#REF!</v>
      </c>
    </row>
    <row r="17" spans="1:9" ht="13.9">
      <c r="A17" s="566" t="str">
        <f>Register!A23</f>
        <v>4. FOOD AND NUTRITION SECURITY</v>
      </c>
      <c r="B17" s="567"/>
      <c r="C17" s="329" t="str">
        <f>Register!C28</f>
        <v>Not at all</v>
      </c>
      <c r="D17" s="314">
        <f>Register!B28</f>
        <v>1.25</v>
      </c>
      <c r="E17" s="315" t="str">
        <f>Register!D28</f>
        <v>↑</v>
      </c>
      <c r="F17" s="21" t="str">
        <f>Register!I28</f>
        <v>Not at all</v>
      </c>
      <c r="G17" s="320">
        <f>Register!H28</f>
        <v>0</v>
      </c>
      <c r="I17" s="220" t="e">
        <f>Register!#REF!</f>
        <v>#REF!</v>
      </c>
    </row>
    <row r="18" spans="1:9" ht="13.9">
      <c r="A18" s="576" t="str">
        <f>Register!A29</f>
        <v>5. SOCIAL CAPITAL</v>
      </c>
      <c r="B18" s="577"/>
      <c r="C18" s="329" t="str">
        <f>Register!C33</f>
        <v>Moderate/Low</v>
      </c>
      <c r="D18" s="316">
        <f>Register!B33</f>
        <v>1.8611111111111114</v>
      </c>
      <c r="E18" s="315" t="str">
        <f>Register!D33</f>
        <v>↑</v>
      </c>
      <c r="F18" s="306" t="str">
        <f>Register!I33</f>
        <v>Not at all</v>
      </c>
      <c r="G18" s="320">
        <f>Register!H33</f>
        <v>0</v>
      </c>
      <c r="I18" s="305"/>
    </row>
    <row r="19" spans="1:9" ht="14.25" thickBot="1">
      <c r="A19" s="568" t="str">
        <f>Register!A34</f>
        <v>6. LIVING CONDITIONS</v>
      </c>
      <c r="B19" s="569"/>
      <c r="C19" s="330" t="str">
        <f>Register!C39</f>
        <v>Not at all</v>
      </c>
      <c r="D19" s="317">
        <f>Register!B39</f>
        <v>1.375</v>
      </c>
      <c r="E19" s="318" t="str">
        <f>Register!D39</f>
        <v>↑</v>
      </c>
      <c r="F19" s="22" t="str">
        <f>Register!I39</f>
        <v>Not at all</v>
      </c>
      <c r="G19" s="321">
        <f>Register!H39</f>
        <v>0</v>
      </c>
      <c r="I19" s="221" t="e">
        <f>Register!#REF!</f>
        <v>#REF!</v>
      </c>
    </row>
    <row r="20" spans="1:9" s="24" customFormat="1" ht="9" customHeight="1" thickBot="1">
      <c r="A20" s="23"/>
      <c r="E20"/>
      <c r="F20"/>
      <c r="G20" s="13"/>
      <c r="I20" s="222" t="e">
        <f>AVERAGE(I14:I19)</f>
        <v>#REF!</v>
      </c>
    </row>
    <row r="21" spans="1:9" ht="13.5" thickBot="1">
      <c r="A21" s="557" t="s">
        <v>8</v>
      </c>
      <c r="B21" s="558"/>
      <c r="C21" s="558"/>
      <c r="D21" s="558"/>
      <c r="E21" s="558"/>
      <c r="F21" s="558"/>
      <c r="G21" s="559"/>
    </row>
    <row r="22" spans="1:9" ht="107.25" customHeight="1" thickBot="1">
      <c r="A22" s="536"/>
      <c r="B22" s="537"/>
      <c r="C22" s="537"/>
      <c r="D22" s="537"/>
      <c r="E22" s="537"/>
      <c r="F22" s="537"/>
      <c r="G22" s="538"/>
    </row>
    <row r="23" spans="1:9" ht="7.5" customHeight="1" thickBot="1">
      <c r="A23" s="12"/>
      <c r="G23" s="13"/>
    </row>
    <row r="24" spans="1:9" ht="13.5" thickBot="1">
      <c r="A24" s="539" t="s">
        <v>88</v>
      </c>
      <c r="B24" s="540"/>
      <c r="C24" s="540"/>
      <c r="D24" s="547"/>
      <c r="E24" s="547"/>
      <c r="F24" s="547"/>
      <c r="G24" s="548"/>
    </row>
    <row r="25" spans="1:9" ht="105.75" customHeight="1" thickBot="1">
      <c r="A25" s="536"/>
      <c r="B25" s="542"/>
      <c r="C25" s="542"/>
      <c r="D25" s="542"/>
      <c r="E25" s="542"/>
      <c r="F25" s="542"/>
      <c r="G25" s="543"/>
    </row>
    <row r="26" spans="1:9" ht="13.5" thickBot="1">
      <c r="A26" s="539" t="s">
        <v>89</v>
      </c>
      <c r="B26" s="540"/>
      <c r="C26" s="540"/>
      <c r="D26" s="540"/>
      <c r="E26" s="540"/>
      <c r="F26" s="540"/>
      <c r="G26" s="541"/>
    </row>
    <row r="27" spans="1:9" ht="83.25" customHeight="1" thickBot="1">
      <c r="A27" s="544"/>
      <c r="B27" s="545"/>
      <c r="C27" s="545"/>
      <c r="D27" s="545"/>
      <c r="E27" s="545"/>
      <c r="F27" s="545"/>
      <c r="G27" s="546"/>
    </row>
    <row r="28" spans="1:9" ht="13.5" thickBot="1">
      <c r="A28" s="539" t="s">
        <v>16</v>
      </c>
      <c r="B28" s="540"/>
      <c r="C28" s="540"/>
      <c r="D28" s="540"/>
      <c r="E28" s="540"/>
      <c r="F28" s="540"/>
      <c r="G28" s="541"/>
    </row>
    <row r="29" spans="1:9" ht="83.25" customHeight="1" thickBot="1">
      <c r="A29" s="536"/>
      <c r="B29" s="537"/>
      <c r="C29" s="537"/>
      <c r="D29" s="537"/>
      <c r="E29" s="537"/>
      <c r="F29" s="537"/>
      <c r="G29" s="538"/>
    </row>
  </sheetData>
  <sheetProtection password="CC15" sheet="1" objects="1" scenarios="1"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26" activePane="bottomLeft" state="frozen"/>
      <selection pane="bottomLeft" activeCell="F48" sqref="F48"/>
    </sheetView>
  </sheetViews>
  <sheetFormatPr defaultColWidth="8.796875" defaultRowHeight="12.75"/>
  <cols>
    <col min="1" max="1" width="36.73046875" customWidth="1"/>
    <col min="2" max="2" width="10.265625" style="273" customWidth="1"/>
    <col min="3" max="3" width="15.19921875" style="24" customWidth="1"/>
    <col min="4" max="4" width="6.265625" style="24" customWidth="1"/>
    <col min="5" max="5" width="66.46484375" customWidth="1"/>
    <col min="6" max="7" width="39.265625" customWidth="1"/>
    <col min="8" max="8" width="6" style="273" customWidth="1"/>
    <col min="9" max="9" width="14.19921875" style="24" customWidth="1"/>
    <col min="10" max="10" width="8.796875" hidden="1" customWidth="1"/>
    <col min="11" max="11" width="9.19921875" hidden="1" customWidth="1"/>
    <col min="12" max="12" width="14.796875" hidden="1" customWidth="1"/>
    <col min="13" max="13" width="9.19921875" hidden="1" customWidth="1"/>
    <col min="14" max="14" width="9.19921875" customWidth="1"/>
  </cols>
  <sheetData>
    <row r="1" spans="1:15" s="104" customFormat="1" ht="27.75" customHeight="1" thickBot="1">
      <c r="A1" s="583" t="str">
        <f>Profile!F1</f>
        <v>Cocoa</v>
      </c>
      <c r="B1" s="584"/>
      <c r="C1" s="365" t="s">
        <v>21</v>
      </c>
      <c r="D1" s="495" t="str">
        <f>Profile!E2</f>
        <v>Liberia</v>
      </c>
      <c r="E1" s="496"/>
      <c r="F1" s="363" t="s">
        <v>25</v>
      </c>
      <c r="G1" s="364" t="str">
        <f>Profile!B3</f>
        <v xml:space="preserve"> 24 / 09 /2024</v>
      </c>
      <c r="H1" s="581" t="s">
        <v>79</v>
      </c>
      <c r="I1" s="582"/>
      <c r="M1" s="105"/>
    </row>
    <row r="2" spans="1:15" s="104" customFormat="1" ht="10.5" customHeight="1">
      <c r="A2" s="587" t="s">
        <v>9</v>
      </c>
      <c r="B2" s="599" t="s">
        <v>87</v>
      </c>
      <c r="C2" s="602" t="s">
        <v>86</v>
      </c>
      <c r="D2" s="590" t="s">
        <v>7</v>
      </c>
      <c r="E2" s="596" t="s">
        <v>10</v>
      </c>
      <c r="F2" s="590" t="s">
        <v>17</v>
      </c>
      <c r="G2" s="593" t="s">
        <v>85</v>
      </c>
      <c r="H2" s="581" t="s">
        <v>81</v>
      </c>
      <c r="I2" s="582"/>
      <c r="M2" s="105"/>
    </row>
    <row r="3" spans="1:15" s="105" customFormat="1" ht="13.5" customHeight="1" thickBot="1">
      <c r="A3" s="588"/>
      <c r="B3" s="600"/>
      <c r="C3" s="603"/>
      <c r="D3" s="591"/>
      <c r="E3" s="597"/>
      <c r="F3" s="591"/>
      <c r="G3" s="594"/>
      <c r="H3" s="585" t="s">
        <v>80</v>
      </c>
      <c r="I3" s="586"/>
      <c r="L3" s="106" t="str">
        <f>Questionnaire!$N$3</f>
        <v>High</v>
      </c>
      <c r="M3" s="105" t="s">
        <v>19</v>
      </c>
    </row>
    <row r="4" spans="1:15" s="107" customFormat="1" ht="13.5" thickBot="1">
      <c r="A4" s="589"/>
      <c r="B4" s="601"/>
      <c r="C4" s="604"/>
      <c r="D4" s="592"/>
      <c r="E4" s="598"/>
      <c r="F4" s="592"/>
      <c r="G4" s="595"/>
      <c r="H4" s="83" t="s">
        <v>1</v>
      </c>
      <c r="I4" s="84" t="s">
        <v>6</v>
      </c>
      <c r="L4" s="106" t="str">
        <f>Questionnaire!$N$4</f>
        <v>Substantial</v>
      </c>
      <c r="M4" s="105" t="s">
        <v>3</v>
      </c>
    </row>
    <row r="5" spans="1:15" s="105" customFormat="1" ht="15" customHeight="1" thickBot="1">
      <c r="A5" s="52" t="str">
        <f>Questionnaire!$A$3</f>
        <v>1. WORKING CONDITIONS</v>
      </c>
      <c r="B5" s="53"/>
      <c r="C5" s="53"/>
      <c r="D5" s="53"/>
      <c r="E5" s="54"/>
      <c r="F5" s="54"/>
      <c r="G5" s="54"/>
      <c r="H5" s="54"/>
      <c r="I5" s="277"/>
      <c r="L5" s="106" t="str">
        <f>Questionnaire!$N$5</f>
        <v>Moderate/Low</v>
      </c>
      <c r="M5" s="105" t="s">
        <v>20</v>
      </c>
    </row>
    <row r="6" spans="1:15" s="108" customFormat="1" ht="76.5">
      <c r="A6" s="55" t="str">
        <f>Questionnaire!$A$4</f>
        <v>1.1 Respect of labour rights</v>
      </c>
      <c r="B6" s="331">
        <f>Questionnaire!J10</f>
        <v>1.5</v>
      </c>
      <c r="C6" s="332" t="str">
        <f>IF(B6&lt;1.5,$L$6,IF(B6&lt;2.5,$L$5,IF(B6&lt;3.5,$L$4,IF(B6&lt;4.5,$L$3,"n/a"))))</f>
        <v>Moderate/Low</v>
      </c>
      <c r="D6" s="333" t="str">
        <f>IF(H6&lt;B6,"↑",IF(H6&gt;B6,"↓","↔"))</f>
        <v>↑</v>
      </c>
      <c r="E6" s="611" t="s">
        <v>290</v>
      </c>
      <c r="F6" s="612" t="s">
        <v>291</v>
      </c>
      <c r="G6" s="1"/>
      <c r="H6" s="235">
        <v>0</v>
      </c>
      <c r="I6" s="276" t="str">
        <f>IF(H6&lt;1.5,$L$6,IF(H6&lt;2.5,$L$5,IF(H6&lt;3.5,$L$4,IF(H6&lt;4.5,$L$3,"n/a"))))</f>
        <v>Not at all</v>
      </c>
      <c r="K6" s="108" t="s">
        <v>11</v>
      </c>
      <c r="L6" s="106" t="str">
        <f>Questionnaire!$N$6</f>
        <v>Not at all</v>
      </c>
      <c r="M6" s="108" t="s">
        <v>4</v>
      </c>
    </row>
    <row r="7" spans="1:15" s="108" customFormat="1" ht="76.5">
      <c r="A7" s="56" t="str">
        <f>Questionnaire!$A$11</f>
        <v>1.2 Child Labour</v>
      </c>
      <c r="B7" s="334">
        <f>Questionnaire!J14</f>
        <v>1.5</v>
      </c>
      <c r="C7" s="335" t="str">
        <f>IF(B7&lt;1.5,$L$6,IF(B7&lt;2.5,$L$5,IF(B7&lt;3.5,$L$4,IF(B7&lt;4.5,$L$3,"n/a"))))</f>
        <v>Moderate/Low</v>
      </c>
      <c r="D7" s="336" t="str">
        <f>IF(H7&lt;B7,"↑",IF(H7&gt;B7,"↓","↔"))</f>
        <v>↑</v>
      </c>
      <c r="E7" s="2" t="s">
        <v>292</v>
      </c>
      <c r="F7" s="613" t="s">
        <v>293</v>
      </c>
      <c r="G7" s="2"/>
      <c r="H7" s="236">
        <v>0</v>
      </c>
      <c r="I7" s="276" t="str">
        <f>IF(H7&lt;1.5,$L$6,IF(H7&lt;2.5,$L$5,IF(H7&lt;3.5,$L$4,IF(H7&lt;4.5,$L$3,"n/a"))))</f>
        <v>Not at all</v>
      </c>
      <c r="K7" s="108" t="s">
        <v>12</v>
      </c>
      <c r="L7" s="106" t="str">
        <f>Questionnaire!$N$7</f>
        <v>n/a</v>
      </c>
    </row>
    <row r="8" spans="1:15" s="108" customFormat="1" ht="81">
      <c r="A8" s="56" t="str">
        <f>Questionnaire!$A$15</f>
        <v>1.3 Job safety</v>
      </c>
      <c r="B8" s="334">
        <f>Questionnaire!J17</f>
        <v>1</v>
      </c>
      <c r="C8" s="337" t="str">
        <f>IF(B8&lt;1.5,$L$6,IF(B8&lt;2.5,$L$5,IF(B8&lt;3.5,$L$4,IF(B8&lt;4.5,$L$3,"n/a"))))</f>
        <v>Not at all</v>
      </c>
      <c r="D8" s="336" t="str">
        <f>IF(H8&lt;B8,"↑",IF(H8&gt;B8,"↓","↔"))</f>
        <v>↑</v>
      </c>
      <c r="E8" s="613" t="s">
        <v>294</v>
      </c>
      <c r="F8" s="2" t="s">
        <v>295</v>
      </c>
      <c r="G8" s="2"/>
      <c r="H8" s="236">
        <v>0</v>
      </c>
      <c r="I8" s="276" t="str">
        <f>IF(H8&lt;1.5,$L$6,IF(H8&lt;2.5,$L$5,IF(H8&lt;3.5,$L$4,IF(H8&lt;4.5,$L$3,"n/a"))))</f>
        <v>Not at all</v>
      </c>
      <c r="K8" s="108" t="s">
        <v>13</v>
      </c>
      <c r="L8" s="106"/>
    </row>
    <row r="9" spans="1:15" s="108" customFormat="1" ht="81.400000000000006" thickBot="1">
      <c r="A9" s="57" t="str">
        <f>Questionnaire!$A$18</f>
        <v>1.4 Attractiveness</v>
      </c>
      <c r="B9" s="338">
        <f>Questionnaire!J21</f>
        <v>2.5</v>
      </c>
      <c r="C9" s="335" t="str">
        <f>IF(B9&lt;1.5,$L$6,IF(B9&lt;2.5,$L$5,IF(B9&lt;3.5,$L$4,IF(B9&lt;4.5,$L$3,"n/a"))))</f>
        <v>Substantial</v>
      </c>
      <c r="D9" s="339" t="str">
        <f>IF(H9&lt;B9,"↑",IF(H9&gt;B9,"↓","↔"))</f>
        <v>↑</v>
      </c>
      <c r="E9" s="3" t="s">
        <v>296</v>
      </c>
      <c r="F9" s="3" t="s">
        <v>297</v>
      </c>
      <c r="G9" s="3"/>
      <c r="H9" s="237">
        <v>0</v>
      </c>
      <c r="I9" s="247" t="str">
        <f>IF(H9&lt;1.5,$L$6,IF(H9&lt;2.5,$L$5,IF(H9&lt;3.5,$L$4,IF(H9&lt;4.5,$L$3,"n/a"))))</f>
        <v>Not at all</v>
      </c>
      <c r="L9" s="106"/>
    </row>
    <row r="10" spans="1:15" s="108" customFormat="1" ht="18" customHeight="1" thickTop="1" thickBot="1">
      <c r="A10" s="58" t="s">
        <v>14</v>
      </c>
      <c r="B10" s="340">
        <f>IF(COUNT(B6:B9)=0,"n/a",(AVERAGE(B6:B9)))</f>
        <v>1.625</v>
      </c>
      <c r="C10" s="397" t="str">
        <f>IF(B10&lt;1.5,$L$6,IF(B10&lt;2.5,$L$5,IF(B10&lt;3.5,$L$4,IF(B10&lt;4.5,$L$3,"n/a"))))</f>
        <v>Moderate/Low</v>
      </c>
      <c r="D10" s="341" t="str">
        <f>IF(H10&lt;B10,"↑",IF(H10&gt;B10,"↓","↔"))</f>
        <v>↑</v>
      </c>
      <c r="E10" s="10"/>
      <c r="F10" s="109"/>
      <c r="G10" s="109"/>
      <c r="H10" s="11">
        <f>AVERAGE(H6:H9)</f>
        <v>0</v>
      </c>
      <c r="I10" s="275" t="str">
        <f>IF(H10&lt;1.5,$L$6,IF(H10&lt;2.5,$L$5,IF(H10&lt;3.5,$L$4,IF(H10&lt;4.5,$L$3,"n/a"))))</f>
        <v>Not at all</v>
      </c>
      <c r="O10" s="283"/>
    </row>
    <row r="11" spans="1:15" s="108" customFormat="1" ht="15" customHeight="1" thickBot="1">
      <c r="A11" s="59" t="str">
        <f>Questionnaire!$A$22</f>
        <v>2. LAND &amp; WATER RIGHTS</v>
      </c>
      <c r="B11" s="342"/>
      <c r="C11" s="342"/>
      <c r="D11" s="343"/>
      <c r="E11" s="60"/>
      <c r="F11" s="60"/>
      <c r="G11" s="60"/>
      <c r="H11" s="60"/>
      <c r="I11" s="278"/>
    </row>
    <row r="12" spans="1:15" s="108" customFormat="1" ht="18" customHeight="1">
      <c r="A12" s="61" t="str">
        <f>Questionnaire!$A$23</f>
        <v xml:space="preserve">2.1 Adherence to VGGT </v>
      </c>
      <c r="B12" s="344">
        <f>Questionnaire!J26</f>
        <v>2</v>
      </c>
      <c r="C12" s="345" t="str">
        <f>IF(B12&lt;1.5,$L$6,IF(B12&lt;2.5,$L$5,IF(B12&lt;3.5,$L$4,IF(B12&lt;4.5,$L$3,"n/a"))))</f>
        <v>Moderate/Low</v>
      </c>
      <c r="D12" s="336" t="str">
        <f>IF(H12&lt;B12,"↑",IF(H12&gt;B12,"↓","↔"))</f>
        <v>↑</v>
      </c>
      <c r="E12" s="4" t="s">
        <v>298</v>
      </c>
      <c r="F12" s="1" t="s">
        <v>299</v>
      </c>
      <c r="G12" s="1"/>
      <c r="H12" s="235">
        <v>0</v>
      </c>
      <c r="I12" s="276" t="str">
        <f>IF(H12&lt;1.5,$L$6,IF(H12&lt;2.5,$L$5,IF(H12&lt;3.5,$L$4,IF(H12&lt;4.5,$L$3,"n/a"))))</f>
        <v>Not at all</v>
      </c>
    </row>
    <row r="13" spans="1:15" s="108" customFormat="1" ht="16.5" customHeight="1">
      <c r="A13" s="62" t="str">
        <f>Questionnaire!$A$27</f>
        <v>2.2 Transparency, participation and consultation</v>
      </c>
      <c r="B13" s="346">
        <f>Questionnaire!J32</f>
        <v>2</v>
      </c>
      <c r="C13" s="337" t="str">
        <f>IF(B13&lt;1.5,$L$6,IF(B13&lt;2.5,$L$5,IF(B13&lt;3.5,$L$4,IF(B13&lt;4.5,$L$3,"n/a"))))</f>
        <v>Moderate/Low</v>
      </c>
      <c r="D13" s="336" t="str">
        <f>IF(H13&lt;B13,"↑",IF(H13&gt;B13,"↓","↔"))</f>
        <v>↑</v>
      </c>
      <c r="E13" s="5" t="s">
        <v>300</v>
      </c>
      <c r="F13" s="2" t="s">
        <v>301</v>
      </c>
      <c r="G13" s="2"/>
      <c r="H13" s="236">
        <v>0</v>
      </c>
      <c r="I13" s="276" t="str">
        <f>IF(H13&lt;1.5,$L$6,IF(H13&lt;2.5,$L$5,IF(H13&lt;3.5,$L$4,IF(H13&lt;4.5,$L$3,"n/a"))))</f>
        <v>Not at all</v>
      </c>
    </row>
    <row r="14" spans="1:15" s="108" customFormat="1" ht="18.75" customHeight="1" thickBot="1">
      <c r="A14" s="63" t="str">
        <f>Questionnaire!$A$33</f>
        <v>2.3  Equity,compensation and justice</v>
      </c>
      <c r="B14" s="347">
        <f>Questionnaire!J38</f>
        <v>2</v>
      </c>
      <c r="C14" s="335" t="str">
        <f>IF(B14&lt;1.5,$L$6,IF(B14&lt;2.5,$L$5,IF(B14&lt;3.5,$L$4,IF(B14&lt;4.5,$L$3,"n/a"))))</f>
        <v>Moderate/Low</v>
      </c>
      <c r="D14" s="339" t="str">
        <f>IF(H14&lt;B14,"↑",IF(H14&gt;B14,"↓","↔"))</f>
        <v>↑</v>
      </c>
      <c r="E14" s="6" t="s">
        <v>302</v>
      </c>
      <c r="F14" s="614" t="s">
        <v>303</v>
      </c>
      <c r="G14" s="3"/>
      <c r="H14" s="237">
        <v>0</v>
      </c>
      <c r="I14" s="247" t="str">
        <f>IF(H14&lt;1.5,$L$6,IF(H14&lt;2.5,$L$5,IF(H14&lt;3.5,$L$4,IF(H14&lt;4.5,$L$3,"n/a"))))</f>
        <v>Not at all</v>
      </c>
    </row>
    <row r="15" spans="1:15" s="105" customFormat="1" ht="13.5" thickTop="1" thickBot="1">
      <c r="A15" s="64" t="s">
        <v>14</v>
      </c>
      <c r="B15" s="348">
        <f>IF(COUNT(B12:B14)=0,"n/a",(AVERAGE(B12:B14)))</f>
        <v>2</v>
      </c>
      <c r="C15" s="349" t="str">
        <f>IF(B15&lt;1.5,$L$6,IF(B15&lt;2.5,$L$5,IF(B15&lt;3.5,$L$4,IF(B15&lt;4.5,$L$3,"n/a"))))</f>
        <v>Moderate/Low</v>
      </c>
      <c r="D15" s="341" t="str">
        <f>IF(H15&lt;B15,"↑",IF(H15&gt;B15,"↓","↔"))</f>
        <v>↑</v>
      </c>
      <c r="E15" s="109"/>
      <c r="F15" s="109"/>
      <c r="G15" s="109"/>
      <c r="H15" s="9">
        <f>AVERAGE(H12:H14)</f>
        <v>0</v>
      </c>
      <c r="I15" s="275" t="str">
        <f>IF(H15&lt;1.5,$L$6,IF(H15&lt;2.5,$L$5,IF(H15&lt;3.5,$L$4,IF(H15&lt;4.5,$L$3,"n/a"))))</f>
        <v>Not at all</v>
      </c>
    </row>
    <row r="16" spans="1:15" s="108" customFormat="1" ht="15" customHeight="1" thickBot="1">
      <c r="A16" s="65" t="str">
        <f>Questionnaire!$A$39</f>
        <v>3. GENDER EQUALITY</v>
      </c>
      <c r="B16" s="342"/>
      <c r="C16" s="342"/>
      <c r="D16" s="342"/>
      <c r="E16" s="66"/>
      <c r="F16" s="66"/>
      <c r="G16" s="66"/>
      <c r="H16" s="66"/>
      <c r="I16" s="279"/>
    </row>
    <row r="17" spans="1:9" s="108" customFormat="1" ht="94.5">
      <c r="A17" s="67" t="str">
        <f>Questionnaire!$A$40</f>
        <v>3.1 Economic activities</v>
      </c>
      <c r="B17" s="344">
        <f>Questionnaire!J43</f>
        <v>1.5</v>
      </c>
      <c r="C17" s="345" t="str">
        <f t="shared" ref="C17:C22" si="0">IF(B17&lt;1.5,$L$6,IF(B17&lt;2.5,$L$5,IF(B17&lt;3.5,$L$4,IF(B17&lt;4.5,$L$3,"n/a"))))</f>
        <v>Moderate/Low</v>
      </c>
      <c r="D17" s="336" t="str">
        <f>IF(H17&lt;B17,"↑",IF(H17&gt;B17,"↓","↔"))</f>
        <v>↑</v>
      </c>
      <c r="E17" s="4" t="s">
        <v>304</v>
      </c>
      <c r="F17" s="1" t="s">
        <v>305</v>
      </c>
      <c r="G17" s="1"/>
      <c r="H17" s="235">
        <v>0</v>
      </c>
      <c r="I17" s="276" t="str">
        <f t="shared" ref="I17:I22" si="1">IF(H17&lt;1.5,$L$6,IF(H17&lt;2.5,$L$5,IF(H17&lt;3.5,$L$4,IF(H17&lt;4.5,$L$3,"n/a"))))</f>
        <v>Not at all</v>
      </c>
    </row>
    <row r="18" spans="1:9" s="108" customFormat="1" ht="81">
      <c r="A18" s="67" t="str">
        <f>Questionnaire!$A$44</f>
        <v>3.2 Access to resources and services</v>
      </c>
      <c r="B18" s="346">
        <f>Questionnaire!J49</f>
        <v>1.75</v>
      </c>
      <c r="C18" s="350" t="str">
        <f t="shared" si="0"/>
        <v>Moderate/Low</v>
      </c>
      <c r="D18" s="336" t="str">
        <f t="shared" ref="D18:D20" si="2">IF(H18&lt;B18,"↑",IF(H18&gt;B18,"↓","↔"))</f>
        <v>↑</v>
      </c>
      <c r="E18" s="5" t="s">
        <v>306</v>
      </c>
      <c r="F18" s="2" t="s">
        <v>307</v>
      </c>
      <c r="G18" s="2"/>
      <c r="H18" s="236">
        <v>0</v>
      </c>
      <c r="I18" s="276" t="str">
        <f t="shared" si="1"/>
        <v>Not at all</v>
      </c>
    </row>
    <row r="19" spans="1:9" s="108" customFormat="1" ht="94.5">
      <c r="A19" s="67" t="str">
        <f>Questionnaire!$A$50</f>
        <v>3.3 Decision making</v>
      </c>
      <c r="B19" s="346">
        <f>Questionnaire!J56</f>
        <v>2</v>
      </c>
      <c r="C19" s="337" t="str">
        <f t="shared" si="0"/>
        <v>Moderate/Low</v>
      </c>
      <c r="D19" s="351" t="str">
        <f t="shared" si="2"/>
        <v>↑</v>
      </c>
      <c r="E19" s="240" t="s">
        <v>308</v>
      </c>
      <c r="F19" s="2" t="s">
        <v>309</v>
      </c>
      <c r="G19" s="241"/>
      <c r="H19" s="239">
        <v>0</v>
      </c>
      <c r="I19" s="276" t="str">
        <f t="shared" si="1"/>
        <v>Not at all</v>
      </c>
    </row>
    <row r="20" spans="1:9" s="108" customFormat="1" ht="94.5">
      <c r="A20" s="67" t="str">
        <f>Questionnaire!$A$57</f>
        <v>3.4 Leadership and empowerment</v>
      </c>
      <c r="B20" s="346">
        <f>Questionnaire!J62</f>
        <v>2</v>
      </c>
      <c r="C20" s="335" t="str">
        <f t="shared" si="0"/>
        <v>Moderate/Low</v>
      </c>
      <c r="D20" s="336" t="str">
        <f t="shared" si="2"/>
        <v>↑</v>
      </c>
      <c r="E20" s="81" t="s">
        <v>310</v>
      </c>
      <c r="F20" s="82" t="s">
        <v>311</v>
      </c>
      <c r="G20" s="82"/>
      <c r="H20" s="236">
        <v>0</v>
      </c>
      <c r="I20" s="276" t="str">
        <f t="shared" si="1"/>
        <v>Not at all</v>
      </c>
    </row>
    <row r="21" spans="1:9" s="108" customFormat="1" ht="81.400000000000006" thickBot="1">
      <c r="A21" s="68" t="str">
        <f>Questionnaire!$A$63</f>
        <v>3.5 Hardship and division of labour</v>
      </c>
      <c r="B21" s="347">
        <f>Questionnaire!J66</f>
        <v>1</v>
      </c>
      <c r="C21" s="352" t="str">
        <f t="shared" si="0"/>
        <v>Not at all</v>
      </c>
      <c r="D21" s="339" t="str">
        <f>IF(H21&lt;B21,"↑",IF(H21&gt;B21,"↓","↔"))</f>
        <v>↑</v>
      </c>
      <c r="E21" s="6" t="s">
        <v>312</v>
      </c>
      <c r="F21" s="3" t="s">
        <v>313</v>
      </c>
      <c r="G21" s="3"/>
      <c r="H21" s="237">
        <v>0</v>
      </c>
      <c r="I21" s="247" t="str">
        <f t="shared" si="1"/>
        <v>Not at all</v>
      </c>
    </row>
    <row r="22" spans="1:9" s="105" customFormat="1" ht="13.5" thickTop="1" thickBot="1">
      <c r="A22" s="80" t="s">
        <v>14</v>
      </c>
      <c r="B22" s="348">
        <f>IF(COUNT(B17:B21)=0,"n/a",(AVERAGE(B17:B21)))</f>
        <v>1.65</v>
      </c>
      <c r="C22" s="353" t="str">
        <f t="shared" si="0"/>
        <v>Moderate/Low</v>
      </c>
      <c r="D22" s="341" t="str">
        <f>IF(H22&lt;B22,"↑",IF(H22&gt;B22,"↓","↔"))</f>
        <v>↑</v>
      </c>
      <c r="E22" s="109"/>
      <c r="F22" s="109"/>
      <c r="G22" s="109"/>
      <c r="H22" s="9">
        <f>AVERAGE(H17:H21)</f>
        <v>0</v>
      </c>
      <c r="I22" s="275" t="str">
        <f t="shared" si="1"/>
        <v>Not at all</v>
      </c>
    </row>
    <row r="23" spans="1:9" s="108" customFormat="1" ht="15" customHeight="1" thickBot="1">
      <c r="A23" s="51" t="str">
        <f>Questionnaire!$A$67</f>
        <v>4. FOOD AND NUTRITION SECURITY</v>
      </c>
      <c r="B23" s="342"/>
      <c r="C23" s="342"/>
      <c r="D23" s="342"/>
      <c r="E23" s="69"/>
      <c r="F23" s="69"/>
      <c r="G23" s="69"/>
      <c r="H23" s="69"/>
      <c r="I23" s="280"/>
    </row>
    <row r="24" spans="1:9" s="108" customFormat="1" ht="18.75" customHeight="1">
      <c r="A24" s="70" t="str">
        <f>Questionnaire!$A$68</f>
        <v xml:space="preserve">4.1 Availability of food </v>
      </c>
      <c r="B24" s="344">
        <f>Questionnaire!J71</f>
        <v>1</v>
      </c>
      <c r="C24" s="345" t="str">
        <f>IF(B24&lt;1.5,$L$6,IF(B24&lt;2.5,$L$5,IF(B24&lt;3.5,$L$4,IF(B24&lt;4.5,$L$3,"n/a"))))</f>
        <v>Not at all</v>
      </c>
      <c r="D24" s="333" t="str">
        <f>IF(H24&lt;B24,"↑",IF(H24&gt;B24,"↓","↔"))</f>
        <v>↑</v>
      </c>
      <c r="E24" s="4" t="s">
        <v>314</v>
      </c>
      <c r="F24" s="1" t="s">
        <v>315</v>
      </c>
      <c r="G24" s="1"/>
      <c r="H24" s="235">
        <v>0</v>
      </c>
      <c r="I24" s="276" t="str">
        <f>IF(H24&lt;1.5,$L$6,IF(H24&lt;2.5,$L$5,IF(H24&lt;3.5,$L$4,IF(H24&lt;4.5,$L$3,"n/a"))))</f>
        <v>Not at all</v>
      </c>
    </row>
    <row r="25" spans="1:9" s="108" customFormat="1" ht="16.5" customHeight="1">
      <c r="A25" s="71" t="str">
        <f>Questionnaire!$A$72</f>
        <v xml:space="preserve">4.2 Accessibility of food </v>
      </c>
      <c r="B25" s="346">
        <f>Questionnaire!J75</f>
        <v>1.5</v>
      </c>
      <c r="C25" s="337" t="str">
        <f>IF(B25&lt;1.5,$L$6,IF(B25&lt;2.5,$L$5,IF(B25&lt;3.5,$L$4,IF(B25&lt;4.5,$L$3,"n/a"))))</f>
        <v>Moderate/Low</v>
      </c>
      <c r="D25" s="336" t="str">
        <f>IF(H25&lt;B25,"↑",IF(H25&gt;B25,"↓","↔"))</f>
        <v>↑</v>
      </c>
      <c r="E25" s="5" t="s">
        <v>316</v>
      </c>
      <c r="F25" s="2" t="s">
        <v>317</v>
      </c>
      <c r="G25" s="2"/>
      <c r="H25" s="236">
        <v>0</v>
      </c>
      <c r="I25" s="276" t="str">
        <f>IF(H25&lt;1.5,$L$6,IF(H25&lt;2.5,$L$5,IF(H25&lt;3.5,$L$4,IF(H25&lt;4.5,$L$3,"n/a"))))</f>
        <v>Not at all</v>
      </c>
    </row>
    <row r="26" spans="1:9" s="108" customFormat="1" ht="81">
      <c r="A26" s="72" t="str">
        <f>Questionnaire!$A$76</f>
        <v xml:space="preserve">4.3 Utilisation and nutritional adequacy </v>
      </c>
      <c r="B26" s="346">
        <f>Questionnaire!J80</f>
        <v>1</v>
      </c>
      <c r="C26" s="337" t="str">
        <f>IF(B26&lt;1.5,$L$6,IF(B26&lt;2.5,$L$5,IF(B26&lt;3.5,$L$4,IF(B26&lt;4.5,$L$3,"n/a"))))</f>
        <v>Not at all</v>
      </c>
      <c r="D26" s="336" t="str">
        <f>IF(H26&lt;B26,"↑",IF(H26&gt;B26,"↓","↔"))</f>
        <v>↑</v>
      </c>
      <c r="E26" s="5" t="s">
        <v>318</v>
      </c>
      <c r="F26" s="2" t="s">
        <v>319</v>
      </c>
      <c r="G26" s="2"/>
      <c r="H26" s="236">
        <v>0</v>
      </c>
      <c r="I26" s="276" t="str">
        <f>IF(H26&lt;1.5,$L$6,IF(H26&lt;2.5,$L$5,IF(H26&lt;3.5,$L$4,IF(H26&lt;4.5,$L$3,"n/a"))))</f>
        <v>Not at all</v>
      </c>
    </row>
    <row r="27" spans="1:9" s="108" customFormat="1" ht="81.400000000000006" thickBot="1">
      <c r="A27" s="73" t="str">
        <f>Questionnaire!$A$81</f>
        <v xml:space="preserve">4.4 Stability </v>
      </c>
      <c r="B27" s="347">
        <f>Questionnaire!J84</f>
        <v>1.5</v>
      </c>
      <c r="C27" s="335" t="str">
        <f>IF(B27&lt;1.5,$L$6,IF(B27&lt;2.5,$L$5,IF(B27&lt;3.5,$L$4,IF(B27&lt;4.5,$L$3,"n/a"))))</f>
        <v>Moderate/Low</v>
      </c>
      <c r="D27" s="339" t="str">
        <f>IF(H27&lt;B27,"↑",IF(H27&gt;B27,"↓","↔"))</f>
        <v>↑</v>
      </c>
      <c r="E27" s="6" t="s">
        <v>320</v>
      </c>
      <c r="F27" s="3" t="s">
        <v>321</v>
      </c>
      <c r="G27" s="614" t="s">
        <v>322</v>
      </c>
      <c r="H27" s="237">
        <v>0</v>
      </c>
      <c r="I27" s="247" t="str">
        <f>IF(H27&lt;1.5,$L$6,IF(H27&lt;2.5,$L$5,IF(H27&lt;3.5,$L$4,IF(H27&lt;4.5,$L$3,"n/a"))))</f>
        <v>Not at all</v>
      </c>
    </row>
    <row r="28" spans="1:9" s="105" customFormat="1" ht="13.5" thickTop="1" thickBot="1">
      <c r="A28" s="74" t="s">
        <v>14</v>
      </c>
      <c r="B28" s="348">
        <f>IF(COUNT(B24:B27)=0,"n/a",(AVERAGE(B24:B27)))</f>
        <v>1.25</v>
      </c>
      <c r="C28" s="349" t="str">
        <f>IF(B28&lt;1.5,$L$6,IF(B28&lt;2.5,$L$5,IF(B28&lt;3.5,$L$4,IF(B28&lt;4.5,$L$3,"n/a"))))</f>
        <v>Not at all</v>
      </c>
      <c r="D28" s="341" t="str">
        <f>IF(H28&lt;B28,"↑",IF(H28&gt;B28,"↓","↔"))</f>
        <v>↑</v>
      </c>
      <c r="E28" s="109"/>
      <c r="F28" s="109"/>
      <c r="G28" s="109"/>
      <c r="H28" s="9">
        <f>AVERAGE(H24:H27)</f>
        <v>0</v>
      </c>
      <c r="I28" s="275" t="str">
        <f>IF(H28&lt;1.5,$L$6,IF(H28&lt;2.5,$L$5,IF(H28&lt;3.5,$L$4,IF(H28&lt;4.5,$L$3,"n/a"))))</f>
        <v>Not at all</v>
      </c>
    </row>
    <row r="29" spans="1:9" s="105" customFormat="1" ht="13.5" thickBot="1">
      <c r="A29" s="304" t="str">
        <f>Questionnaire!$A$85</f>
        <v>5. SOCIAL CAPITAL</v>
      </c>
      <c r="B29" s="354"/>
      <c r="C29" s="355"/>
      <c r="D29" s="355"/>
      <c r="E29" s="296"/>
      <c r="F29" s="296"/>
      <c r="G29" s="296"/>
      <c r="H29" s="297"/>
      <c r="I29" s="298"/>
    </row>
    <row r="30" spans="1:9" s="105" customFormat="1">
      <c r="A30" s="301" t="str">
        <f>Questionnaire!$A$86</f>
        <v>5.1 Strength of producer organisations</v>
      </c>
      <c r="B30" s="356">
        <f>Questionnaire!J91</f>
        <v>1.75</v>
      </c>
      <c r="C30" s="332" t="str">
        <f>IF(B30&lt;1.5,$L$6,IF(B30&lt;2.5,$L$5,IF(B30&lt;3.5,$L$4,IF(B30&lt;4.5,$L$3,"n/a"))))</f>
        <v>Moderate/Low</v>
      </c>
      <c r="D30" s="333" t="str">
        <f t="shared" ref="D30:D32" si="3">IF(H30&lt;B30,"↑",IF(H30&gt;B30,"↓","↔"))</f>
        <v>↑</v>
      </c>
      <c r="E30" s="615" t="s">
        <v>323</v>
      </c>
      <c r="F30" s="399" t="s">
        <v>324</v>
      </c>
      <c r="G30" s="400"/>
      <c r="H30" s="235">
        <v>0</v>
      </c>
      <c r="I30" s="276" t="str">
        <f>IF(H30&lt;1.5,$L$6,IF(H30&lt;2.5,$L$5,IF(H30&lt;3.5,$L$4,IF(H30&lt;4.5,$L$3,"n/a"))))</f>
        <v>Not at all</v>
      </c>
    </row>
    <row r="31" spans="1:9" s="105" customFormat="1">
      <c r="A31" s="302" t="str">
        <f>Questionnaire!$A$92</f>
        <v>5.2 Information and confidence</v>
      </c>
      <c r="B31" s="357">
        <f>Questionnaire!J95</f>
        <v>1.5</v>
      </c>
      <c r="C31" s="337" t="str">
        <f>IF(B31&lt;1.5,$L$6,IF(B31&lt;2.5,$L$5,IF(B31&lt;3.5,$L$4,IF(B31&lt;4.5,$L$3,"n/a"))))</f>
        <v>Moderate/Low</v>
      </c>
      <c r="D31" s="350" t="str">
        <f t="shared" si="3"/>
        <v>↑</v>
      </c>
      <c r="E31" s="401" t="s">
        <v>325</v>
      </c>
      <c r="F31" s="402" t="s">
        <v>326</v>
      </c>
      <c r="G31" s="403"/>
      <c r="H31" s="235">
        <v>0</v>
      </c>
      <c r="I31" s="276" t="str">
        <f>IF(H31&lt;1.5,$L$6,IF(H31&lt;2.5,$L$5,IF(H31&lt;3.5,$L$4,IF(H31&lt;4.5,$L$3,"n/a"))))</f>
        <v>Not at all</v>
      </c>
    </row>
    <row r="32" spans="1:9" s="105" customFormat="1" ht="13.15" thickBot="1">
      <c r="A32" s="303" t="str">
        <f>Questionnaire!$A$96</f>
        <v>5.3 Social involvement</v>
      </c>
      <c r="B32" s="358">
        <f>Questionnaire!J100</f>
        <v>2.3333333333333335</v>
      </c>
      <c r="C32" s="335" t="str">
        <f>IF(B32&lt;1.5,$L$6,IF(B32&lt;2.5,$L$5,IF(B32&lt;3.5,$L$4,IF(B32&lt;4.5,$L$3,"n/a"))))</f>
        <v>Moderate/Low</v>
      </c>
      <c r="D32" s="352" t="str">
        <f t="shared" si="3"/>
        <v>↑</v>
      </c>
      <c r="E32" s="616" t="s">
        <v>327</v>
      </c>
      <c r="F32" s="404" t="s">
        <v>328</v>
      </c>
      <c r="G32" s="405"/>
      <c r="H32" s="237">
        <v>0</v>
      </c>
      <c r="I32" s="243" t="str">
        <f>IF(H32&lt;1.5,$L$6,IF(H32&lt;2.5,$L$5,IF(H32&lt;3.5,$L$4,IF(H32&lt;4.5,$L$3,"n/a"))))</f>
        <v>Not at all</v>
      </c>
    </row>
    <row r="33" spans="1:9" s="105" customFormat="1" ht="13.5" thickTop="1" thickBot="1">
      <c r="A33" s="299" t="s">
        <v>14</v>
      </c>
      <c r="B33" s="348">
        <f>IF(COUNT(B30:B32)=0,"n/a",(AVERAGE(B30:B32)))</f>
        <v>1.8611111111111114</v>
      </c>
      <c r="C33" s="349" t="str">
        <f>IF(B33&lt;1.5,$L$6,IF(B33&lt;2.5,$L$5,IF(B33&lt;3.5,$L$4,IF(B33&lt;4.5,$L$3,"n/a"))))</f>
        <v>Moderate/Low</v>
      </c>
      <c r="D33" s="341" t="str">
        <f>IF(H33&lt;B33,"↑",IF(H33&gt;B33,"↓","↔"))</f>
        <v>↑</v>
      </c>
      <c r="E33" s="109"/>
      <c r="F33" s="300"/>
      <c r="G33" s="109"/>
      <c r="H33" s="9">
        <f>AVERAGE(H30:H32)</f>
        <v>0</v>
      </c>
      <c r="I33" s="284" t="str">
        <f>IF(H33&lt;1.5,$L$6,IF(H33&lt;2.5,$L$5,IF(H33&lt;3.5,$L$4,IF(H33&lt;4.5,$L$3,"n/a"))))</f>
        <v>Not at all</v>
      </c>
    </row>
    <row r="34" spans="1:9" s="108" customFormat="1" ht="15" customHeight="1" thickBot="1">
      <c r="A34" s="75" t="str">
        <f>Questionnaire!$A$101</f>
        <v>6. LIVING CONDITIONS</v>
      </c>
      <c r="B34" s="359"/>
      <c r="C34" s="360"/>
      <c r="D34" s="360"/>
      <c r="E34" s="77"/>
      <c r="F34" s="77"/>
      <c r="G34" s="77"/>
      <c r="H34" s="76"/>
      <c r="I34" s="281"/>
    </row>
    <row r="35" spans="1:9" s="108" customFormat="1" ht="15" customHeight="1" thickBot="1">
      <c r="A35" s="244" t="str">
        <f>Questionnaire!$A$102</f>
        <v>6.1 Health services</v>
      </c>
      <c r="B35" s="361">
        <f>Questionnaire!J106</f>
        <v>1.6666666666666667</v>
      </c>
      <c r="C35" s="345" t="str">
        <f>IF(B35&lt;1.5,$L$6,IF(B35&lt;2.5,$L$5,IF(B35&lt;3.5,$L$4,IF(B35&lt;4.5,$L$3,"n/a"))))</f>
        <v>Moderate/Low</v>
      </c>
      <c r="D35" s="362" t="str">
        <f>IF(H35&lt;B35,"↑",IF(H35&gt;B35,"↓","↔"))</f>
        <v>↑</v>
      </c>
      <c r="E35" s="617" t="s">
        <v>329</v>
      </c>
      <c r="F35" s="618" t="s">
        <v>330</v>
      </c>
      <c r="G35" s="4"/>
      <c r="H35" s="238">
        <v>0</v>
      </c>
      <c r="I35" s="276" t="str">
        <f>IF(H35&lt;1.5,$L$6,IF(H35&lt;2.5,$L$5,IF(H35&lt;3.5,$L$4,IF(H35&lt;4.5,$L$3,"n/a"))))</f>
        <v>Not at all</v>
      </c>
    </row>
    <row r="36" spans="1:9" s="108" customFormat="1" ht="15" customHeight="1" thickTop="1" thickBot="1">
      <c r="A36" s="78" t="str">
        <f>Questionnaire!$A$107</f>
        <v>6.2 Housing</v>
      </c>
      <c r="B36" s="346">
        <f>Questionnaire!J110</f>
        <v>1</v>
      </c>
      <c r="C36" s="337" t="str">
        <f>IF(B36&lt;1.5,$L$6,IF(B36&lt;2.5,$L$5,IF(B36&lt;3.5,$L$4,IF(B36&lt;4.5,$L$3,"n/a"))))</f>
        <v>Not at all</v>
      </c>
      <c r="D36" s="337" t="str">
        <f>IF(H36&lt;B36,"↑",IF(H36&gt;B36,"↓","↔"))</f>
        <v>↑</v>
      </c>
      <c r="E36" s="619" t="s">
        <v>331</v>
      </c>
      <c r="F36" s="242" t="s">
        <v>332</v>
      </c>
      <c r="G36" s="5"/>
      <c r="H36" s="238">
        <v>0</v>
      </c>
      <c r="I36" s="276" t="str">
        <f>IF(H36&lt;1.5,$L$6,IF(H36&lt;2.5,$L$5,IF(H36&lt;3.5,$L$4,IF(H36&lt;4.5,$L$3,"n/a"))))</f>
        <v>Not at all</v>
      </c>
    </row>
    <row r="37" spans="1:9" s="108" customFormat="1" ht="15" customHeight="1" thickTop="1" thickBot="1">
      <c r="A37" s="245" t="str">
        <f>Questionnaire!$A$111</f>
        <v>6.3 Education and training</v>
      </c>
      <c r="B37" s="361">
        <f>Questionnaire!J115</f>
        <v>1.3333333333333333</v>
      </c>
      <c r="C37" s="337" t="str">
        <f>IF(B37&lt;1.5,$L$6,IF(B37&lt;2.5,$L$5,IF(B37&lt;3.5,$L$4,IF(B37&lt;4.5,$L$3,"n/a"))))</f>
        <v>Not at all</v>
      </c>
      <c r="D37" s="362" t="str">
        <f>IF(H37&lt;B37,"↑",IF(H37&gt;B37,"↓","↔"))</f>
        <v>↑</v>
      </c>
      <c r="E37" s="5" t="s">
        <v>333</v>
      </c>
      <c r="F37" s="242" t="s">
        <v>334</v>
      </c>
      <c r="G37" s="5"/>
      <c r="H37" s="238">
        <v>0</v>
      </c>
      <c r="I37" s="276" t="str">
        <f>IF(H37&lt;1.5,$L$6,IF(H37&lt;2.5,$L$5,IF(H37&lt;3.5,$L$4,IF(H37&lt;4.5,$L$3,"n/a"))))</f>
        <v>Not at all</v>
      </c>
    </row>
    <row r="38" spans="1:9" s="108" customFormat="1" ht="15" customHeight="1" thickTop="1" thickBot="1">
      <c r="A38" s="246" t="str">
        <f>Questionnaire!$A$116</f>
        <v>6.4 Mobility ??????</v>
      </c>
      <c r="B38" s="347">
        <f>Questionnaire!J120</f>
        <v>1.5</v>
      </c>
      <c r="C38" s="335" t="str">
        <f>IF(B38&lt;1.5,$L$6,IF(B38&lt;2.5,$L$5,IF(B38&lt;3.5,$L$4,IF(B38&lt;4.5,$L$3,"n/a"))))</f>
        <v>Moderate/Low</v>
      </c>
      <c r="D38" s="352" t="str">
        <f>IF(H38&lt;B38,"↑",IF(H38&gt;B38,"↓","↔"))</f>
        <v>↑</v>
      </c>
      <c r="E38" s="7"/>
      <c r="F38" s="8"/>
      <c r="G38" s="8"/>
      <c r="H38" s="238">
        <v>0</v>
      </c>
      <c r="I38" s="247" t="str">
        <f>IF(H38&lt;1.5,$L$6,IF(H38&lt;2.5,$L$5,IF(H38&lt;3.5,$L$4,IF(H38&lt;4.5,$L$3,"n/a"))))</f>
        <v>Not at all</v>
      </c>
    </row>
    <row r="39" spans="1:9" s="105" customFormat="1" ht="13.5" thickTop="1" thickBot="1">
      <c r="A39" s="79" t="s">
        <v>14</v>
      </c>
      <c r="B39" s="340">
        <f>IF(COUNT(B35:B38)=0,"n/a",(AVERAGE(B35:B38)))</f>
        <v>1.375</v>
      </c>
      <c r="C39" s="349" t="str">
        <f>IF(B39&lt;1.5,$L$6,IF(B39&lt;2.5,$L$5,IF(B39&lt;3.5,$L$4,IF(B39&lt;4.5,$L$3,"n/a"))))</f>
        <v>Not at all</v>
      </c>
      <c r="D39" s="341" t="str">
        <f>IF(H39&lt;B39,"↑",IF(H39&gt;B39,"↓","↔"))</f>
        <v>↑</v>
      </c>
      <c r="E39" s="109"/>
      <c r="F39" s="109"/>
      <c r="G39" s="109"/>
      <c r="H39" s="9">
        <f>AVERAGE(H35:H38)</f>
        <v>0</v>
      </c>
      <c r="I39" s="282" t="str">
        <f>IF(H39&lt;1.5,$L$6,IF(H39&lt;2.5,$L$5,IF(H39&lt;3.5,$L$4,IF(H39&lt;4.5,$L$3,"n/a"))))</f>
        <v>Not at all</v>
      </c>
    </row>
    <row r="40" spans="1:9">
      <c r="B40" s="272"/>
      <c r="C40" s="274"/>
      <c r="I40" s="274"/>
    </row>
    <row r="41" spans="1:9">
      <c r="C41" s="110"/>
    </row>
    <row r="44" spans="1:9">
      <c r="D44"/>
      <c r="I44"/>
    </row>
    <row r="45" spans="1:9">
      <c r="F45" s="111"/>
    </row>
    <row r="46" spans="1:9">
      <c r="B46" s="271"/>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tabSelected="1" zoomScaleNormal="100" zoomScaleSheetLayoutView="100" workbookViewId="0">
      <pane ySplit="2" topLeftCell="A76" activePane="bottomLeft" state="frozen"/>
      <selection pane="bottomLeft" activeCell="D82" sqref="D82"/>
    </sheetView>
  </sheetViews>
  <sheetFormatPr defaultColWidth="8.796875" defaultRowHeight="12.75"/>
  <cols>
    <col min="1" max="1" width="18" customWidth="1"/>
    <col min="2" max="2" width="29" customWidth="1"/>
    <col min="3" max="3" width="30.53125" style="159" customWidth="1"/>
    <col min="4" max="4" width="14.46484375" style="160" customWidth="1"/>
    <col min="5" max="6" width="7.46484375" style="24" customWidth="1"/>
    <col min="7" max="7" width="1.19921875" style="24" customWidth="1"/>
    <col min="8" max="8" width="7.46484375" style="24" customWidth="1"/>
    <col min="9" max="9" width="12.53125" style="24" customWidth="1"/>
    <col min="10" max="10" width="12.265625" style="24" customWidth="1"/>
    <col min="11" max="11" width="65.796875" customWidth="1"/>
    <col min="12" max="12" width="15.53125" style="159" customWidth="1"/>
    <col min="13" max="13" width="13.46484375" hidden="1" customWidth="1"/>
    <col min="14" max="14" width="14.796875" hidden="1" customWidth="1"/>
    <col min="15" max="15" width="11.19921875" hidden="1" customWidth="1"/>
    <col min="16" max="16" width="13.796875" customWidth="1"/>
  </cols>
  <sheetData>
    <row r="1" spans="1:15" ht="21" customHeight="1" thickBot="1">
      <c r="A1" s="366" t="s">
        <v>26</v>
      </c>
      <c r="B1" s="367" t="str">
        <f>Profile!F1</f>
        <v>Cocoa</v>
      </c>
      <c r="C1" s="365" t="s">
        <v>21</v>
      </c>
      <c r="D1" s="495" t="str">
        <f>Profile!E2</f>
        <v>Liberia</v>
      </c>
      <c r="E1" s="496"/>
      <c r="F1" s="363" t="s">
        <v>25</v>
      </c>
      <c r="G1" s="368"/>
      <c r="H1" s="369"/>
      <c r="I1" s="370"/>
      <c r="J1" s="364" t="str">
        <f>Profile!B3</f>
        <v xml:space="preserve"> 24 / 09 /2024</v>
      </c>
      <c r="K1" s="112"/>
      <c r="L1" s="371" t="s">
        <v>176</v>
      </c>
    </row>
    <row r="2" spans="1:15" s="104" customFormat="1" ht="15" customHeight="1" thickBot="1">
      <c r="A2" s="497" t="s">
        <v>0</v>
      </c>
      <c r="B2" s="498"/>
      <c r="C2" s="372" t="s">
        <v>2</v>
      </c>
      <c r="D2" s="372" t="s">
        <v>86</v>
      </c>
      <c r="E2" s="372" t="s">
        <v>87</v>
      </c>
      <c r="F2" s="497" t="s">
        <v>85</v>
      </c>
      <c r="G2" s="498"/>
      <c r="H2" s="498"/>
      <c r="I2" s="498"/>
      <c r="J2" s="498"/>
      <c r="K2" s="498"/>
      <c r="L2" s="373"/>
      <c r="M2" s="106"/>
    </row>
    <row r="3" spans="1:15" s="104" customFormat="1" ht="24.75" customHeight="1" thickBot="1">
      <c r="A3" s="113" t="s">
        <v>211</v>
      </c>
      <c r="B3" s="114"/>
      <c r="C3" s="114"/>
      <c r="D3" s="114"/>
      <c r="E3" s="114"/>
      <c r="F3" s="114"/>
      <c r="G3" s="114"/>
      <c r="H3" s="114"/>
      <c r="I3" s="114"/>
      <c r="J3" s="114"/>
      <c r="K3" s="114"/>
      <c r="L3" s="374"/>
      <c r="N3" s="15" t="s">
        <v>4</v>
      </c>
      <c r="O3" s="104">
        <v>4.5</v>
      </c>
    </row>
    <row r="4" spans="1:15" s="104" customFormat="1" ht="21" customHeight="1">
      <c r="A4" s="115" t="s">
        <v>28</v>
      </c>
      <c r="B4" s="116"/>
      <c r="C4" s="116"/>
      <c r="D4" s="116"/>
      <c r="E4" s="116"/>
      <c r="F4" s="116"/>
      <c r="G4" s="116"/>
      <c r="H4" s="116"/>
      <c r="I4" s="116"/>
      <c r="J4" s="116"/>
      <c r="K4" s="116"/>
      <c r="L4" s="374"/>
      <c r="N4" s="15" t="s">
        <v>5</v>
      </c>
      <c r="O4" s="104">
        <v>3.5</v>
      </c>
    </row>
    <row r="5" spans="1:15" s="104" customFormat="1" ht="60.75" customHeight="1">
      <c r="A5" s="474" t="s">
        <v>70</v>
      </c>
      <c r="B5" s="474"/>
      <c r="C5" s="36"/>
      <c r="D5" s="47" t="s">
        <v>41</v>
      </c>
      <c r="E5" s="117">
        <f>IF(D5=$N$6,1,IF(D5=$N$5,2,IF(D5=$N$4,3,IF(D5=$N$3,4,"n/a"))))</f>
        <v>2</v>
      </c>
      <c r="F5" s="505" t="s">
        <v>246</v>
      </c>
      <c r="G5" s="505"/>
      <c r="H5" s="505"/>
      <c r="I5" s="505"/>
      <c r="J5" s="505"/>
      <c r="K5" s="505"/>
      <c r="L5" s="374"/>
      <c r="N5" s="106" t="s">
        <v>41</v>
      </c>
      <c r="O5" s="105">
        <v>2.5</v>
      </c>
    </row>
    <row r="6" spans="1:15" s="104" customFormat="1" ht="60" customHeight="1">
      <c r="A6" s="474" t="s">
        <v>29</v>
      </c>
      <c r="B6" s="474"/>
      <c r="C6" s="36"/>
      <c r="D6" s="47" t="s">
        <v>78</v>
      </c>
      <c r="E6" s="117">
        <f>IF(D6=$N$6,1,IF(D6=$N$5,2,IF(D6=$N$4,3,IF(D6=$N$3,4,"n/a"))))</f>
        <v>1</v>
      </c>
      <c r="F6" s="505" t="s">
        <v>236</v>
      </c>
      <c r="G6" s="505"/>
      <c r="H6" s="505"/>
      <c r="I6" s="505"/>
      <c r="J6" s="505"/>
      <c r="K6" s="505"/>
      <c r="L6" s="374"/>
      <c r="N6" s="106" t="s">
        <v>78</v>
      </c>
      <c r="O6" s="105">
        <v>1.5</v>
      </c>
    </row>
    <row r="7" spans="1:15" s="104" customFormat="1" ht="104.25" customHeight="1">
      <c r="A7" s="474" t="s">
        <v>185</v>
      </c>
      <c r="B7" s="474"/>
      <c r="C7" s="36"/>
      <c r="D7" s="47" t="s">
        <v>41</v>
      </c>
      <c r="E7" s="117">
        <f>IF(D7=$N$6,1,IF(D7=$N$5,2,IF(D7=$N$4,3,IF(D7=$N$3,4,"n/a"))))</f>
        <v>2</v>
      </c>
      <c r="F7" s="505" t="s">
        <v>237</v>
      </c>
      <c r="G7" s="505"/>
      <c r="H7" s="505"/>
      <c r="I7" s="505"/>
      <c r="J7" s="505"/>
      <c r="K7" s="505"/>
      <c r="L7" s="374"/>
      <c r="N7" s="15" t="s">
        <v>18</v>
      </c>
    </row>
    <row r="8" spans="1:15" s="104" customFormat="1" ht="30" customHeight="1">
      <c r="A8" s="474" t="s">
        <v>39</v>
      </c>
      <c r="B8" s="474"/>
      <c r="C8" s="36"/>
      <c r="D8" s="47" t="s">
        <v>18</v>
      </c>
      <c r="E8" s="117" t="str">
        <f>IF(D8=$N$6,1,IF(D8=$N$5,2,IF(D8=$N$4,3,IF(D8=$N$3,4,"n/a"))))</f>
        <v>n/a</v>
      </c>
      <c r="F8" s="505" t="s">
        <v>238</v>
      </c>
      <c r="G8" s="505"/>
      <c r="H8" s="505"/>
      <c r="I8" s="505"/>
      <c r="J8" s="505"/>
      <c r="K8" s="505"/>
      <c r="L8" s="374"/>
      <c r="N8" s="106"/>
    </row>
    <row r="9" spans="1:15" s="104" customFormat="1" ht="138.75" customHeight="1" thickBot="1">
      <c r="A9" s="473" t="s">
        <v>58</v>
      </c>
      <c r="B9" s="473"/>
      <c r="C9" s="178"/>
      <c r="D9" s="166" t="s">
        <v>78</v>
      </c>
      <c r="E9" s="174">
        <f>IF(D9=$N$6,1,IF(D9=$N$5,2,IF(D9=$N$4,3,IF(D9=$N$3,4,"n/a"))))</f>
        <v>1</v>
      </c>
      <c r="F9" s="459" t="s">
        <v>247</v>
      </c>
      <c r="G9" s="460"/>
      <c r="H9" s="459"/>
      <c r="I9" s="459"/>
      <c r="J9" s="459"/>
      <c r="K9" s="459"/>
      <c r="L9" s="374"/>
      <c r="N9" s="118"/>
    </row>
    <row r="10" spans="1:15" s="104" customFormat="1" ht="28.5" customHeight="1" thickBot="1">
      <c r="A10" s="483"/>
      <c r="B10" s="501"/>
      <c r="C10" s="182" t="s">
        <v>23</v>
      </c>
      <c r="D10" s="89" t="str">
        <f>IF(E10&lt;1.5,$N$6,IF(E10&lt;2.5,$N$5,IF(E10&lt;3.5,$N$4,IF(E10&lt;4.5,$N$3,"n/a"))))</f>
        <v>Moderate/Low</v>
      </c>
      <c r="E10" s="248">
        <f>IF(COUNT(E5:E9)=0,"n/a",AVERAGE(E5:E9))</f>
        <v>1.5</v>
      </c>
      <c r="F10" s="48">
        <f>E10</f>
        <v>1.5</v>
      </c>
      <c r="G10" s="215"/>
      <c r="H10" s="49" t="s">
        <v>22</v>
      </c>
      <c r="I10" s="25" t="str">
        <f>D10</f>
        <v>Moderate/Low</v>
      </c>
      <c r="J10" s="90">
        <f>IF(I10=$N$7,"n/a",IF(AND(I10=$N$5,D10=$N$6),1.5,IF(AND(I10=$N$4,D10=$N$5),2.5,IF(AND(I10=$N$3,D10=$N$4),3.5,IF(AND(I10=$N$6,D10=$N$5),1.49,IF(AND(I10=$N$5,D10=$N$4),2.49,IF(AND(I10=$N$4,D10=$N$3),3.49,E10)))))))</f>
        <v>1.5</v>
      </c>
      <c r="K10" s="91" t="s">
        <v>90</v>
      </c>
      <c r="L10" s="375"/>
      <c r="N10" s="15"/>
    </row>
    <row r="11" spans="1:15" s="104" customFormat="1" ht="20.25" customHeight="1" thickBot="1">
      <c r="A11" s="120" t="s">
        <v>27</v>
      </c>
      <c r="B11" s="121"/>
      <c r="C11" s="179"/>
      <c r="D11" s="122"/>
      <c r="E11" s="122"/>
      <c r="F11" s="122"/>
      <c r="G11" s="122"/>
      <c r="H11" s="122"/>
      <c r="I11" s="122"/>
      <c r="J11" s="122"/>
      <c r="K11" s="122"/>
      <c r="L11" s="374"/>
      <c r="N11" s="15"/>
    </row>
    <row r="12" spans="1:15" ht="105" customHeight="1">
      <c r="A12" s="474" t="s">
        <v>186</v>
      </c>
      <c r="B12" s="474"/>
      <c r="C12" s="36"/>
      <c r="D12" s="165" t="s">
        <v>41</v>
      </c>
      <c r="E12" s="176">
        <f>IF(D12=$N$6,1,IF(D12=$N$5,2,IF(D12=$N$4,3,IF(D12=$N$3,4,"n/a"))))</f>
        <v>2</v>
      </c>
      <c r="F12" s="485" t="s">
        <v>248</v>
      </c>
      <c r="G12" s="485"/>
      <c r="H12" s="485"/>
      <c r="I12" s="485"/>
      <c r="J12" s="485"/>
      <c r="K12" s="485"/>
      <c r="L12" s="376" t="s">
        <v>95</v>
      </c>
      <c r="N12" s="15"/>
    </row>
    <row r="13" spans="1:15" ht="64.5" customHeight="1" thickBot="1">
      <c r="A13" s="461" t="s">
        <v>187</v>
      </c>
      <c r="B13" s="461"/>
      <c r="C13" s="183"/>
      <c r="D13" s="181" t="s">
        <v>78</v>
      </c>
      <c r="E13" s="177">
        <f>IF(D13=$N$6,1,IF(D13=$N$5,2,IF(D13=$N$4,3,IF(D13=$N$3,4,"n/a"))))</f>
        <v>1</v>
      </c>
      <c r="F13" s="480" t="s">
        <v>249</v>
      </c>
      <c r="G13" s="426"/>
      <c r="H13" s="426"/>
      <c r="I13" s="426"/>
      <c r="J13" s="426"/>
      <c r="K13" s="464"/>
      <c r="L13" s="376" t="s">
        <v>95</v>
      </c>
    </row>
    <row r="14" spans="1:15" s="107" customFormat="1" ht="28.5" customHeight="1" thickBot="1">
      <c r="A14" s="483"/>
      <c r="B14" s="484"/>
      <c r="C14" s="182" t="s">
        <v>23</v>
      </c>
      <c r="D14" s="26" t="str">
        <f>IF(E14&lt;1.5,$N$6,IF(E14&lt;2.5,$N$5,IF(E14&lt;3.5,$N$4,IF(E14&lt;4.5,$N$3,"n/a"))))</f>
        <v>Moderate/Low</v>
      </c>
      <c r="E14" s="144">
        <f>IF(COUNT(E12:E13)=0,"n/a",AVERAGE(E12:E13))</f>
        <v>1.5</v>
      </c>
      <c r="F14" s="27">
        <f>E14</f>
        <v>1.5</v>
      </c>
      <c r="G14" s="215"/>
      <c r="H14" s="28" t="s">
        <v>22</v>
      </c>
      <c r="I14" s="25" t="str">
        <f>D14</f>
        <v>Moderate/Low</v>
      </c>
      <c r="J14" s="29">
        <f>IF(I14=$N$7,"n/a",IF(AND(I14=$N$5,D14=$N$6),1.5,IF(AND(I14=$N$4,D14=$N$5),2.5,IF(AND(I14=$N$3,D14=$N$4),3.5,IF(AND(I14=$N$6,D14=$N$5),1.49,IF(AND(I14=$N$5,D14=$N$4),2.49,IF(AND(I14=$N$4,D14=$N$3),3.49,E14)))))))</f>
        <v>1.5</v>
      </c>
      <c r="K14" s="180" t="s">
        <v>90</v>
      </c>
      <c r="L14" s="377"/>
      <c r="N14" s="15"/>
    </row>
    <row r="15" spans="1:15" ht="21.75" customHeight="1">
      <c r="A15" s="395" t="s">
        <v>30</v>
      </c>
      <c r="B15" s="120"/>
      <c r="C15" s="120"/>
      <c r="D15" s="120"/>
      <c r="E15" s="120"/>
      <c r="F15" s="120"/>
      <c r="G15" s="120"/>
      <c r="H15" s="120"/>
      <c r="I15" s="120"/>
      <c r="J15" s="120"/>
      <c r="K15" s="120"/>
      <c r="L15" s="378"/>
      <c r="N15" s="15"/>
    </row>
    <row r="16" spans="1:15" ht="134.25" customHeight="1" thickBot="1">
      <c r="A16" s="473" t="s">
        <v>188</v>
      </c>
      <c r="B16" s="473"/>
      <c r="C16" s="183"/>
      <c r="D16" s="166" t="s">
        <v>78</v>
      </c>
      <c r="E16" s="170">
        <f>IF(D16=$N$6,1,IF(D16=$N$5,2,IF(D16=$N$4,3,IF(D16=$N$3,4,"n/a"))))</f>
        <v>1</v>
      </c>
      <c r="F16" s="462" t="s">
        <v>250</v>
      </c>
      <c r="G16" s="426"/>
      <c r="H16" s="463"/>
      <c r="I16" s="463"/>
      <c r="J16" s="426"/>
      <c r="K16" s="464"/>
      <c r="L16" s="378"/>
    </row>
    <row r="17" spans="1:14" s="104" customFormat="1" ht="24.75" customHeight="1" thickBot="1">
      <c r="A17" s="508"/>
      <c r="B17" s="509"/>
      <c r="C17" s="182" t="s">
        <v>23</v>
      </c>
      <c r="D17" s="26" t="str">
        <f>IF(E17&lt;1.5,$N$6,IF(E17&lt;2.5,$N$5,IF(E17&lt;3.5,$N$4,IF(E17&lt;4.5,$N$3,"n/a"))))</f>
        <v>Not at all</v>
      </c>
      <c r="E17" s="144">
        <f>IF(COUNT(E16)=0,"n/a",AVERAGE(E16))</f>
        <v>1</v>
      </c>
      <c r="F17" s="27">
        <f>E17</f>
        <v>1</v>
      </c>
      <c r="G17" s="215"/>
      <c r="H17" s="28" t="s">
        <v>22</v>
      </c>
      <c r="I17" s="25" t="str">
        <f>D17</f>
        <v>Not at all</v>
      </c>
      <c r="J17" s="29">
        <f>IF(I17=$N$7,"n/a",IF(AND(I17=$N$5,D17=$N$6),1.5,IF(AND(I17=$N$4,D17=$N$5),2.5,IF(AND(I17=$N$3,D17=$N$4),3.5,IF(AND(I17=$N$6,D17=$N$5),1.49,IF(AND(I17=$N$5,D17=$N$4),2.49,IF(AND(I17=$N$4,D17=$N$3),3.49,E17)))))))</f>
        <v>1</v>
      </c>
      <c r="K17" s="180" t="s">
        <v>90</v>
      </c>
      <c r="L17" s="374"/>
      <c r="N17" s="106"/>
    </row>
    <row r="18" spans="1:14" s="123" customFormat="1" ht="21" customHeight="1">
      <c r="A18" s="120" t="s">
        <v>68</v>
      </c>
      <c r="B18" s="120"/>
      <c r="C18" s="120"/>
      <c r="D18" s="120"/>
      <c r="E18" s="120"/>
      <c r="F18" s="120"/>
      <c r="G18" s="120"/>
      <c r="H18" s="120"/>
      <c r="I18" s="120"/>
      <c r="J18" s="120"/>
      <c r="K18" s="120"/>
      <c r="L18" s="378"/>
      <c r="N18" s="15"/>
    </row>
    <row r="19" spans="1:14" s="123" customFormat="1" ht="89.25" customHeight="1">
      <c r="A19" s="474" t="s">
        <v>72</v>
      </c>
      <c r="B19" s="474"/>
      <c r="C19" s="36"/>
      <c r="D19" s="47" t="s">
        <v>41</v>
      </c>
      <c r="E19" s="162">
        <f>IF(D19=$N$6,1,IF(D19=$N$5,2,IF(D19=$N$4,3,IF(D19=$N$3,4,"n/a"))))</f>
        <v>2</v>
      </c>
      <c r="F19" s="462" t="s">
        <v>251</v>
      </c>
      <c r="G19" s="463"/>
      <c r="H19" s="463"/>
      <c r="I19" s="463"/>
      <c r="J19" s="463"/>
      <c r="K19" s="464"/>
      <c r="L19" s="376" t="s">
        <v>95</v>
      </c>
      <c r="N19" s="15"/>
    </row>
    <row r="20" spans="1:14" s="123" customFormat="1" ht="60.75" customHeight="1" thickBot="1">
      <c r="A20" s="461" t="s">
        <v>69</v>
      </c>
      <c r="B20" s="461"/>
      <c r="C20" s="183"/>
      <c r="D20" s="175" t="s">
        <v>5</v>
      </c>
      <c r="E20" s="174">
        <f>IF(D20=$N$6,1,IF(D20=$N$5,2,IF(D20=$N$4,3,IF(D20=$N$3,4,"n/a"))))</f>
        <v>3</v>
      </c>
      <c r="F20" s="410" t="s">
        <v>252</v>
      </c>
      <c r="G20" s="426"/>
      <c r="H20" s="411"/>
      <c r="I20" s="411"/>
      <c r="J20" s="411"/>
      <c r="K20" s="412"/>
      <c r="L20" s="379"/>
      <c r="N20" s="15"/>
    </row>
    <row r="21" spans="1:14" s="104" customFormat="1" ht="29.25" customHeight="1" thickBot="1">
      <c r="A21" s="483"/>
      <c r="B21" s="484"/>
      <c r="C21" s="182" t="s">
        <v>23</v>
      </c>
      <c r="D21" s="26" t="str">
        <f>IF(E21&lt;1.5,$N$6,IF(E21&lt;2.5,$N$5,IF(E21&lt;3.5,$N$4,IF(E21&lt;4.5,$N$3,"n/a"))))</f>
        <v>Substantial</v>
      </c>
      <c r="E21" s="144">
        <f>IF(COUNT(E19:E20)=0,"n/a",AVERAGE(E19:E20))</f>
        <v>2.5</v>
      </c>
      <c r="F21" s="27">
        <f>E21</f>
        <v>2.5</v>
      </c>
      <c r="G21" s="215"/>
      <c r="H21" s="28" t="s">
        <v>22</v>
      </c>
      <c r="I21" s="25" t="str">
        <f>D21</f>
        <v>Substantial</v>
      </c>
      <c r="J21" s="90">
        <f>IF(I21=$N$7,"n/a",IF(AND(I21=$N$5,D21=$N$6),1.5,IF(AND(I21=$N$4,D21=$N$5),2.5,IF(AND(I21=$N$3,D21=$N$4),3.5,IF(AND(I21=$N$6,D21=$N$5),1.49,IF(AND(I21=$N$5,D21=$N$4),2.49,IF(AND(I21=$N$4,D21=$N$3),3.49,E21)))))))</f>
        <v>2.5</v>
      </c>
      <c r="K21" s="88" t="s">
        <v>90</v>
      </c>
      <c r="L21" s="380"/>
    </row>
    <row r="22" spans="1:14" s="104" customFormat="1" ht="22.5" customHeight="1" thickBot="1">
      <c r="A22" s="124" t="s">
        <v>212</v>
      </c>
      <c r="B22" s="125"/>
      <c r="C22" s="125"/>
      <c r="D22" s="126"/>
      <c r="E22" s="126"/>
      <c r="F22" s="126"/>
      <c r="G22" s="126"/>
      <c r="H22" s="126"/>
      <c r="I22" s="126"/>
      <c r="J22" s="126"/>
      <c r="K22" s="126"/>
      <c r="L22" s="374"/>
    </row>
    <row r="23" spans="1:14" ht="21.75" customHeight="1" thickBot="1">
      <c r="A23" s="127" t="s">
        <v>43</v>
      </c>
      <c r="B23" s="128"/>
      <c r="C23" s="128"/>
      <c r="D23" s="128"/>
      <c r="E23" s="128"/>
      <c r="F23" s="128"/>
      <c r="G23" s="128"/>
      <c r="H23" s="128"/>
      <c r="I23" s="128"/>
      <c r="J23" s="128"/>
      <c r="K23" s="128"/>
      <c r="L23" s="376" t="s">
        <v>95</v>
      </c>
    </row>
    <row r="24" spans="1:14" ht="147.75" customHeight="1">
      <c r="A24" s="499" t="s">
        <v>44</v>
      </c>
      <c r="B24" s="500"/>
      <c r="C24" s="172"/>
      <c r="D24" s="163" t="s">
        <v>41</v>
      </c>
      <c r="E24" s="173">
        <f>IF(D24=$N$6,1,IF(D24=$N$5,2,IF(D24=$N$4,3,IF(D24=$N$3,4,"n/a"))))</f>
        <v>2</v>
      </c>
      <c r="F24" s="485" t="s">
        <v>253</v>
      </c>
      <c r="G24" s="485"/>
      <c r="H24" s="485"/>
      <c r="I24" s="485"/>
      <c r="J24" s="485"/>
      <c r="K24" s="485"/>
      <c r="L24" s="376" t="s">
        <v>95</v>
      </c>
    </row>
    <row r="25" spans="1:14" ht="164.25" customHeight="1" thickBot="1">
      <c r="A25" s="506" t="s">
        <v>61</v>
      </c>
      <c r="B25" s="507"/>
      <c r="C25" s="184"/>
      <c r="D25" s="164" t="s">
        <v>18</v>
      </c>
      <c r="E25" s="174" t="str">
        <f>IF(D25=$N$6,1,IF(D25=$N$5,2,IF(D25=$N$4,3,IF(D25=$N$3,4,"n/a"))))</f>
        <v>n/a</v>
      </c>
      <c r="F25" s="410" t="s">
        <v>220</v>
      </c>
      <c r="G25" s="411"/>
      <c r="H25" s="411"/>
      <c r="I25" s="411"/>
      <c r="J25" s="411"/>
      <c r="K25" s="412"/>
      <c r="L25" s="378"/>
    </row>
    <row r="26" spans="1:14" ht="35.25" customHeight="1" thickBot="1">
      <c r="A26" s="471"/>
      <c r="B26" s="472"/>
      <c r="C26" s="39" t="s">
        <v>23</v>
      </c>
      <c r="D26" s="26" t="str">
        <f>IF(E26&lt;1.5,"Low",IF(E26&lt;2.5,"Moderate",IF(E26&lt;3.5,"Substantial",IF(E26&lt;4.5,"High","n/a"))))</f>
        <v>Moderate</v>
      </c>
      <c r="E26" s="144">
        <f>IF(COUNT(E24:E25)=0,"n/a",AVERAGE(E24:E25))</f>
        <v>2</v>
      </c>
      <c r="F26" s="48">
        <f>E26</f>
        <v>2</v>
      </c>
      <c r="G26" s="215"/>
      <c r="H26" s="49" t="s">
        <v>22</v>
      </c>
      <c r="I26" s="25" t="s">
        <v>41</v>
      </c>
      <c r="J26" s="90">
        <f>IF(I26=$N$7,"n/a",IF(AND(I26=$N$5,D26=$N$6),1.5,IF(AND(I26=$N$4,D26=$N$5),2.5,IF(AND(I26=$N$3,D26=$N$4),3.5,IF(AND(I26=$N$6,D26=$N$5),1.49,IF(AND(I26=$N$5,D26=$N$4),2.49,IF(AND(I26=$N$4,D26=$N$3),3.49,E26)))))))</f>
        <v>2</v>
      </c>
      <c r="K26" s="408" t="s">
        <v>239</v>
      </c>
      <c r="L26" s="378"/>
    </row>
    <row r="27" spans="1:14" ht="20.25" customHeight="1" thickBot="1">
      <c r="A27" s="129" t="s">
        <v>47</v>
      </c>
      <c r="B27" s="130"/>
      <c r="C27" s="131"/>
      <c r="D27" s="132"/>
      <c r="E27" s="132"/>
      <c r="F27" s="132"/>
      <c r="G27" s="132"/>
      <c r="H27" s="132"/>
      <c r="I27" s="132"/>
      <c r="J27" s="132"/>
      <c r="K27" s="132"/>
      <c r="L27" s="378"/>
    </row>
    <row r="28" spans="1:14" ht="90" customHeight="1">
      <c r="A28" s="415" t="s">
        <v>64</v>
      </c>
      <c r="B28" s="416"/>
      <c r="C28" s="40"/>
      <c r="D28" s="165" t="s">
        <v>41</v>
      </c>
      <c r="E28" s="176">
        <f>IF(D28=$N$6,1,IF(D28=$N$5,2,IF(D28=$N$4,3,IF(D28=$N$3,4,"n/a"))))</f>
        <v>2</v>
      </c>
      <c r="F28" s="465" t="s">
        <v>221</v>
      </c>
      <c r="G28" s="466"/>
      <c r="H28" s="466"/>
      <c r="I28" s="466"/>
      <c r="J28" s="466"/>
      <c r="K28" s="467"/>
      <c r="L28" s="378"/>
    </row>
    <row r="29" spans="1:14" ht="50.25" customHeight="1">
      <c r="A29" s="415" t="s">
        <v>45</v>
      </c>
      <c r="B29" s="416"/>
      <c r="C29" s="40"/>
      <c r="D29" s="47" t="s">
        <v>41</v>
      </c>
      <c r="E29" s="162">
        <f>IF(D29=$N$6,1,IF(D29=$N$5,2,IF(D29=$N$4,3,IF(D29=$N$3,4,"n/a"))))</f>
        <v>2</v>
      </c>
      <c r="F29" s="462" t="s">
        <v>254</v>
      </c>
      <c r="G29" s="463"/>
      <c r="H29" s="463"/>
      <c r="I29" s="463"/>
      <c r="J29" s="463"/>
      <c r="K29" s="464"/>
      <c r="L29" s="378"/>
    </row>
    <row r="30" spans="1:14" s="133" customFormat="1" ht="56.25" customHeight="1">
      <c r="A30" s="415" t="s">
        <v>59</v>
      </c>
      <c r="B30" s="416"/>
      <c r="C30" s="40"/>
      <c r="D30" s="47" t="s">
        <v>41</v>
      </c>
      <c r="E30" s="162">
        <f>IF(D30=$N$6,1,IF(D30=$N$5,2,IF(D30=$N$4,3,IF(D30=$N$3,4,"n/a"))))</f>
        <v>2</v>
      </c>
      <c r="F30" s="409" t="s">
        <v>240</v>
      </c>
      <c r="G30" s="409"/>
      <c r="H30" s="409"/>
      <c r="I30" s="409"/>
      <c r="J30" s="409"/>
      <c r="K30" s="409"/>
      <c r="L30" s="374"/>
    </row>
    <row r="31" spans="1:14" s="104" customFormat="1" ht="36" customHeight="1" thickBot="1">
      <c r="A31" s="478" t="s">
        <v>60</v>
      </c>
      <c r="B31" s="479"/>
      <c r="C31" s="184"/>
      <c r="D31" s="166" t="s">
        <v>41</v>
      </c>
      <c r="E31" s="171">
        <f>IF(D31=$N$6,1,IF(D31=$N$5,2,IF(D31=$N$4,3,IF(D31=$N$3,4,"n/a"))))</f>
        <v>2</v>
      </c>
      <c r="F31" s="480" t="s">
        <v>255</v>
      </c>
      <c r="G31" s="426"/>
      <c r="H31" s="426"/>
      <c r="I31" s="426"/>
      <c r="J31" s="426"/>
      <c r="K31" s="427"/>
      <c r="L31" s="376" t="s">
        <v>95</v>
      </c>
    </row>
    <row r="32" spans="1:14" s="104" customFormat="1" ht="25.5" customHeight="1" thickBot="1">
      <c r="A32" s="187"/>
      <c r="B32" s="188"/>
      <c r="C32" s="39" t="s">
        <v>23</v>
      </c>
      <c r="D32" s="26" t="str">
        <f>IF(E32&lt;1.5,"Low",IF(E32&lt;2.5,"Moderate",IF(E32&lt;3.5,"Substantial",IF(E32&lt;4.5,"High","n/a"))))</f>
        <v>Moderate</v>
      </c>
      <c r="E32" s="144">
        <f>IF(COUNT(E28:E31)=0,"n/a",AVERAGE(E28:E31))</f>
        <v>2</v>
      </c>
      <c r="F32" s="27">
        <f>E32</f>
        <v>2</v>
      </c>
      <c r="G32" s="215"/>
      <c r="H32" s="28" t="s">
        <v>22</v>
      </c>
      <c r="I32" s="25" t="s">
        <v>41</v>
      </c>
      <c r="J32" s="29">
        <f>IF(I32=$N$7,"n/a",IF(AND(I32=$N$5,D32=$N$6),1.5,IF(AND(I32=$N$4,D32=$N$5),2.5,IF(AND(I32=$N$3,D32=$N$4),3.5,IF(AND(I32=$N$6,D32=$N$5),1.49,IF(AND(I32=$N$5,D32=$N$4),2.49,IF(AND(I32=$N$4,D32=$N$3),3.49,E32)))))))</f>
        <v>2</v>
      </c>
      <c r="K32" s="180" t="s">
        <v>90</v>
      </c>
      <c r="L32" s="374"/>
    </row>
    <row r="33" spans="1:12" s="104" customFormat="1" ht="25.5" customHeight="1" thickBot="1">
      <c r="A33" s="185" t="s">
        <v>48</v>
      </c>
      <c r="B33" s="186"/>
      <c r="C33" s="186"/>
      <c r="D33" s="186"/>
      <c r="E33" s="186"/>
      <c r="F33" s="186"/>
      <c r="G33" s="186"/>
      <c r="H33" s="186"/>
      <c r="I33" s="186"/>
      <c r="J33" s="186"/>
      <c r="K33" s="186"/>
      <c r="L33" s="374"/>
    </row>
    <row r="34" spans="1:12" s="104" customFormat="1" ht="112.5" customHeight="1">
      <c r="A34" s="502" t="s">
        <v>49</v>
      </c>
      <c r="B34" s="503"/>
      <c r="C34" s="46"/>
      <c r="D34" s="47" t="s">
        <v>41</v>
      </c>
      <c r="E34" s="117">
        <f>IF(D34=$N$6,1,IF(D34=$N$5,2,IF(D34=$N$4,3,IF(D34=$N$3,4,"n/a"))))</f>
        <v>2</v>
      </c>
      <c r="F34" s="485" t="s">
        <v>256</v>
      </c>
      <c r="G34" s="485"/>
      <c r="H34" s="485"/>
      <c r="I34" s="485"/>
      <c r="J34" s="485"/>
      <c r="K34" s="485"/>
      <c r="L34" s="376" t="s">
        <v>95</v>
      </c>
    </row>
    <row r="35" spans="1:12" s="104" customFormat="1" ht="61.5" customHeight="1">
      <c r="A35" s="504" t="s">
        <v>50</v>
      </c>
      <c r="B35" s="416"/>
      <c r="C35" s="46"/>
      <c r="D35" s="167" t="s">
        <v>18</v>
      </c>
      <c r="E35" s="117" t="str">
        <f>IF(D35=$N$6,1,IF(D35=$N$5,2,IF(D35=$N$4,3,IF(D35=$N$3,4,"n/a"))))</f>
        <v>n/a</v>
      </c>
      <c r="F35" s="462" t="s">
        <v>222</v>
      </c>
      <c r="G35" s="463"/>
      <c r="H35" s="463"/>
      <c r="I35" s="463"/>
      <c r="J35" s="463"/>
      <c r="K35" s="464"/>
      <c r="L35" s="374"/>
    </row>
    <row r="36" spans="1:12" s="104" customFormat="1" ht="60.75" customHeight="1">
      <c r="A36" s="502" t="s">
        <v>66</v>
      </c>
      <c r="B36" s="503"/>
      <c r="C36" s="46"/>
      <c r="D36" s="167" t="s">
        <v>18</v>
      </c>
      <c r="E36" s="117" t="str">
        <f>IF(D36=$N$6,1,IF(D36=$N$5,2,IF(D36=$N$4,3,IF(D36=$N$3,4,"n/a"))))</f>
        <v>n/a</v>
      </c>
      <c r="F36" s="462" t="s">
        <v>241</v>
      </c>
      <c r="G36" s="463"/>
      <c r="H36" s="463"/>
      <c r="I36" s="463"/>
      <c r="J36" s="463"/>
      <c r="K36" s="464"/>
      <c r="L36" s="374"/>
    </row>
    <row r="37" spans="1:12" s="104" customFormat="1" ht="60.75" customHeight="1" thickBot="1">
      <c r="A37" s="491" t="s">
        <v>67</v>
      </c>
      <c r="B37" s="492"/>
      <c r="C37" s="189"/>
      <c r="D37" s="166" t="s">
        <v>41</v>
      </c>
      <c r="E37" s="170">
        <f>IF(D37=$N$6,1,IF(D37=$N$5,2,IF(D37=$N$4,3,IF(D37=$N$3,4,"n/a"))))</f>
        <v>2</v>
      </c>
      <c r="F37" s="493" t="s">
        <v>257</v>
      </c>
      <c r="G37" s="409"/>
      <c r="H37" s="409"/>
      <c r="I37" s="409"/>
      <c r="J37" s="409"/>
      <c r="K37" s="494"/>
      <c r="L37" s="374"/>
    </row>
    <row r="38" spans="1:12" s="104" customFormat="1" ht="25.5" customHeight="1" thickBot="1">
      <c r="A38" s="41"/>
      <c r="B38" s="42"/>
      <c r="C38" s="43" t="s">
        <v>23</v>
      </c>
      <c r="D38" s="26" t="str">
        <f>IF(E38&lt;1.5,"Low",IF(E38&lt;2.5,"Moderate",IF(E38&lt;3.5,"Substantial",IF(E38&lt;4.5,"High","n/a"))))</f>
        <v>Moderate</v>
      </c>
      <c r="E38" s="144">
        <f>IF(COUNT(E34:E37)=0,"n/a",AVERAGE(E34:E37))</f>
        <v>2</v>
      </c>
      <c r="F38" s="27">
        <f>E38</f>
        <v>2</v>
      </c>
      <c r="G38" s="215"/>
      <c r="H38" s="28" t="s">
        <v>22</v>
      </c>
      <c r="I38" s="25" t="s">
        <v>5</v>
      </c>
      <c r="J38" s="29">
        <f>IF(I38=$N$7,"n/a",IF(AND(I38=$N$5,D38=$N$6),1.5,IF(AND(I38=$N$4,D38=$N$5),2.5,IF(AND(I38=$N$3,D38=$N$4),3.5,IF(AND(I38=$N$6,D38=$N$5),1.49,IF(AND(I38=$N$5,D38=$N$4),2.49,IF(AND(I38=$N$4,D38=$N$3),3.49,E38)))))))</f>
        <v>2</v>
      </c>
      <c r="K38" s="180" t="s">
        <v>90</v>
      </c>
      <c r="L38" s="374"/>
    </row>
    <row r="39" spans="1:12" s="123" customFormat="1" ht="22.5" customHeight="1" thickBot="1">
      <c r="A39" s="30" t="s">
        <v>213</v>
      </c>
      <c r="B39" s="31"/>
      <c r="C39" s="32"/>
      <c r="D39" s="34"/>
      <c r="E39" s="34"/>
      <c r="F39" s="33"/>
      <c r="G39" s="134"/>
      <c r="H39" s="34"/>
      <c r="I39" s="34"/>
      <c r="J39" s="33"/>
      <c r="K39" s="135"/>
      <c r="L39" s="378"/>
    </row>
    <row r="40" spans="1:12" s="123" customFormat="1" ht="22.5" customHeight="1">
      <c r="A40" s="136" t="s">
        <v>32</v>
      </c>
      <c r="B40" s="137"/>
      <c r="C40" s="137"/>
      <c r="D40" s="137"/>
      <c r="E40" s="137"/>
      <c r="F40" s="137"/>
      <c r="G40" s="137"/>
      <c r="H40" s="137"/>
      <c r="I40" s="137"/>
      <c r="J40" s="137"/>
      <c r="K40" s="137"/>
      <c r="L40" s="378"/>
    </row>
    <row r="41" spans="1:12" s="104" customFormat="1" ht="91.5" customHeight="1">
      <c r="A41" s="421" t="s">
        <v>40</v>
      </c>
      <c r="B41" s="421"/>
      <c r="C41" s="37"/>
      <c r="D41" s="47" t="s">
        <v>78</v>
      </c>
      <c r="E41" s="162">
        <f>IF(D41=$N$6,1,IF(D41=$N$5,2,IF(D41=$N$4,3,IF(D41=$N$3,4,"n/a"))))</f>
        <v>1</v>
      </c>
      <c r="F41" s="426" t="s">
        <v>242</v>
      </c>
      <c r="G41" s="426"/>
      <c r="H41" s="426"/>
      <c r="I41" s="426"/>
      <c r="J41" s="426"/>
      <c r="K41" s="426"/>
      <c r="L41" s="376" t="s">
        <v>95</v>
      </c>
    </row>
    <row r="42" spans="1:12" s="104" customFormat="1" ht="79.5" customHeight="1" thickBot="1">
      <c r="A42" s="488" t="s">
        <v>138</v>
      </c>
      <c r="B42" s="489"/>
      <c r="C42" s="190"/>
      <c r="D42" s="47" t="s">
        <v>41</v>
      </c>
      <c r="E42" s="162">
        <f>IF(D42=$N$6,1,IF(D42=$N$5,2,IF(D42=$N$4,3,IF(D42=$N$3,4,"n/a"))))</f>
        <v>2</v>
      </c>
      <c r="F42" s="426" t="s">
        <v>258</v>
      </c>
      <c r="G42" s="426"/>
      <c r="H42" s="426"/>
      <c r="I42" s="426"/>
      <c r="J42" s="426"/>
      <c r="K42" s="427"/>
      <c r="L42" s="374"/>
    </row>
    <row r="43" spans="1:12" s="123" customFormat="1" ht="30" customHeight="1" thickBot="1">
      <c r="A43" s="486"/>
      <c r="B43" s="487"/>
      <c r="C43" s="35" t="s">
        <v>23</v>
      </c>
      <c r="D43" s="26" t="str">
        <f>IF(E43&lt;1.5,"Low",IF(E43&lt;2.5,"Moderate",IF(E43&lt;3.5,"Substantial",IF(E43&lt;4.5,"High","n/a"))))</f>
        <v>Moderate</v>
      </c>
      <c r="E43" s="144">
        <f>IF(COUNT(E41:E42)=0,"n/a",AVERAGE(E41:E42))</f>
        <v>1.5</v>
      </c>
      <c r="F43" s="27">
        <f>E43</f>
        <v>1.5</v>
      </c>
      <c r="G43" s="215"/>
      <c r="H43" s="28" t="s">
        <v>22</v>
      </c>
      <c r="I43" s="25" t="str">
        <f>D43</f>
        <v>Moderate</v>
      </c>
      <c r="J43" s="29">
        <f>IF(I43=$N$7,"n/a",IF(AND(I43=$N$5,D43=$N$6),1.5,IF(AND(I43=$N$4,D43=$N$5),2.5,IF(AND(I43=$N$3,D43=$N$4),3.5,IF(AND(I43=$N$6,D43=$N$5),1.49,IF(AND(I43=$N$5,D43=$N$4),2.49,IF(AND(I43=$N$4,D43=$N$3),3.49,E43)))))))</f>
        <v>1.5</v>
      </c>
      <c r="K43" s="191" t="s">
        <v>90</v>
      </c>
      <c r="L43" s="381"/>
    </row>
    <row r="44" spans="1:12" s="123" customFormat="1" ht="18" customHeight="1" thickBot="1">
      <c r="A44" s="138" t="s">
        <v>33</v>
      </c>
      <c r="B44" s="139"/>
      <c r="C44" s="139"/>
      <c r="D44" s="140"/>
      <c r="E44" s="140"/>
      <c r="F44" s="140"/>
      <c r="G44" s="140"/>
      <c r="H44" s="140"/>
      <c r="I44" s="140"/>
      <c r="J44" s="140"/>
      <c r="K44" s="140"/>
      <c r="L44" s="378"/>
    </row>
    <row r="45" spans="1:12" s="104" customFormat="1" ht="39" customHeight="1">
      <c r="A45" s="421" t="s">
        <v>139</v>
      </c>
      <c r="B45" s="518"/>
      <c r="C45" s="37"/>
      <c r="D45" s="47" t="s">
        <v>41</v>
      </c>
      <c r="E45" s="162">
        <f>IF(D45=$N$6,1,IF(D45=$N$5,2,IF(D45=$N$4,3,IF(D45=$N$3,4,"n/a"))))</f>
        <v>2</v>
      </c>
      <c r="F45" s="465" t="s">
        <v>243</v>
      </c>
      <c r="G45" s="466"/>
      <c r="H45" s="466"/>
      <c r="I45" s="466"/>
      <c r="J45" s="466"/>
      <c r="K45" s="467"/>
      <c r="L45" s="374"/>
    </row>
    <row r="46" spans="1:12" s="104" customFormat="1" ht="45.75" customHeight="1">
      <c r="A46" s="490" t="s">
        <v>38</v>
      </c>
      <c r="B46" s="418"/>
      <c r="C46" s="37"/>
      <c r="D46" s="47" t="s">
        <v>41</v>
      </c>
      <c r="E46" s="162">
        <f>IF(D46=$N$6,1,IF(D46=$N$5,2,IF(D46=$N$4,3,IF(D46=$N$3,4,"n/a"))))</f>
        <v>2</v>
      </c>
      <c r="F46" s="469" t="s">
        <v>259</v>
      </c>
      <c r="G46" s="469"/>
      <c r="H46" s="469"/>
      <c r="I46" s="469"/>
      <c r="J46" s="469"/>
      <c r="K46" s="469"/>
      <c r="L46" s="374"/>
    </row>
    <row r="47" spans="1:12" s="104" customFormat="1" ht="36" customHeight="1">
      <c r="A47" s="490" t="s">
        <v>141</v>
      </c>
      <c r="B47" s="418"/>
      <c r="C47" s="37"/>
      <c r="D47" s="47" t="s">
        <v>78</v>
      </c>
      <c r="E47" s="162">
        <f>IF(D47=$N$6,1,IF(D47=$N$5,2,IF(D47=$N$4,3,IF(D47=$N$3,4,"n/a"))))</f>
        <v>1</v>
      </c>
      <c r="F47" s="463" t="s">
        <v>244</v>
      </c>
      <c r="G47" s="463"/>
      <c r="H47" s="463"/>
      <c r="I47" s="463"/>
      <c r="J47" s="463"/>
      <c r="K47" s="463"/>
      <c r="L47" s="374"/>
    </row>
    <row r="48" spans="1:12" s="104" customFormat="1" ht="51.75" customHeight="1" thickBot="1">
      <c r="A48" s="488" t="s">
        <v>142</v>
      </c>
      <c r="B48" s="489"/>
      <c r="C48" s="192"/>
      <c r="D48" s="166" t="s">
        <v>41</v>
      </c>
      <c r="E48" s="162">
        <f>IF(D48=$N$6,1,IF(D48=$N$5,2,IF(D48=$N$4,3,IF(D48=$N$3,4,"n/a"))))</f>
        <v>2</v>
      </c>
      <c r="F48" s="410" t="s">
        <v>260</v>
      </c>
      <c r="G48" s="411"/>
      <c r="H48" s="411"/>
      <c r="I48" s="411"/>
      <c r="J48" s="411"/>
      <c r="K48" s="412"/>
      <c r="L48" s="374"/>
    </row>
    <row r="49" spans="1:19" s="123" customFormat="1" ht="32.25" customHeight="1" thickBot="1">
      <c r="A49" s="487"/>
      <c r="B49" s="519"/>
      <c r="C49" s="35" t="s">
        <v>23</v>
      </c>
      <c r="D49" s="26" t="str">
        <f>IF(E49&lt;1.5,"Low",IF(E49&lt;2.5,"Moderate",IF(E49&lt;3.5,"Substantial",IF(E49&lt;4.5,"High","n/a"))))</f>
        <v>Moderate</v>
      </c>
      <c r="E49" s="144">
        <f>IF(COUNT(E45:E48)=0,"n/a",AVERAGE(E45:E48))</f>
        <v>1.75</v>
      </c>
      <c r="F49" s="48">
        <f>E49</f>
        <v>1.75</v>
      </c>
      <c r="G49" s="215"/>
      <c r="H49" s="49" t="s">
        <v>22</v>
      </c>
      <c r="I49" s="323" t="str">
        <f>D49</f>
        <v>Moderate</v>
      </c>
      <c r="J49" s="90">
        <f>IF(I49=$N$7,"n/a",IF(AND(I49=$N$5,D49=$N$6),1.5,IF(AND(I49=$N$4,D49=$N$5),2.5,IF(AND(I49=$N$3,D49=$N$4),3.5,IF(AND(I49=$N$6,D49=$N$5),1.49,IF(AND(I49=$N$5,D49=$N$4),2.49,IF(AND(I49=$N$4,D49=$N$3),3.49,E49)))))))</f>
        <v>1.75</v>
      </c>
      <c r="K49" s="91" t="s">
        <v>90</v>
      </c>
      <c r="L49" s="378"/>
    </row>
    <row r="50" spans="1:19" s="123" customFormat="1" ht="22.5" customHeight="1" thickBot="1">
      <c r="A50" s="141" t="s">
        <v>145</v>
      </c>
      <c r="B50" s="142"/>
      <c r="C50" s="168"/>
      <c r="D50" s="168"/>
      <c r="E50" s="169"/>
      <c r="F50" s="143"/>
      <c r="G50" s="143"/>
      <c r="H50" s="143"/>
      <c r="I50" s="143"/>
      <c r="J50" s="143"/>
      <c r="K50" s="143"/>
      <c r="L50" s="378"/>
    </row>
    <row r="51" spans="1:19" s="123" customFormat="1" ht="64.5" customHeight="1">
      <c r="A51" s="430" t="s">
        <v>144</v>
      </c>
      <c r="B51" s="430"/>
      <c r="C51" s="192"/>
      <c r="D51" s="167" t="s">
        <v>41</v>
      </c>
      <c r="E51" s="161">
        <f>IF(D51=$N$6,1,IF(D51=$N$5,2,IF(D51=$N$4,3,IF(D51=$N$3,4,"n/a"))))</f>
        <v>2</v>
      </c>
      <c r="F51" s="465" t="s">
        <v>261</v>
      </c>
      <c r="G51" s="466"/>
      <c r="H51" s="466"/>
      <c r="I51" s="466"/>
      <c r="J51" s="466"/>
      <c r="K51" s="467"/>
      <c r="L51" s="378"/>
    </row>
    <row r="52" spans="1:19" s="123" customFormat="1" ht="37.5" customHeight="1">
      <c r="A52" s="430" t="s">
        <v>140</v>
      </c>
      <c r="B52" s="430"/>
      <c r="C52" s="192"/>
      <c r="D52" s="167" t="s">
        <v>41</v>
      </c>
      <c r="E52" s="161">
        <f>IF(D52=$N$6,1,IF(D52=$N$5,2,IF(D52=$N$4,3,IF(D52=$N$3,4,"n/a"))))</f>
        <v>2</v>
      </c>
      <c r="F52" s="462" t="s">
        <v>262</v>
      </c>
      <c r="G52" s="463"/>
      <c r="H52" s="463"/>
      <c r="I52" s="463"/>
      <c r="J52" s="463"/>
      <c r="K52" s="464"/>
      <c r="L52" s="378"/>
    </row>
    <row r="53" spans="1:19" s="123" customFormat="1" ht="36" customHeight="1">
      <c r="A53" s="421" t="s">
        <v>143</v>
      </c>
      <c r="B53" s="421"/>
      <c r="C53" s="37"/>
      <c r="D53" s="167" t="s">
        <v>41</v>
      </c>
      <c r="E53" s="161">
        <f>IF(D53=$N$6,1,IF(D53=$N$5,2,IF(D53=$N$4,3,IF(D53=$N$3,4,"n/a"))))</f>
        <v>2</v>
      </c>
      <c r="F53" s="468" t="s">
        <v>263</v>
      </c>
      <c r="G53" s="469"/>
      <c r="H53" s="469"/>
      <c r="I53" s="469"/>
      <c r="J53" s="469"/>
      <c r="K53" s="470"/>
      <c r="L53" s="378"/>
    </row>
    <row r="54" spans="1:19" s="123" customFormat="1" ht="87.75" customHeight="1">
      <c r="A54" s="430" t="s">
        <v>146</v>
      </c>
      <c r="B54" s="430"/>
      <c r="C54" s="192"/>
      <c r="D54" s="47" t="s">
        <v>41</v>
      </c>
      <c r="E54" s="170">
        <f>IF(D54=$N$6,1,IF(D54=$N$5,2,IF(D54=$N$4,3,IF(D54=$N$3,4,"n/a"))))</f>
        <v>2</v>
      </c>
      <c r="F54" s="462" t="s">
        <v>264</v>
      </c>
      <c r="G54" s="426"/>
      <c r="H54" s="463"/>
      <c r="I54" s="463"/>
      <c r="J54" s="463"/>
      <c r="K54" s="464"/>
      <c r="L54" s="378"/>
    </row>
    <row r="55" spans="1:19" s="123" customFormat="1" ht="34.5" customHeight="1" thickBot="1">
      <c r="A55" s="421" t="s">
        <v>147</v>
      </c>
      <c r="B55" s="421"/>
      <c r="C55" s="37"/>
      <c r="D55" s="167" t="s">
        <v>41</v>
      </c>
      <c r="E55" s="162">
        <f>IF(D55=$N$6,1,IF(D55=$N$5,2,IF(D55=$N$4,3,IF(D55=$N$3,4,"n/a"))))</f>
        <v>2</v>
      </c>
      <c r="F55" s="463" t="s">
        <v>265</v>
      </c>
      <c r="G55" s="463"/>
      <c r="H55" s="463"/>
      <c r="I55" s="463"/>
      <c r="J55" s="426"/>
      <c r="K55" s="463"/>
      <c r="L55" s="378"/>
    </row>
    <row r="56" spans="1:19" s="104" customFormat="1" ht="28.5" customHeight="1" thickBot="1">
      <c r="A56" s="481"/>
      <c r="B56" s="482"/>
      <c r="C56" s="35" t="s">
        <v>23</v>
      </c>
      <c r="D56" s="26" t="str">
        <f>IF(E56&lt;1.5,"Low",IF(E56&lt;2.5,"Moderate",IF(E56&lt;3.5,"Substantial",IF(E56&lt;4.5,"High","n/a"))))</f>
        <v>Moderate</v>
      </c>
      <c r="E56" s="144">
        <f>IF(COUNT(E51:E55)=0,"n/a",AVERAGE(E51:E55))</f>
        <v>2</v>
      </c>
      <c r="F56" s="27">
        <f>E56</f>
        <v>2</v>
      </c>
      <c r="G56" s="215"/>
      <c r="H56" s="28" t="s">
        <v>22</v>
      </c>
      <c r="I56" s="25" t="str">
        <f>D56</f>
        <v>Moderate</v>
      </c>
      <c r="J56" s="29">
        <f>IF(I56=$N$7,"n/a",IF(AND(I56=$N$5,D56=$N$6),1.5,IF(AND(I56=$N$4,D56=$N$5),2.5,IF(AND(I56=$N$3,D56=$N$4),3.5,IF(AND(I56=$N$6,D56=$N$5),1.49,IF(AND(I56=$N$5,D56=$N$4),2.49,IF(AND(I56=$N$4,D56=$N$3),3.49,E56)))))))</f>
        <v>2</v>
      </c>
      <c r="K56" s="88" t="s">
        <v>90</v>
      </c>
      <c r="L56" s="374"/>
    </row>
    <row r="57" spans="1:19" s="104" customFormat="1" ht="19.5" customHeight="1" thickBot="1">
      <c r="A57" s="138" t="s">
        <v>148</v>
      </c>
      <c r="B57" s="145"/>
      <c r="C57" s="193"/>
      <c r="D57" s="146"/>
      <c r="E57" s="146"/>
      <c r="F57" s="146"/>
      <c r="G57" s="146"/>
      <c r="H57" s="146"/>
      <c r="I57" s="146"/>
      <c r="J57" s="146"/>
      <c r="K57" s="146"/>
      <c r="L57" s="374"/>
    </row>
    <row r="58" spans="1:19" s="123" customFormat="1" ht="47.25" customHeight="1">
      <c r="A58" s="421" t="s">
        <v>37</v>
      </c>
      <c r="B58" s="421"/>
      <c r="C58" s="37"/>
      <c r="D58" s="165" t="s">
        <v>41</v>
      </c>
      <c r="E58" s="170">
        <f>IF(D58=$N$6,1,IF(D58=$N$5,2,IF(D58=$N$4,3,IF(D58=$N$3,4,"n/a"))))</f>
        <v>2</v>
      </c>
      <c r="F58" s="475" t="s">
        <v>245</v>
      </c>
      <c r="G58" s="476"/>
      <c r="H58" s="476"/>
      <c r="I58" s="476"/>
      <c r="J58" s="476"/>
      <c r="K58" s="477"/>
      <c r="L58" s="378"/>
    </row>
    <row r="59" spans="1:19" s="123" customFormat="1" ht="48" customHeight="1">
      <c r="A59" s="421" t="s">
        <v>34</v>
      </c>
      <c r="B59" s="421"/>
      <c r="C59" s="37"/>
      <c r="D59" s="47" t="s">
        <v>41</v>
      </c>
      <c r="E59" s="117">
        <f>IF(D59=$N$6,1,IF(D59=$N$5,2,IF(D59=$N$4,3,IF(D59=$N$3,4,"n/a"))))</f>
        <v>2</v>
      </c>
      <c r="F59" s="462" t="s">
        <v>266</v>
      </c>
      <c r="G59" s="463"/>
      <c r="H59" s="463"/>
      <c r="I59" s="463"/>
      <c r="J59" s="463"/>
      <c r="K59" s="464"/>
      <c r="L59" s="378"/>
    </row>
    <row r="60" spans="1:19" s="123" customFormat="1" ht="64.5" customHeight="1">
      <c r="A60" s="421" t="s">
        <v>35</v>
      </c>
      <c r="B60" s="421"/>
      <c r="C60" s="37"/>
      <c r="D60" s="47" t="s">
        <v>41</v>
      </c>
      <c r="E60" s="117">
        <f>IF(D60=$N$6,1,IF(D60=$N$5,2,IF(D60=$N$4,3,IF(D60=$N$3,4,"n/a"))))</f>
        <v>2</v>
      </c>
      <c r="F60" s="462" t="s">
        <v>267</v>
      </c>
      <c r="G60" s="463"/>
      <c r="H60" s="463"/>
      <c r="I60" s="463"/>
      <c r="J60" s="463"/>
      <c r="K60" s="464"/>
      <c r="L60" s="382"/>
    </row>
    <row r="61" spans="1:19" s="123" customFormat="1" ht="36.75" customHeight="1" thickBot="1">
      <c r="A61" s="430" t="s">
        <v>36</v>
      </c>
      <c r="B61" s="430"/>
      <c r="C61" s="192"/>
      <c r="D61" s="175" t="s">
        <v>41</v>
      </c>
      <c r="E61" s="174">
        <f>IF(D61=$N$6,1,IF(D61=$N$5,2,IF(D61=$N$4,3,IF(D61=$N$3,4,"n/a"))))</f>
        <v>2</v>
      </c>
      <c r="F61" s="410" t="s">
        <v>235</v>
      </c>
      <c r="G61" s="411"/>
      <c r="H61" s="411"/>
      <c r="I61" s="411"/>
      <c r="J61" s="411"/>
      <c r="K61" s="412"/>
      <c r="L61" s="378"/>
    </row>
    <row r="62" spans="1:19" s="104" customFormat="1" ht="28.5" customHeight="1" thickBot="1">
      <c r="A62" s="431"/>
      <c r="B62" s="432"/>
      <c r="C62" s="35" t="s">
        <v>23</v>
      </c>
      <c r="D62" s="26" t="str">
        <f>IF(E62&lt;1.5,"Low",IF(E62&lt;2.5,"Moderate",IF(E62&lt;3.5,"Substantial",IF(E62&lt;4.5,"High","n/a"))))</f>
        <v>Moderate</v>
      </c>
      <c r="E62" s="144">
        <f>IF(COUNT(E58:E61)=0,"n/a",AVERAGE(E58:E61))</f>
        <v>2</v>
      </c>
      <c r="F62" s="48">
        <f>E62</f>
        <v>2</v>
      </c>
      <c r="G62" s="119"/>
      <c r="H62" s="49" t="s">
        <v>22</v>
      </c>
      <c r="I62" s="323" t="str">
        <f>D62</f>
        <v>Moderate</v>
      </c>
      <c r="J62" s="90">
        <f>IF(I62=$N$7,"n/a",IF(AND(I62=$N$5,D62=$N$6),1.5,IF(AND(I62=$N$4,D62=$N$5),2.5,IF(AND(I62=$N$3,D62=$N$4),3.5,IF(AND(I62=$N$6,D62=$N$5),1.49,IF(AND(I62=$N$5,D62=$N$4),2.49,IF(AND(I62=$N$4,D62=$N$3),3.49,E62)))))))</f>
        <v>2</v>
      </c>
      <c r="K62" s="324" t="s">
        <v>90</v>
      </c>
      <c r="L62" s="374"/>
    </row>
    <row r="63" spans="1:19" s="104" customFormat="1" ht="21.75" customHeight="1">
      <c r="A63" s="197" t="s">
        <v>149</v>
      </c>
      <c r="B63" s="137"/>
      <c r="C63" s="145"/>
      <c r="D63" s="137"/>
      <c r="E63" s="193"/>
      <c r="F63" s="193"/>
      <c r="G63" s="193"/>
      <c r="H63" s="193"/>
      <c r="I63" s="193"/>
      <c r="J63" s="193"/>
      <c r="K63" s="196"/>
      <c r="L63" s="374"/>
    </row>
    <row r="64" spans="1:19" s="147" customFormat="1" ht="76.5" customHeight="1">
      <c r="A64" s="417" t="s">
        <v>150</v>
      </c>
      <c r="B64" s="418"/>
      <c r="C64" s="37"/>
      <c r="D64" s="194" t="s">
        <v>78</v>
      </c>
      <c r="E64" s="195">
        <f>IF(D64=$N$6,1,IF(D64=$N$5,2,IF(D64=$N$4,3,IF(D64=$N$3,4,"n/a"))))</f>
        <v>1</v>
      </c>
      <c r="F64" s="409" t="s">
        <v>268</v>
      </c>
      <c r="G64" s="409"/>
      <c r="H64" s="409"/>
      <c r="I64" s="409"/>
      <c r="J64" s="409"/>
      <c r="K64" s="409"/>
      <c r="L64" s="383"/>
      <c r="S64" s="148"/>
    </row>
    <row r="65" spans="1:19" s="147" customFormat="1" ht="63" customHeight="1" thickBot="1">
      <c r="A65" s="422" t="s">
        <v>151</v>
      </c>
      <c r="B65" s="423"/>
      <c r="C65" s="190"/>
      <c r="D65" s="164" t="s">
        <v>78</v>
      </c>
      <c r="E65" s="162">
        <f>IF(D65=$N$6,1,IF(D65=$N$5,2,IF(D65=$N$4,3,IF(D65=$N$3,4,"n/a"))))</f>
        <v>1</v>
      </c>
      <c r="F65" s="410" t="s">
        <v>269</v>
      </c>
      <c r="G65" s="411"/>
      <c r="H65" s="411"/>
      <c r="I65" s="411"/>
      <c r="J65" s="411"/>
      <c r="K65" s="412"/>
      <c r="L65" s="383"/>
      <c r="S65" s="148"/>
    </row>
    <row r="66" spans="1:19" s="147" customFormat="1" ht="30" customHeight="1" thickBot="1">
      <c r="A66" s="419"/>
      <c r="B66" s="420"/>
      <c r="C66" s="35" t="s">
        <v>23</v>
      </c>
      <c r="D66" s="26" t="str">
        <f>IF(E66&lt;1.5,"Low",IF(E66&lt;2.5,"Moderate",IF(E66&lt;3.5,"Substantial",IF(E66&lt;4.5,"High","n/a"))))</f>
        <v>Low</v>
      </c>
      <c r="E66" s="144">
        <f>IF(COUNT(E64:E65)=0,"n/a",AVERAGE(E64:E65))</f>
        <v>1</v>
      </c>
      <c r="F66" s="48">
        <f>E66</f>
        <v>1</v>
      </c>
      <c r="G66" s="215"/>
      <c r="H66" s="49" t="s">
        <v>22</v>
      </c>
      <c r="I66" s="323" t="str">
        <f>D66</f>
        <v>Low</v>
      </c>
      <c r="J66" s="90">
        <f>IF(I66=$N$7,"n/a",IF(AND(I66=$N$5,D66=$N$6),1.5,IF(AND(I66=$N$4,D66=$N$5),2.5,IF(AND(I66=$N$3,D66=$N$4),3.5,IF(AND(I66=$N$6,D66=$N$5),1.49,IF(AND(I66=$N$5,D66=$N$4),2.49,IF(AND(I66=$N$4,D66=$N$3),3.49,E66)))))))</f>
        <v>1</v>
      </c>
      <c r="K66" s="325" t="s">
        <v>90</v>
      </c>
      <c r="L66" s="384"/>
      <c r="S66" s="148"/>
    </row>
    <row r="67" spans="1:19" s="151" customFormat="1" ht="24.75" customHeight="1" thickBot="1">
      <c r="A67" s="149" t="s">
        <v>214</v>
      </c>
      <c r="B67" s="150"/>
      <c r="C67" s="207"/>
      <c r="D67" s="207"/>
      <c r="E67" s="207"/>
      <c r="F67" s="207"/>
      <c r="G67" s="207"/>
      <c r="H67" s="207"/>
      <c r="I67" s="207"/>
      <c r="J67" s="207"/>
      <c r="K67" s="208"/>
      <c r="L67" s="376" t="s">
        <v>95</v>
      </c>
      <c r="Q67" s="152"/>
    </row>
    <row r="68" spans="1:19" s="151" customFormat="1" ht="23.25" customHeight="1">
      <c r="A68" s="201" t="s">
        <v>207</v>
      </c>
      <c r="B68" s="202"/>
      <c r="C68" s="204"/>
      <c r="D68" s="205"/>
      <c r="E68" s="205"/>
      <c r="F68" s="205"/>
      <c r="G68" s="205"/>
      <c r="H68" s="205"/>
      <c r="I68" s="205"/>
      <c r="J68" s="205"/>
      <c r="K68" s="206"/>
      <c r="L68" s="383"/>
    </row>
    <row r="69" spans="1:19" s="151" customFormat="1" ht="24.75" customHeight="1">
      <c r="A69" s="444" t="s">
        <v>51</v>
      </c>
      <c r="B69" s="517"/>
      <c r="C69" s="223"/>
      <c r="D69" s="224" t="s">
        <v>18</v>
      </c>
      <c r="E69" s="117" t="str">
        <f>IF(D69=$N$6,1,IF(D69=$N$5,2,IF(D69=$N$4,3,IF(D69=$N$3,4,"n/a"))))</f>
        <v>n/a</v>
      </c>
      <c r="F69" s="439" t="s">
        <v>270</v>
      </c>
      <c r="G69" s="439"/>
      <c r="H69" s="439"/>
      <c r="I69" s="439"/>
      <c r="J69" s="439"/>
      <c r="K69" s="439"/>
      <c r="L69" s="376" t="s">
        <v>95</v>
      </c>
    </row>
    <row r="70" spans="1:19" s="151" customFormat="1" ht="103.5" customHeight="1" thickBot="1">
      <c r="A70" s="424" t="s">
        <v>52</v>
      </c>
      <c r="B70" s="425"/>
      <c r="C70" s="225"/>
      <c r="D70" s="164" t="s">
        <v>78</v>
      </c>
      <c r="E70" s="174">
        <f>IF(D70=$N$6,1,IF(D70=$N$5,2,IF(D70=$N$4,3,IF(D70=$N$3,4,"n/a"))))</f>
        <v>1</v>
      </c>
      <c r="F70" s="433" t="s">
        <v>271</v>
      </c>
      <c r="G70" s="434"/>
      <c r="H70" s="433"/>
      <c r="I70" s="433"/>
      <c r="J70" s="434"/>
      <c r="K70" s="433"/>
      <c r="L70" s="376" t="s">
        <v>95</v>
      </c>
    </row>
    <row r="71" spans="1:19" s="151" customFormat="1" ht="27" customHeight="1" thickBot="1">
      <c r="A71" s="428"/>
      <c r="B71" s="429"/>
      <c r="C71" s="211" t="s">
        <v>23</v>
      </c>
      <c r="D71" s="45" t="str">
        <f>IF(E71&lt;1.5,"Low",IF(E71&lt;2.5,"Moderate",IF(E71&lt;3.5,"Substantial",IF(E71&lt;4.5,"High","n/a"))))</f>
        <v>Low</v>
      </c>
      <c r="E71" s="144">
        <f>IF(COUNT(E69:E70)=0,"n/a",AVERAGE(E69:E70))</f>
        <v>1</v>
      </c>
      <c r="F71" s="27">
        <f>E71</f>
        <v>1</v>
      </c>
      <c r="G71" s="215"/>
      <c r="H71" s="28" t="s">
        <v>22</v>
      </c>
      <c r="I71" s="25" t="str">
        <f>D71</f>
        <v>Low</v>
      </c>
      <c r="J71" s="29">
        <f>IF(I71=$N$7,"n/a",IF(AND(I71=$N$5,D71=$N$6),1.5,IF(AND(I71=$N$4,D71=$N$5),2.5,IF(AND(I71=$N$3,D71=$N$4),3.5,IF(AND(I71=$N$6,D71=$N$5),1.49,IF(AND(I71=$N$5,D71=$N$4),2.49,IF(AND(I71=$N$4,D71=$N$3),3.49,E71)))))))</f>
        <v>1</v>
      </c>
      <c r="K71" s="180" t="s">
        <v>90</v>
      </c>
      <c r="L71" s="383"/>
    </row>
    <row r="72" spans="1:19" s="151" customFormat="1" ht="20.25" customHeight="1">
      <c r="A72" s="311" t="s">
        <v>42</v>
      </c>
      <c r="B72" s="204"/>
      <c r="C72" s="205"/>
      <c r="D72" s="198"/>
      <c r="E72" s="199"/>
      <c r="F72" s="205"/>
      <c r="G72" s="205"/>
      <c r="H72" s="205"/>
      <c r="I72" s="205"/>
      <c r="J72" s="205"/>
      <c r="K72" s="206"/>
      <c r="L72" s="383"/>
    </row>
    <row r="73" spans="1:19" s="151" customFormat="1" ht="78.75" customHeight="1">
      <c r="A73" s="413" t="s">
        <v>73</v>
      </c>
      <c r="B73" s="414"/>
      <c r="C73" s="226"/>
      <c r="D73" s="167" t="s">
        <v>41</v>
      </c>
      <c r="E73" s="117">
        <f>IF(D73=$N$6,1,IF(D73=$N$5,2,IF(D73=$N$4,3,IF(D73=$N$3,4,"n/a"))))</f>
        <v>2</v>
      </c>
      <c r="F73" s="522" t="s">
        <v>272</v>
      </c>
      <c r="G73" s="433"/>
      <c r="H73" s="433"/>
      <c r="I73" s="433"/>
      <c r="J73" s="433"/>
      <c r="K73" s="523"/>
      <c r="L73" s="376"/>
    </row>
    <row r="74" spans="1:19" s="151" customFormat="1" ht="50.25" customHeight="1" thickBot="1">
      <c r="A74" s="424" t="s">
        <v>56</v>
      </c>
      <c r="B74" s="425"/>
      <c r="C74" s="227"/>
      <c r="D74" s="166" t="s">
        <v>78</v>
      </c>
      <c r="E74" s="174">
        <f>IF(D74=$N$6,1,IF(D74=$N$5,2,IF(D74=$N$4,3,IF(D74=$N$3,4,"n/a"))))</f>
        <v>1</v>
      </c>
      <c r="F74" s="514" t="s">
        <v>273</v>
      </c>
      <c r="G74" s="515"/>
      <c r="H74" s="515"/>
      <c r="I74" s="515"/>
      <c r="J74" s="515"/>
      <c r="K74" s="535"/>
      <c r="L74" s="376" t="s">
        <v>95</v>
      </c>
    </row>
    <row r="75" spans="1:19" s="151" customFormat="1" ht="25.5" customHeight="1" thickBot="1">
      <c r="A75" s="440"/>
      <c r="B75" s="441"/>
      <c r="C75" s="44" t="s">
        <v>23</v>
      </c>
      <c r="D75" s="26" t="str">
        <f>IF(E75&lt;1.5,"Low",IF(E75&lt;2.5,"Moderate",IF(E75&lt;3.5,"Substantial",IF(E75&lt;4.5,"High","n/a"))))</f>
        <v>Moderate</v>
      </c>
      <c r="E75" s="144">
        <f>IF(COUNT(E73:E74)=0,"n/a",AVERAGE(E73:E74))</f>
        <v>1.5</v>
      </c>
      <c r="F75" s="48">
        <f>E75</f>
        <v>1.5</v>
      </c>
      <c r="G75" s="215"/>
      <c r="H75" s="49" t="s">
        <v>22</v>
      </c>
      <c r="I75" s="323" t="str">
        <f>D75</f>
        <v>Moderate</v>
      </c>
      <c r="J75" s="90">
        <f>IF(I75=$N$7,"n/a",IF(AND(I75=$N$5,D75=$N$6),1.5,IF(AND(I75=$N$4,D75=$N$5),2.5,IF(AND(I75=$N$3,D75=$N$4),3.5,IF(AND(I75=$N$6,D75=$N$5),1.49,IF(AND(I75=$N$5,D75=$N$4),2.49,IF(AND(I75=$N$4,D75=$N$3),3.49,E75)))))))</f>
        <v>1.5</v>
      </c>
      <c r="K75" s="91" t="s">
        <v>90</v>
      </c>
      <c r="L75" s="383"/>
    </row>
    <row r="76" spans="1:19" s="151" customFormat="1" ht="21" customHeight="1">
      <c r="A76" s="201" t="s">
        <v>53</v>
      </c>
      <c r="B76" s="202"/>
      <c r="C76" s="198"/>
      <c r="D76" s="198"/>
      <c r="E76" s="198"/>
      <c r="F76" s="198"/>
      <c r="G76" s="198"/>
      <c r="H76" s="198"/>
      <c r="I76" s="198"/>
      <c r="J76" s="198"/>
      <c r="K76" s="200"/>
      <c r="L76" s="383"/>
    </row>
    <row r="77" spans="1:19" s="151" customFormat="1" ht="48.75" customHeight="1">
      <c r="A77" s="444" t="s">
        <v>54</v>
      </c>
      <c r="B77" s="517"/>
      <c r="C77" s="228"/>
      <c r="D77" s="167" t="s">
        <v>78</v>
      </c>
      <c r="E77" s="117">
        <f>IF(D77=$N$6,1,IF(D77=$N$5,2,IF(D77=$N$4,3,IF(D77=$N$3,4,"n/a"))))</f>
        <v>1</v>
      </c>
      <c r="F77" s="439" t="s">
        <v>274</v>
      </c>
      <c r="G77" s="439"/>
      <c r="H77" s="439"/>
      <c r="I77" s="439"/>
      <c r="J77" s="439"/>
      <c r="K77" s="439"/>
      <c r="L77" s="383"/>
    </row>
    <row r="78" spans="1:19" s="151" customFormat="1" ht="26.25" customHeight="1">
      <c r="A78" s="444" t="s">
        <v>55</v>
      </c>
      <c r="B78" s="445"/>
      <c r="C78" s="226"/>
      <c r="D78" s="47" t="s">
        <v>18</v>
      </c>
      <c r="E78" s="117" t="str">
        <f>IF(D78=$N$6,1,IF(D78=$N$5,2,IF(D78=$N$4,3,IF(D78=$N$3,4,"n/a"))))</f>
        <v>n/a</v>
      </c>
      <c r="F78" s="433" t="s">
        <v>234</v>
      </c>
      <c r="G78" s="433"/>
      <c r="H78" s="433"/>
      <c r="I78" s="433"/>
      <c r="J78" s="433"/>
      <c r="K78" s="433"/>
      <c r="L78" s="376" t="s">
        <v>95</v>
      </c>
    </row>
    <row r="79" spans="1:19" s="151" customFormat="1" ht="48.75" customHeight="1" thickBot="1">
      <c r="A79" s="444" t="s">
        <v>74</v>
      </c>
      <c r="B79" s="445"/>
      <c r="C79" s="229"/>
      <c r="D79" s="166" t="s">
        <v>78</v>
      </c>
      <c r="E79" s="174">
        <f>IF(D79=$N$6,1,IF(D79=$N$5,2,IF(D79=$N$4,3,IF(D79=$N$3,4,"n/a"))))</f>
        <v>1</v>
      </c>
      <c r="F79" s="433" t="s">
        <v>275</v>
      </c>
      <c r="G79" s="434"/>
      <c r="H79" s="433"/>
      <c r="I79" s="433"/>
      <c r="J79" s="434"/>
      <c r="K79" s="433"/>
      <c r="L79" s="376" t="s">
        <v>95</v>
      </c>
    </row>
    <row r="80" spans="1:19" s="151" customFormat="1" ht="27.75" customHeight="1" thickBot="1">
      <c r="A80" s="440"/>
      <c r="B80" s="441"/>
      <c r="C80" s="44" t="s">
        <v>23</v>
      </c>
      <c r="D80" s="26" t="str">
        <f>IF(E80&lt;1.5,"Low",IF(E80&lt;2.5,"Moderate",IF(E80&lt;3.5,"Substantial",IF(E80&lt;4.5,"High","n/a"))))</f>
        <v>Low</v>
      </c>
      <c r="E80" s="144">
        <f>IF(COUNT(E77:E79)=0,"n/a",AVERAGE(E77:E79))</f>
        <v>1</v>
      </c>
      <c r="F80" s="27">
        <f>E80</f>
        <v>1</v>
      </c>
      <c r="G80" s="215"/>
      <c r="H80" s="28" t="s">
        <v>22</v>
      </c>
      <c r="I80" s="25" t="str">
        <f>D80</f>
        <v>Low</v>
      </c>
      <c r="J80" s="29">
        <f>IF(I80=$N$7,"n/a",IF(AND(I80=$N$5,D80=$N$6),1.5,IF(AND(I80=$N$4,D80=$N$5),2.5,IF(AND(I80=$N$3,D80=$N$4),3.5,IF(AND(I80=$N$6,D80=$N$5),1.49,IF(AND(I80=$N$5,D80=$N$4),2.49,IF(AND(I80=$N$4,D80=$N$3),3.49,E80)))))))</f>
        <v>1</v>
      </c>
      <c r="K80" s="88" t="s">
        <v>90</v>
      </c>
      <c r="L80" s="383"/>
    </row>
    <row r="81" spans="1:17" s="151" customFormat="1" ht="21" customHeight="1">
      <c r="A81" s="203" t="s">
        <v>57</v>
      </c>
      <c r="B81" s="198"/>
      <c r="C81" s="198"/>
      <c r="D81" s="198"/>
      <c r="E81" s="198"/>
      <c r="F81" s="198"/>
      <c r="G81" s="198"/>
      <c r="H81" s="198"/>
      <c r="I81" s="198"/>
      <c r="J81" s="198"/>
      <c r="K81" s="200"/>
      <c r="L81" s="383"/>
    </row>
    <row r="82" spans="1:17" s="151" customFormat="1" ht="61.5" customHeight="1">
      <c r="A82" s="444" t="s">
        <v>76</v>
      </c>
      <c r="B82" s="517"/>
      <c r="C82" s="228"/>
      <c r="D82" s="167" t="s">
        <v>41</v>
      </c>
      <c r="E82" s="117">
        <f>IF(D82=$N$6,1,IF(D82=$N$5,2,IF(D82=$N$4,3,IF(D82=$N$3,4,"n/a"))))</f>
        <v>2</v>
      </c>
      <c r="F82" s="439" t="s">
        <v>276</v>
      </c>
      <c r="G82" s="439"/>
      <c r="H82" s="439"/>
      <c r="I82" s="439"/>
      <c r="J82" s="439"/>
      <c r="K82" s="439"/>
      <c r="L82" s="383"/>
    </row>
    <row r="83" spans="1:17" s="151" customFormat="1" ht="52.5" customHeight="1" thickBot="1">
      <c r="A83" s="424" t="s">
        <v>77</v>
      </c>
      <c r="B83" s="425"/>
      <c r="C83" s="229"/>
      <c r="D83" s="166" t="s">
        <v>78</v>
      </c>
      <c r="E83" s="174">
        <f>IF(D83=$N$6,1,IF(D83=$N$5,2,IF(D83=$N$4,3,IF(D83=$N$3,4,"n/a"))))</f>
        <v>1</v>
      </c>
      <c r="F83" s="514" t="s">
        <v>233</v>
      </c>
      <c r="G83" s="515"/>
      <c r="H83" s="515"/>
      <c r="I83" s="515"/>
      <c r="J83" s="515"/>
      <c r="K83" s="516"/>
      <c r="L83" s="376" t="s">
        <v>95</v>
      </c>
      <c r="Q83" s="153"/>
    </row>
    <row r="84" spans="1:17" s="151" customFormat="1" ht="26.25" customHeight="1" thickBot="1">
      <c r="A84" s="209"/>
      <c r="B84" s="210"/>
      <c r="C84" s="211" t="s">
        <v>23</v>
      </c>
      <c r="D84" s="26" t="str">
        <f>IF(E84&lt;1.5,"Low",IF(E84&lt;2.5,"Moderate",IF(E84&lt;3.5,"Substantial",IF(E84&lt;4.5,"High","n/a"))))</f>
        <v>Moderate</v>
      </c>
      <c r="E84" s="144">
        <f>IF(COUNT(E82:E83)=0,"n/a",AVERAGE(E82:E83))</f>
        <v>1.5</v>
      </c>
      <c r="F84" s="48">
        <f>E84</f>
        <v>1.5</v>
      </c>
      <c r="G84" s="216"/>
      <c r="H84" s="322" t="s">
        <v>22</v>
      </c>
      <c r="I84" s="323" t="s">
        <v>78</v>
      </c>
      <c r="J84" s="90">
        <f>IF(I84=$N$7,"n/a",IF(AND(I84=$N$5,D84=$N$6),1.5,IF(AND(I84=$N$4,D84=$N$5),2.5,IF(AND(I84=$N$3,D84=$N$4),3.5,IF(AND(I84=$N$6,D84=$N$5),1.49,IF(AND(I84=$N$5,D84=$N$4),2.49,IF(AND(I84=$N$4,D84=$N$3),3.49,E84)))))))</f>
        <v>1.5</v>
      </c>
      <c r="K84" s="324" t="s">
        <v>90</v>
      </c>
      <c r="L84" s="383"/>
      <c r="Q84" s="154"/>
    </row>
    <row r="85" spans="1:17" s="151" customFormat="1" ht="26.25" customHeight="1" thickBot="1">
      <c r="A85" s="288" t="s">
        <v>215</v>
      </c>
      <c r="B85" s="287"/>
      <c r="C85" s="287"/>
      <c r="D85" s="287"/>
      <c r="E85" s="287"/>
      <c r="F85" s="287"/>
      <c r="G85" s="287"/>
      <c r="H85" s="287"/>
      <c r="I85" s="287"/>
      <c r="J85" s="287"/>
      <c r="K85" s="287"/>
      <c r="L85" s="383"/>
      <c r="Q85" s="154"/>
    </row>
    <row r="86" spans="1:17" s="151" customFormat="1" ht="21.75" customHeight="1">
      <c r="A86" s="392" t="s">
        <v>172</v>
      </c>
      <c r="B86" s="289"/>
      <c r="C86" s="289"/>
      <c r="D86" s="289"/>
      <c r="E86" s="289"/>
      <c r="F86" s="289"/>
      <c r="G86" s="289"/>
      <c r="H86" s="289"/>
      <c r="I86" s="289"/>
      <c r="J86" s="289"/>
      <c r="K86" s="290"/>
      <c r="L86" s="383"/>
      <c r="Q86" s="154"/>
    </row>
    <row r="87" spans="1:17" s="151" customFormat="1" ht="33.75" customHeight="1">
      <c r="A87" s="452" t="s">
        <v>152</v>
      </c>
      <c r="B87" s="453"/>
      <c r="C87" s="291"/>
      <c r="D87" s="224" t="s">
        <v>41</v>
      </c>
      <c r="E87" s="212">
        <f>IF(D87=$N$6,1,IF(D87=$N$5,2,IF(D87=$N$4,3,IF(D87=$N$3,4,"n/a"))))</f>
        <v>2</v>
      </c>
      <c r="F87" s="439" t="s">
        <v>232</v>
      </c>
      <c r="G87" s="439"/>
      <c r="H87" s="439"/>
      <c r="I87" s="439"/>
      <c r="J87" s="439"/>
      <c r="K87" s="439"/>
      <c r="L87" s="383"/>
      <c r="Q87" s="154"/>
    </row>
    <row r="88" spans="1:17" s="151" customFormat="1" ht="77.25" customHeight="1">
      <c r="A88" s="452" t="s">
        <v>153</v>
      </c>
      <c r="B88" s="453"/>
      <c r="C88" s="291"/>
      <c r="D88" s="224" t="s">
        <v>41</v>
      </c>
      <c r="E88" s="212">
        <f>IF(D88=$N$6,1,IF(D88=$N$5,2,IF(D88=$N$4,3,IF(D88=$N$3,4,"n/a"))))</f>
        <v>2</v>
      </c>
      <c r="F88" s="439" t="s">
        <v>277</v>
      </c>
      <c r="G88" s="439"/>
      <c r="H88" s="439"/>
      <c r="I88" s="439"/>
      <c r="J88" s="439"/>
      <c r="K88" s="439"/>
      <c r="L88" s="376" t="s">
        <v>95</v>
      </c>
      <c r="Q88" s="154"/>
    </row>
    <row r="89" spans="1:17" s="151" customFormat="1" ht="36" customHeight="1">
      <c r="A89" s="452" t="s">
        <v>154</v>
      </c>
      <c r="B89" s="453"/>
      <c r="C89" s="291"/>
      <c r="D89" s="224" t="s">
        <v>41</v>
      </c>
      <c r="E89" s="212">
        <f>IF(D89=$N$6,1,IF(D89=$N$5,2,IF(D89=$N$4,3,IF(D89=$N$3,4,"n/a"))))</f>
        <v>2</v>
      </c>
      <c r="F89" s="439" t="s">
        <v>278</v>
      </c>
      <c r="G89" s="439"/>
      <c r="H89" s="439"/>
      <c r="I89" s="439"/>
      <c r="J89" s="439"/>
      <c r="K89" s="439"/>
      <c r="L89" s="383"/>
      <c r="Q89" s="154"/>
    </row>
    <row r="90" spans="1:17" s="151" customFormat="1" ht="63" customHeight="1" thickBot="1">
      <c r="A90" s="452" t="s">
        <v>173</v>
      </c>
      <c r="B90" s="453"/>
      <c r="C90" s="291"/>
      <c r="D90" s="224" t="s">
        <v>78</v>
      </c>
      <c r="E90" s="212">
        <f>IF(D90=$N$6,1,IF(D90=$N$5,2,IF(D90=$N$4,3,IF(D90=$N$3,4,"n/a"))))</f>
        <v>1</v>
      </c>
      <c r="F90" s="439" t="s">
        <v>279</v>
      </c>
      <c r="G90" s="439"/>
      <c r="H90" s="439"/>
      <c r="I90" s="439"/>
      <c r="J90" s="454"/>
      <c r="K90" s="439"/>
      <c r="L90" s="383"/>
      <c r="Q90" s="154"/>
    </row>
    <row r="91" spans="1:17" s="151" customFormat="1" ht="26.25" customHeight="1" thickBot="1">
      <c r="A91" s="457"/>
      <c r="B91" s="458"/>
      <c r="C91" s="292" t="s">
        <v>23</v>
      </c>
      <c r="D91" s="26" t="str">
        <f>IF(E91&lt;1.5,"Low",IF(E91&lt;2.5,"Moderate",IF(E91&lt;3.5,"Substantial",IF(E91&lt;4.5,"High","n/a"))))</f>
        <v>Moderate</v>
      </c>
      <c r="E91" s="144">
        <f>IF(COUNT(E87:E90)=0,"n/a",AVERAGE(E87:E90))</f>
        <v>1.75</v>
      </c>
      <c r="F91" s="27">
        <f>E91</f>
        <v>1.75</v>
      </c>
      <c r="G91" s="216"/>
      <c r="H91" s="50" t="s">
        <v>22</v>
      </c>
      <c r="I91" s="25" t="str">
        <f>D91</f>
        <v>Moderate</v>
      </c>
      <c r="J91" s="29">
        <f>IF(I91=$N$7,"n/a",IF(AND(I91=$N$5,D91=$N$6),1.5,IF(AND(I91=$N$4,D91=$N$5),2.5,IF(AND(I91=$N$3,D91=$N$4),3.5,IF(AND(I91=$N$6,D91=$N$5),1.49,IF(AND(I91=$N$5,D91=$N$4),2.49,IF(AND(I91=$N$4,D91=$N$3),3.49,E91)))))))</f>
        <v>1.75</v>
      </c>
      <c r="K91" s="88" t="s">
        <v>90</v>
      </c>
      <c r="L91" s="383"/>
      <c r="Q91" s="154"/>
    </row>
    <row r="92" spans="1:17" s="151" customFormat="1" ht="21" customHeight="1">
      <c r="A92" s="392" t="s">
        <v>165</v>
      </c>
      <c r="B92" s="289"/>
      <c r="C92" s="289"/>
      <c r="D92" s="289"/>
      <c r="E92" s="289"/>
      <c r="F92" s="289"/>
      <c r="G92" s="289"/>
      <c r="H92" s="289"/>
      <c r="I92" s="289"/>
      <c r="J92" s="289"/>
      <c r="K92" s="290"/>
      <c r="L92" s="383"/>
      <c r="Q92" s="154"/>
    </row>
    <row r="93" spans="1:17" s="151" customFormat="1" ht="62.25" customHeight="1">
      <c r="A93" s="452" t="s">
        <v>166</v>
      </c>
      <c r="B93" s="453"/>
      <c r="C93" s="291"/>
      <c r="D93" s="167" t="s">
        <v>78</v>
      </c>
      <c r="E93" s="212">
        <f>IF(D93=$N$6,1,IF(D93=$N$5,2,IF(D93=$N$4,3,IF(D93=$N$3,4,"n/a"))))</f>
        <v>1</v>
      </c>
      <c r="F93" s="439" t="s">
        <v>280</v>
      </c>
      <c r="G93" s="439"/>
      <c r="H93" s="439"/>
      <c r="I93" s="439"/>
      <c r="J93" s="439"/>
      <c r="K93" s="439"/>
      <c r="L93" s="383"/>
      <c r="Q93" s="154"/>
    </row>
    <row r="94" spans="1:17" s="151" customFormat="1" ht="81.75" customHeight="1" thickBot="1">
      <c r="A94" s="528" t="s">
        <v>175</v>
      </c>
      <c r="B94" s="529"/>
      <c r="C94" s="293"/>
      <c r="D94" s="166" t="s">
        <v>41</v>
      </c>
      <c r="E94" s="174">
        <f>IF(D94=$N$6,1,IF(D94=$N$5,2,IF(D94=$N$4,3,IF(D94=$N$3,4,"n/a"))))</f>
        <v>2</v>
      </c>
      <c r="F94" s="526" t="s">
        <v>281</v>
      </c>
      <c r="G94" s="527"/>
      <c r="H94" s="527"/>
      <c r="I94" s="527"/>
      <c r="J94" s="527"/>
      <c r="K94" s="525"/>
      <c r="L94" s="376" t="s">
        <v>95</v>
      </c>
      <c r="Q94" s="154"/>
    </row>
    <row r="95" spans="1:17" s="151" customFormat="1" ht="26.25" customHeight="1" thickBot="1">
      <c r="A95" s="530"/>
      <c r="B95" s="531"/>
      <c r="C95" s="292" t="s">
        <v>23</v>
      </c>
      <c r="D95" s="26" t="str">
        <f>IF(E95&lt;1.5,"Low",IF(E95&lt;2.5,"Moderate",IF(E95&lt;3.5,"Substantial",IF(E95&lt;4.5,"High","n/a"))))</f>
        <v>Moderate</v>
      </c>
      <c r="E95" s="144">
        <f>IF(COUNT(E93:E94)=0,"n/a",AVERAGE(E93:E94))</f>
        <v>1.5</v>
      </c>
      <c r="F95" s="27">
        <f>E95</f>
        <v>1.5</v>
      </c>
      <c r="G95" s="215"/>
      <c r="H95" s="28" t="s">
        <v>22</v>
      </c>
      <c r="I95" s="25" t="str">
        <f>D95</f>
        <v>Moderate</v>
      </c>
      <c r="J95" s="29">
        <f>IF(I95=$N$7,"n/a",IF(AND(I95=$N$5,D95=$N$6),1.5,IF(AND(I95=$N$4,D95=$N$5),2.5,IF(AND(I95=$N$3,D95=$N$4),3.5,IF(AND(I95=$N$6,D95=$N$5),1.49,IF(AND(I95=$N$5,D95=$N$4),2.49,IF(AND(I95=$N$4,D95=$N$3),3.49,E95)))))))</f>
        <v>1.5</v>
      </c>
      <c r="K95" s="88" t="s">
        <v>90</v>
      </c>
      <c r="L95" s="383"/>
      <c r="Q95" s="154"/>
    </row>
    <row r="96" spans="1:17" s="151" customFormat="1" ht="21" customHeight="1">
      <c r="A96" s="392" t="s">
        <v>156</v>
      </c>
      <c r="B96" s="289"/>
      <c r="C96" s="289"/>
      <c r="D96" s="289"/>
      <c r="E96" s="289"/>
      <c r="F96" s="289"/>
      <c r="G96" s="289"/>
      <c r="H96" s="289"/>
      <c r="I96" s="289"/>
      <c r="J96" s="289"/>
      <c r="K96" s="290"/>
      <c r="L96" s="383"/>
      <c r="Q96" s="154"/>
    </row>
    <row r="97" spans="1:17" s="151" customFormat="1" ht="51" customHeight="1">
      <c r="A97" s="452" t="s">
        <v>157</v>
      </c>
      <c r="B97" s="453"/>
      <c r="C97" s="294"/>
      <c r="D97" s="167" t="s">
        <v>41</v>
      </c>
      <c r="E97" s="117">
        <f>IF(D97=$N$6,1,IF(D97=$N$5,2,IF(D97=$N$4,3,IF(D97=$N$3,4,"n/a"))))</f>
        <v>2</v>
      </c>
      <c r="F97" s="439" t="s">
        <v>230</v>
      </c>
      <c r="G97" s="439"/>
      <c r="H97" s="439"/>
      <c r="I97" s="439"/>
      <c r="J97" s="439"/>
      <c r="K97" s="439"/>
      <c r="L97" s="376" t="s">
        <v>95</v>
      </c>
      <c r="Q97" s="154"/>
    </row>
    <row r="98" spans="1:17" s="151" customFormat="1" ht="33" customHeight="1">
      <c r="A98" s="528" t="s">
        <v>158</v>
      </c>
      <c r="B98" s="532"/>
      <c r="C98" s="294"/>
      <c r="D98" s="47" t="s">
        <v>41</v>
      </c>
      <c r="E98" s="117">
        <f>IF(D98=$N$6,1,IF(D98=$N$5,2,IF(D98=$N$4,3,IF(D98=$N$3,4,"n/a"))))</f>
        <v>2</v>
      </c>
      <c r="F98" s="522" t="s">
        <v>231</v>
      </c>
      <c r="G98" s="433"/>
      <c r="H98" s="433"/>
      <c r="I98" s="433"/>
      <c r="J98" s="433"/>
      <c r="K98" s="523"/>
      <c r="L98" s="376" t="s">
        <v>95</v>
      </c>
      <c r="P98" s="309"/>
      <c r="Q98" s="154"/>
    </row>
    <row r="99" spans="1:17" s="151" customFormat="1" ht="60.75" customHeight="1" thickBot="1">
      <c r="A99" s="533" t="s">
        <v>159</v>
      </c>
      <c r="B99" s="534"/>
      <c r="C99" s="295"/>
      <c r="D99" s="285" t="s">
        <v>5</v>
      </c>
      <c r="E99" s="286">
        <f>IF(D99=$N$6,1,IF(D99=$N$5,2,IF(D99=$N$4,3,IF(D99=$N$3,4,"n/a"))))</f>
        <v>3</v>
      </c>
      <c r="F99" s="524" t="s">
        <v>282</v>
      </c>
      <c r="G99" s="434"/>
      <c r="H99" s="434"/>
      <c r="I99" s="434"/>
      <c r="J99" s="434"/>
      <c r="K99" s="525"/>
      <c r="L99" s="383"/>
      <c r="P99" s="309"/>
      <c r="Q99" s="154"/>
    </row>
    <row r="100" spans="1:17" s="151" customFormat="1" ht="26.25" customHeight="1" thickBot="1">
      <c r="A100" s="520"/>
      <c r="B100" s="521"/>
      <c r="C100" s="292" t="s">
        <v>23</v>
      </c>
      <c r="D100" s="26" t="str">
        <f>IF(E100&lt;1.5,"Low",IF(E100&lt;2.5,"Moderate",IF(E100&lt;3.5,"Substantial",IF(E100&lt;4.5,"High","n/a"))))</f>
        <v>Moderate</v>
      </c>
      <c r="E100" s="144">
        <f>IF(COUNT(E97:E99)=0,"n/a",AVERAGE(E97:E99))</f>
        <v>2.3333333333333335</v>
      </c>
      <c r="F100" s="27">
        <f>E100</f>
        <v>2.3333333333333335</v>
      </c>
      <c r="G100" s="215"/>
      <c r="H100" s="28" t="s">
        <v>22</v>
      </c>
      <c r="I100" s="25" t="s">
        <v>41</v>
      </c>
      <c r="J100" s="29">
        <f>IF(I100=$N$7,"n/a",IF(AND(I100=$N$5,D100=$N$6),1.5,IF(AND(I100=$N$4,D100=$N$5),2.5,IF(AND(I100=$N$3,D100=$N$4),3.5,IF(AND(I100=$N$6,D100=$N$5),1.49,IF(AND(I100=$N$5,D100=$N$4),2.49,IF(AND(I100=$N$4,D100=$N$3),3.49,E100)))))))</f>
        <v>2.3333333333333335</v>
      </c>
      <c r="K100" s="88" t="s">
        <v>90</v>
      </c>
      <c r="L100" s="383"/>
      <c r="P100" s="309"/>
      <c r="Q100" s="154"/>
    </row>
    <row r="101" spans="1:17" s="151" customFormat="1" ht="23.25" customHeight="1" thickBot="1">
      <c r="A101" s="155" t="s">
        <v>216</v>
      </c>
      <c r="B101" s="156"/>
      <c r="C101" s="156"/>
      <c r="D101" s="156"/>
      <c r="E101" s="156"/>
      <c r="F101" s="156"/>
      <c r="G101" s="156"/>
      <c r="H101" s="156"/>
      <c r="I101" s="156"/>
      <c r="J101" s="156"/>
      <c r="K101" s="156"/>
      <c r="L101" s="383"/>
      <c r="M101" s="154"/>
    </row>
    <row r="102" spans="1:17" s="151" customFormat="1" ht="20.25" customHeight="1">
      <c r="A102" s="393" t="s">
        <v>161</v>
      </c>
      <c r="B102" s="213"/>
      <c r="C102" s="213"/>
      <c r="D102" s="213"/>
      <c r="E102" s="213"/>
      <c r="F102" s="213"/>
      <c r="G102" s="213"/>
      <c r="H102" s="213"/>
      <c r="I102" s="213"/>
      <c r="J102" s="213"/>
      <c r="K102" s="214"/>
      <c r="L102" s="383"/>
    </row>
    <row r="103" spans="1:17" s="151" customFormat="1" ht="62.25" customHeight="1">
      <c r="A103" s="437" t="s">
        <v>178</v>
      </c>
      <c r="B103" s="438"/>
      <c r="C103" s="230"/>
      <c r="D103" s="224" t="s">
        <v>41</v>
      </c>
      <c r="E103" s="212">
        <f>IF(D103=$N$6,1,IF(D103=$N$5,2,IF(D103=$N$4,3,IF(D103=$N$3,4,"n/a"))))</f>
        <v>2</v>
      </c>
      <c r="F103" s="439" t="s">
        <v>283</v>
      </c>
      <c r="G103" s="439"/>
      <c r="H103" s="439"/>
      <c r="I103" s="439"/>
      <c r="J103" s="439"/>
      <c r="K103" s="439"/>
      <c r="L103" s="376" t="s">
        <v>95</v>
      </c>
      <c r="Q103" s="154"/>
    </row>
    <row r="104" spans="1:17" s="151" customFormat="1" ht="48.75" customHeight="1">
      <c r="A104" s="510" t="s">
        <v>179</v>
      </c>
      <c r="B104" s="511"/>
      <c r="C104" s="231"/>
      <c r="D104" s="194" t="s">
        <v>41</v>
      </c>
      <c r="E104" s="117">
        <f>IF(D104=$N$6,1,IF(D104=$N$5,2,IF(D104=$N$4,3,IF(D104=$N$3,4,"n/a"))))</f>
        <v>2</v>
      </c>
      <c r="F104" s="433" t="s">
        <v>284</v>
      </c>
      <c r="G104" s="433"/>
      <c r="H104" s="433"/>
      <c r="I104" s="433"/>
      <c r="J104" s="433"/>
      <c r="K104" s="433"/>
      <c r="L104" s="376" t="s">
        <v>95</v>
      </c>
      <c r="Q104" s="157"/>
    </row>
    <row r="105" spans="1:17" ht="46.5" customHeight="1" thickBot="1">
      <c r="A105" s="450" t="s">
        <v>180</v>
      </c>
      <c r="B105" s="451"/>
      <c r="C105" s="232"/>
      <c r="D105" s="164" t="s">
        <v>78</v>
      </c>
      <c r="E105" s="174">
        <f>IF(D105=$N$6,1,IF(D105=$N$5,2,IF(D105=$N$4,3,IF(D105=$N$3,4,"n/a"))))</f>
        <v>1</v>
      </c>
      <c r="F105" s="433" t="s">
        <v>285</v>
      </c>
      <c r="G105" s="434"/>
      <c r="H105" s="433"/>
      <c r="I105" s="433"/>
      <c r="J105" s="434"/>
      <c r="K105" s="433"/>
      <c r="L105" s="376" t="s">
        <v>95</v>
      </c>
    </row>
    <row r="106" spans="1:17" ht="32.25" customHeight="1" thickBot="1">
      <c r="A106" s="455"/>
      <c r="B106" s="456"/>
      <c r="C106" s="38" t="s">
        <v>23</v>
      </c>
      <c r="D106" s="26" t="str">
        <f>IF(E106&lt;1.5,"Low",IF(E106&lt;2.5,"Moderate",IF(E106&lt;3.5,"Substantial",IF(E106&lt;4.5,"High","n/a"))))</f>
        <v>Moderate</v>
      </c>
      <c r="E106" s="144">
        <f>IF(COUNT(E103:E105)=0,"n/a",AVERAGE(E103:E105))</f>
        <v>1.6666666666666667</v>
      </c>
      <c r="F106" s="27">
        <f>E106</f>
        <v>1.6666666666666667</v>
      </c>
      <c r="G106" s="216"/>
      <c r="H106" s="50" t="s">
        <v>22</v>
      </c>
      <c r="I106" s="25" t="s">
        <v>41</v>
      </c>
      <c r="J106" s="29">
        <f>IF(I106=$N$7,"n/a",IF(AND(I106=$N$5,D106=$N$6),1.5,IF(AND(I106=$N$4,D106=$N$5),2.5,IF(AND(I106=$N$3,D106=$N$4),3.5,IF(AND(I106=$N$6,D106=$N$5),1.49,IF(AND(I106=$N$5,D106=$N$4),2.49,IF(AND(I106=$N$4,D106=$N$3),3.49,E106)))))))</f>
        <v>1.6666666666666667</v>
      </c>
      <c r="K106" s="88" t="s">
        <v>90</v>
      </c>
      <c r="L106" s="378"/>
    </row>
    <row r="107" spans="1:17" ht="19.5" customHeight="1">
      <c r="A107" s="394" t="s">
        <v>162</v>
      </c>
      <c r="B107" s="213"/>
      <c r="C107" s="213"/>
      <c r="D107" s="213"/>
      <c r="E107" s="213"/>
      <c r="F107" s="213"/>
      <c r="G107" s="213"/>
      <c r="H107" s="213"/>
      <c r="I107" s="213"/>
      <c r="J107" s="213"/>
      <c r="K107" s="214"/>
      <c r="L107" s="378"/>
    </row>
    <row r="108" spans="1:17" ht="37.5" customHeight="1">
      <c r="A108" s="437" t="s">
        <v>181</v>
      </c>
      <c r="B108" s="438"/>
      <c r="C108" s="230"/>
      <c r="D108" s="167" t="s">
        <v>18</v>
      </c>
      <c r="E108" s="212" t="str">
        <f>IF(D108=$N$6,1,IF(D108=$N$5,2,IF(D108=$N$4,3,IF(D108=$N$3,4,"n/a"))))</f>
        <v>n/a</v>
      </c>
      <c r="F108" s="439" t="s">
        <v>286</v>
      </c>
      <c r="G108" s="439"/>
      <c r="H108" s="439"/>
      <c r="I108" s="439"/>
      <c r="J108" s="439"/>
      <c r="K108" s="439"/>
      <c r="L108" s="378"/>
    </row>
    <row r="109" spans="1:17" ht="51" customHeight="1" thickBot="1">
      <c r="A109" s="512" t="s">
        <v>182</v>
      </c>
      <c r="B109" s="513"/>
      <c r="C109" s="233"/>
      <c r="D109" s="166" t="s">
        <v>78</v>
      </c>
      <c r="E109" s="174">
        <f>IF(D109=$N$6,1,IF(D109=$N$5,2,IF(D109=$N$4,3,IF(D109=$N$3,4,"n/a"))))</f>
        <v>1</v>
      </c>
      <c r="F109" s="526" t="s">
        <v>229</v>
      </c>
      <c r="G109" s="527"/>
      <c r="H109" s="527"/>
      <c r="I109" s="527"/>
      <c r="J109" s="527"/>
      <c r="K109" s="525"/>
      <c r="L109" s="378"/>
    </row>
    <row r="110" spans="1:17" ht="27" customHeight="1" thickBot="1">
      <c r="A110" s="435"/>
      <c r="B110" s="436"/>
      <c r="C110" s="38" t="s">
        <v>23</v>
      </c>
      <c r="D110" s="26" t="str">
        <f>IF(E110&lt;1.5,"Low",IF(E110&lt;2.5,"Moderate",IF(E110&lt;3.5,"Substantial",IF(E110&lt;4.5,"High","n/a"))))</f>
        <v>Low</v>
      </c>
      <c r="E110" s="144">
        <f>IF(COUNT(E108:E109)=0,"n/a",AVERAGE(E108:E109))</f>
        <v>1</v>
      </c>
      <c r="F110" s="27">
        <f>E110</f>
        <v>1</v>
      </c>
      <c r="G110" s="215"/>
      <c r="H110" s="28" t="s">
        <v>22</v>
      </c>
      <c r="I110" s="25" t="str">
        <f>D110</f>
        <v>Low</v>
      </c>
      <c r="J110" s="29">
        <f>IF(I110=$N$7,"n/a",IF(AND(I110=$N$5,D110=$N$6),1.5,IF(AND(I110=$N$4,D110=$N$5),2.5,IF(AND(I110=$N$3,D110=$N$4),3.5,IF(AND(I110=$N$6,D110=$N$5),1.49,IF(AND(I110=$N$5,D110=$N$4),2.49,IF(AND(I110=$N$4,D110=$N$3),3.49,E110)))))))</f>
        <v>1</v>
      </c>
      <c r="K110" s="88" t="s">
        <v>90</v>
      </c>
      <c r="L110" s="378"/>
    </row>
    <row r="111" spans="1:17" ht="21" customHeight="1">
      <c r="A111" s="394" t="s">
        <v>163</v>
      </c>
      <c r="B111" s="213"/>
      <c r="C111" s="213"/>
      <c r="D111" s="213"/>
      <c r="E111" s="213"/>
      <c r="F111" s="213"/>
      <c r="G111" s="213"/>
      <c r="H111" s="213"/>
      <c r="I111" s="213"/>
      <c r="J111" s="213"/>
      <c r="K111" s="214"/>
      <c r="L111" s="378"/>
      <c r="Q111" s="158"/>
    </row>
    <row r="112" spans="1:17" ht="61.5" customHeight="1">
      <c r="A112" s="437" t="s">
        <v>183</v>
      </c>
      <c r="B112" s="438"/>
      <c r="C112" s="230"/>
      <c r="D112" s="224" t="s">
        <v>78</v>
      </c>
      <c r="E112" s="212">
        <f>IF(D112=$N$6,1,IF(D112=$N$5,2,IF(D112=$N$4,3,IF(D112=$N$3,4,"n/a"))))</f>
        <v>1</v>
      </c>
      <c r="F112" s="439" t="s">
        <v>287</v>
      </c>
      <c r="G112" s="439"/>
      <c r="H112" s="439"/>
      <c r="I112" s="439"/>
      <c r="J112" s="439"/>
      <c r="K112" s="439"/>
      <c r="L112" s="378"/>
    </row>
    <row r="113" spans="1:12" ht="47.25" customHeight="1">
      <c r="A113" s="510" t="s">
        <v>184</v>
      </c>
      <c r="B113" s="511"/>
      <c r="C113" s="231"/>
      <c r="D113" s="194" t="s">
        <v>78</v>
      </c>
      <c r="E113" s="117">
        <f>IF(D113=$N$6,1,IF(D113=$N$5,2,IF(D113=$N$4,3,IF(D113=$N$3,4,"n/a"))))</f>
        <v>1</v>
      </c>
      <c r="F113" s="522" t="s">
        <v>288</v>
      </c>
      <c r="G113" s="433"/>
      <c r="H113" s="433"/>
      <c r="I113" s="433"/>
      <c r="J113" s="433"/>
      <c r="K113" s="523"/>
      <c r="L113" s="378"/>
    </row>
    <row r="114" spans="1:12" ht="79.5" customHeight="1" thickBot="1">
      <c r="A114" s="450" t="s">
        <v>164</v>
      </c>
      <c r="B114" s="451"/>
      <c r="C114" s="232"/>
      <c r="D114" s="164" t="s">
        <v>41</v>
      </c>
      <c r="E114" s="174">
        <f>IF(D114=$N$6,1,IF(D114=$N$5,2,IF(D114=$N$4,3,IF(D114=$N$3,4,"n/a"))))</f>
        <v>2</v>
      </c>
      <c r="F114" s="524" t="s">
        <v>289</v>
      </c>
      <c r="G114" s="434"/>
      <c r="H114" s="434"/>
      <c r="I114" s="434"/>
      <c r="J114" s="434"/>
      <c r="K114" s="525"/>
      <c r="L114" s="376" t="s">
        <v>95</v>
      </c>
    </row>
    <row r="115" spans="1:12" ht="26.25" customHeight="1" thickBot="1">
      <c r="A115" s="442"/>
      <c r="B115" s="443"/>
      <c r="C115" s="38" t="s">
        <v>23</v>
      </c>
      <c r="D115" s="26" t="str">
        <f>IF(E115&lt;1.5,"Low",IF(E115&lt;2.5,"Moderate",IF(E115&lt;3.5,"Substantial",IF(E115&lt;4.5,"High","n/a"))))</f>
        <v>Low</v>
      </c>
      <c r="E115" s="144">
        <f>IF(COUNT(E112:E114)=0,"n/a",AVERAGE(E112:E114))</f>
        <v>1.3333333333333333</v>
      </c>
      <c r="F115" s="27">
        <f>E115</f>
        <v>1.3333333333333333</v>
      </c>
      <c r="G115" s="215"/>
      <c r="H115" s="28" t="s">
        <v>22</v>
      </c>
      <c r="I115" s="25" t="str">
        <f>D115</f>
        <v>Low</v>
      </c>
      <c r="J115" s="29">
        <f>IF(I115=$N$7,"n/a",IF(AND(I115=$N$5,D115=$N$6),1.5,IF(AND(I115=$N$4,D115=$N$5),2.5,IF(AND(I115=$N$3,D115=$N$4),3.5,IF(AND(I115=$N$6,D115=$N$5),1.49,IF(AND(I115=$N$5,D115=$N$4),2.49,IF(AND(I115=$N$4,D115=$N$3),3.49,E115)))))))</f>
        <v>1.3333333333333333</v>
      </c>
      <c r="K115" s="88" t="s">
        <v>90</v>
      </c>
      <c r="L115" s="378"/>
    </row>
    <row r="116" spans="1:12" ht="23.25" customHeight="1">
      <c r="A116" s="394" t="s">
        <v>167</v>
      </c>
      <c r="B116" s="213"/>
      <c r="C116" s="213"/>
      <c r="D116" s="213"/>
      <c r="E116" s="213"/>
      <c r="F116" s="213"/>
      <c r="G116" s="213"/>
      <c r="H116" s="213"/>
      <c r="I116" s="213"/>
      <c r="J116" s="213"/>
      <c r="K116" s="214"/>
      <c r="L116" s="378"/>
    </row>
    <row r="117" spans="1:12" ht="74.25" customHeight="1">
      <c r="A117" s="448" t="s">
        <v>223</v>
      </c>
      <c r="B117" s="449"/>
      <c r="C117" s="234"/>
      <c r="D117" s="167" t="s">
        <v>78</v>
      </c>
      <c r="E117" s="117">
        <f>IF(D117=$N$6,1,IF(D117=$N$5,2,IF(D117=$N$4,3,IF(D117=$N$3,4,"n/a"))))</f>
        <v>1</v>
      </c>
      <c r="F117" s="439" t="s">
        <v>226</v>
      </c>
      <c r="G117" s="439"/>
      <c r="H117" s="439"/>
      <c r="I117" s="439"/>
      <c r="J117" s="439"/>
      <c r="K117" s="439"/>
      <c r="L117" s="376"/>
    </row>
    <row r="118" spans="1:12" ht="50.25" customHeight="1">
      <c r="A118" s="448" t="s">
        <v>224</v>
      </c>
      <c r="B118" s="449"/>
      <c r="C118" s="231"/>
      <c r="D118" s="194" t="s">
        <v>41</v>
      </c>
      <c r="E118" s="117">
        <f>IF(D118=$N$6,1,IF(D118=$N$5,2,IF(D118=$N$4,3,IF(D118=$N$3,4,"n/a"))))</f>
        <v>2</v>
      </c>
      <c r="F118" s="522" t="s">
        <v>227</v>
      </c>
      <c r="G118" s="433"/>
      <c r="H118" s="433"/>
      <c r="I118" s="433"/>
      <c r="J118" s="433"/>
      <c r="K118" s="523"/>
      <c r="L118" s="376"/>
    </row>
    <row r="119" spans="1:12" ht="34.5" customHeight="1" thickBot="1">
      <c r="A119" s="446" t="s">
        <v>225</v>
      </c>
      <c r="B119" s="447"/>
      <c r="C119" s="234"/>
      <c r="D119" s="166" t="s">
        <v>18</v>
      </c>
      <c r="E119" s="174" t="str">
        <f>IF(D119=$N$6,1,IF(D119=$N$5,2,IF(D119=$N$4,3,IF(D119=$N$3,4,"n/a"))))</f>
        <v>n/a</v>
      </c>
      <c r="F119" s="524"/>
      <c r="G119" s="434"/>
      <c r="H119" s="434"/>
      <c r="I119" s="434"/>
      <c r="J119" s="434"/>
      <c r="K119" s="525"/>
      <c r="L119" s="376"/>
    </row>
    <row r="120" spans="1:12" ht="27" customHeight="1" thickBot="1">
      <c r="A120" s="435"/>
      <c r="B120" s="436"/>
      <c r="C120" s="38" t="s">
        <v>23</v>
      </c>
      <c r="D120" s="26" t="str">
        <f>IF(E120&lt;1.5,"Low",IF(E120&lt;2.5,"Moderate",IF(E120&lt;3.5,"Substantial",IF(E120&lt;4.5,"High","n/a"))))</f>
        <v>Moderate</v>
      </c>
      <c r="E120" s="144">
        <f>IF(COUNT(E117:E119)=0,"n/a",AVERAGE(E117:E119))</f>
        <v>1.5</v>
      </c>
      <c r="F120" s="27">
        <f>E120</f>
        <v>1.5</v>
      </c>
      <c r="G120" s="215"/>
      <c r="H120" s="28" t="s">
        <v>22</v>
      </c>
      <c r="I120" s="25" t="s">
        <v>78</v>
      </c>
      <c r="J120" s="29">
        <f>IF(I120=$N$7,"n/a",IF(AND(I120=$N$5,D120=$N$6),1.5,IF(AND(I120=$N$4,D120=$N$5),2.5,IF(AND(I120=$N$3,D120=$N$4),3.5,IF(AND(I120=$N$6,D120=$N$5),1.49,IF(AND(I120=$N$5,D120=$N$4),2.49,IF(AND(I120=$N$4,D120=$N$3),3.49,E120)))))))</f>
        <v>1.5</v>
      </c>
      <c r="K120" s="407" t="s">
        <v>228</v>
      </c>
      <c r="L120" s="378"/>
    </row>
  </sheetData>
  <sheetProtection password="CC15" sheet="1" objects="1" scenarios="1" formatRows="0"/>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30" zoomScaleNormal="100" zoomScaleSheetLayoutView="115" workbookViewId="0">
      <selection activeCell="B4" sqref="B4"/>
    </sheetView>
  </sheetViews>
  <sheetFormatPr defaultColWidth="8.796875" defaultRowHeight="12.75"/>
  <cols>
    <col min="1" max="1" width="12.796875" customWidth="1"/>
    <col min="2" max="2" width="126" customWidth="1"/>
    <col min="4" max="5" width="17.73046875" customWidth="1"/>
    <col min="6" max="6" width="17.796875" customWidth="1"/>
  </cols>
  <sheetData>
    <row r="1" spans="1:2" ht="24" customHeight="1" thickBot="1">
      <c r="A1" s="605" t="s">
        <v>121</v>
      </c>
      <c r="B1" s="606"/>
    </row>
    <row r="2" spans="1:2" s="151" customFormat="1" ht="23.25" customHeight="1">
      <c r="A2" s="607" t="s">
        <v>205</v>
      </c>
      <c r="B2" s="608"/>
    </row>
    <row r="3" spans="1:2" ht="40.5" customHeight="1">
      <c r="A3" s="386" t="s">
        <v>194</v>
      </c>
      <c r="B3" s="391" t="s">
        <v>190</v>
      </c>
    </row>
    <row r="4" spans="1:2" ht="36" customHeight="1">
      <c r="A4" s="406" t="s">
        <v>195</v>
      </c>
      <c r="B4" s="93" t="s">
        <v>192</v>
      </c>
    </row>
    <row r="5" spans="1:2" ht="36" customHeight="1" thickBot="1">
      <c r="A5" s="386" t="s">
        <v>209</v>
      </c>
      <c r="B5" s="389" t="s">
        <v>210</v>
      </c>
    </row>
    <row r="6" spans="1:2" ht="23.25" customHeight="1">
      <c r="A6" s="609" t="s">
        <v>191</v>
      </c>
      <c r="B6" s="610"/>
    </row>
    <row r="7" spans="1:2" ht="21.75" customHeight="1">
      <c r="A7" s="385" t="s">
        <v>133</v>
      </c>
      <c r="B7" s="252"/>
    </row>
    <row r="8" spans="1:2" ht="37.5" customHeight="1">
      <c r="A8" s="92">
        <v>1</v>
      </c>
      <c r="B8" s="391" t="s">
        <v>193</v>
      </c>
    </row>
    <row r="9" spans="1:2" ht="22.5" customHeight="1">
      <c r="A9" s="385" t="s">
        <v>131</v>
      </c>
      <c r="B9" s="251"/>
    </row>
    <row r="10" spans="1:2" ht="130.5" customHeight="1">
      <c r="A10" s="390">
        <f>+A8+1</f>
        <v>2</v>
      </c>
      <c r="B10" s="93" t="s">
        <v>206</v>
      </c>
    </row>
    <row r="11" spans="1:2" ht="27" customHeight="1">
      <c r="A11" s="390">
        <f>+A10+1</f>
        <v>3</v>
      </c>
      <c r="B11" s="93" t="s">
        <v>196</v>
      </c>
    </row>
    <row r="12" spans="1:2" ht="23.25" customHeight="1">
      <c r="A12" s="390">
        <f t="shared" ref="A12:A13" si="0">+A11+1</f>
        <v>4</v>
      </c>
      <c r="B12" s="93" t="s">
        <v>203</v>
      </c>
    </row>
    <row r="13" spans="1:2" ht="132.5" customHeight="1">
      <c r="A13" s="390">
        <f t="shared" si="0"/>
        <v>5</v>
      </c>
      <c r="B13" s="93" t="s">
        <v>204</v>
      </c>
    </row>
    <row r="14" spans="1:2" ht="22.5" customHeight="1">
      <c r="A14" s="385" t="s">
        <v>132</v>
      </c>
      <c r="B14" s="252"/>
    </row>
    <row r="15" spans="1:2" ht="54.75" customHeight="1">
      <c r="A15" s="390">
        <f>+A13+1</f>
        <v>6</v>
      </c>
      <c r="B15" s="93" t="s">
        <v>197</v>
      </c>
    </row>
    <row r="16" spans="1:2" ht="23.25" customHeight="1">
      <c r="A16" s="390">
        <f t="shared" ref="A16:A18" si="1">+A15+1</f>
        <v>7</v>
      </c>
      <c r="B16" s="93" t="s">
        <v>198</v>
      </c>
    </row>
    <row r="17" spans="1:2" ht="24.75" customHeight="1">
      <c r="A17" s="390">
        <f t="shared" si="1"/>
        <v>8</v>
      </c>
      <c r="B17" s="93" t="s">
        <v>199</v>
      </c>
    </row>
    <row r="18" spans="1:2" ht="24.75" customHeight="1">
      <c r="A18" s="390">
        <f t="shared" si="1"/>
        <v>9</v>
      </c>
      <c r="B18" s="93" t="s">
        <v>200</v>
      </c>
    </row>
    <row r="19" spans="1:2" ht="21.75" customHeight="1">
      <c r="A19" s="385" t="s">
        <v>133</v>
      </c>
      <c r="B19" s="252"/>
    </row>
    <row r="20" spans="1:2" ht="40.5" customHeight="1" thickBot="1">
      <c r="A20" s="92">
        <f>+A18+1</f>
        <v>10</v>
      </c>
      <c r="B20" s="389" t="s">
        <v>201</v>
      </c>
    </row>
    <row r="21" spans="1:2" ht="52.5" customHeight="1" thickBot="1">
      <c r="A21" s="388" t="s">
        <v>122</v>
      </c>
      <c r="B21" s="253" t="s">
        <v>202</v>
      </c>
    </row>
    <row r="24" spans="1:2" ht="17.25" customHeight="1">
      <c r="A24" s="387" t="s">
        <v>92</v>
      </c>
      <c r="B24" s="387" t="s">
        <v>91</v>
      </c>
    </row>
    <row r="25" spans="1:2">
      <c r="A25" s="94" t="s">
        <v>93</v>
      </c>
      <c r="B25" s="94" t="s">
        <v>71</v>
      </c>
    </row>
    <row r="26" spans="1:2">
      <c r="A26" s="94" t="s">
        <v>94</v>
      </c>
      <c r="B26" s="94" t="s">
        <v>71</v>
      </c>
    </row>
    <row r="27" spans="1:2">
      <c r="A27" s="94" t="s">
        <v>96</v>
      </c>
      <c r="B27" s="95" t="s">
        <v>97</v>
      </c>
    </row>
    <row r="28" spans="1:2" ht="34.9">
      <c r="A28" s="96">
        <v>2.1</v>
      </c>
      <c r="B28" s="97" t="s">
        <v>62</v>
      </c>
    </row>
    <row r="29" spans="1:2">
      <c r="A29" s="98" t="s">
        <v>98</v>
      </c>
      <c r="B29" s="98" t="s">
        <v>63</v>
      </c>
    </row>
    <row r="30" spans="1:2">
      <c r="A30" s="98" t="s">
        <v>99</v>
      </c>
      <c r="B30" s="98" t="s">
        <v>46</v>
      </c>
    </row>
    <row r="31" spans="1:2" ht="23.25">
      <c r="A31" s="99" t="s">
        <v>100</v>
      </c>
      <c r="B31" s="98" t="s">
        <v>65</v>
      </c>
    </row>
    <row r="32" spans="1:2">
      <c r="A32" s="100" t="s">
        <v>101</v>
      </c>
      <c r="B32" s="100" t="s">
        <v>31</v>
      </c>
    </row>
    <row r="33" spans="1:2" ht="23.25">
      <c r="A33" s="101">
        <v>4</v>
      </c>
      <c r="B33" s="101" t="s">
        <v>102</v>
      </c>
    </row>
    <row r="34" spans="1:2">
      <c r="A34" s="87" t="s">
        <v>103</v>
      </c>
      <c r="B34" s="87" t="s">
        <v>189</v>
      </c>
    </row>
    <row r="35" spans="1:2">
      <c r="A35" s="87" t="s">
        <v>104</v>
      </c>
      <c r="B35" s="87" t="s">
        <v>115</v>
      </c>
    </row>
    <row r="36" spans="1:2">
      <c r="A36" s="87" t="s">
        <v>105</v>
      </c>
      <c r="B36" s="87" t="s">
        <v>114</v>
      </c>
    </row>
    <row r="37" spans="1:2" ht="34.9">
      <c r="A37" s="87" t="s">
        <v>106</v>
      </c>
      <c r="B37" s="87" t="s">
        <v>107</v>
      </c>
    </row>
    <row r="38" spans="1:2" ht="23.25">
      <c r="A38" s="87" t="s">
        <v>108</v>
      </c>
      <c r="B38" s="87" t="s">
        <v>75</v>
      </c>
    </row>
    <row r="39" spans="1:2">
      <c r="A39" s="87" t="s">
        <v>109</v>
      </c>
      <c r="B39" s="87" t="s">
        <v>116</v>
      </c>
    </row>
    <row r="40" spans="1:2">
      <c r="A40" s="307" t="s">
        <v>110</v>
      </c>
      <c r="B40" s="307" t="s">
        <v>155</v>
      </c>
    </row>
    <row r="41" spans="1:2">
      <c r="A41" s="308" t="s">
        <v>174</v>
      </c>
      <c r="B41" s="308" t="s">
        <v>177</v>
      </c>
    </row>
    <row r="42" spans="1:2">
      <c r="A42" s="308" t="s">
        <v>160</v>
      </c>
      <c r="B42" s="308" t="s">
        <v>119</v>
      </c>
    </row>
    <row r="43" spans="1:2">
      <c r="A43" s="308" t="s">
        <v>113</v>
      </c>
      <c r="B43" s="308" t="s">
        <v>120</v>
      </c>
    </row>
    <row r="44" spans="1:2">
      <c r="A44" s="102" t="s">
        <v>168</v>
      </c>
      <c r="B44" s="102" t="s">
        <v>111</v>
      </c>
    </row>
    <row r="45" spans="1:2">
      <c r="A45" s="102" t="s">
        <v>169</v>
      </c>
      <c r="B45" s="103" t="s">
        <v>112</v>
      </c>
    </row>
    <row r="46" spans="1:2">
      <c r="A46" s="103" t="s">
        <v>170</v>
      </c>
      <c r="B46" s="103" t="s">
        <v>117</v>
      </c>
    </row>
    <row r="47" spans="1:2">
      <c r="A47" s="103" t="s">
        <v>171</v>
      </c>
      <c r="B47" s="103" t="s">
        <v>118</v>
      </c>
    </row>
    <row r="48" spans="1:2" ht="13.15" thickBot="1">
      <c r="A48" s="310"/>
      <c r="B48" s="310"/>
    </row>
    <row r="49" spans="1:6" ht="27.75" customHeight="1" thickBot="1">
      <c r="A49" s="249"/>
      <c r="B49" s="250"/>
      <c r="D49" s="254"/>
      <c r="E49" s="260" t="s">
        <v>124</v>
      </c>
      <c r="F49" s="255" t="s">
        <v>126</v>
      </c>
    </row>
    <row r="50" spans="1:6" ht="45" customHeight="1" thickBot="1">
      <c r="A50" s="249"/>
      <c r="B50" s="250" t="s">
        <v>134</v>
      </c>
      <c r="C50" s="13"/>
      <c r="D50" s="265" t="s">
        <v>125</v>
      </c>
      <c r="E50" s="261" t="s">
        <v>127</v>
      </c>
      <c r="F50" s="259" t="s">
        <v>128</v>
      </c>
    </row>
    <row r="51" spans="1:6" ht="21.75" customHeight="1">
      <c r="A51" s="249"/>
      <c r="B51" s="250"/>
      <c r="C51" s="13"/>
      <c r="D51" s="266" t="s">
        <v>4</v>
      </c>
      <c r="E51" s="262">
        <v>4</v>
      </c>
      <c r="F51" s="258" t="s">
        <v>135</v>
      </c>
    </row>
    <row r="52" spans="1:6" ht="21.75" customHeight="1">
      <c r="A52" s="249"/>
      <c r="B52" s="250"/>
      <c r="C52" s="13"/>
      <c r="D52" s="267" t="s">
        <v>5</v>
      </c>
      <c r="E52" s="263">
        <v>3</v>
      </c>
      <c r="F52" s="256" t="s">
        <v>136</v>
      </c>
    </row>
    <row r="53" spans="1:6" ht="21.75" customHeight="1">
      <c r="A53" s="249"/>
      <c r="B53" s="250"/>
      <c r="C53" s="13"/>
      <c r="D53" s="268" t="s">
        <v>41</v>
      </c>
      <c r="E53" s="263">
        <v>2</v>
      </c>
      <c r="F53" s="256" t="s">
        <v>137</v>
      </c>
    </row>
    <row r="54" spans="1:6" ht="21.75" customHeight="1">
      <c r="A54" s="249"/>
      <c r="B54" s="250"/>
      <c r="C54" s="13"/>
      <c r="D54" s="269" t="s">
        <v>78</v>
      </c>
      <c r="E54" s="263">
        <v>1</v>
      </c>
      <c r="F54" s="256" t="s">
        <v>130</v>
      </c>
    </row>
    <row r="55" spans="1:6" ht="21.75" customHeight="1" thickBot="1">
      <c r="A55" s="249"/>
      <c r="B55" s="250"/>
      <c r="C55" s="13"/>
      <c r="D55" s="270" t="s">
        <v>18</v>
      </c>
      <c r="E55" s="264" t="s">
        <v>129</v>
      </c>
      <c r="F55" s="257" t="s">
        <v>129</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AD789124-D42E-41EA-9C34-CFE157928930}">
  <ds:schemaRefs>
    <ds:schemaRef ds:uri="http://purl.org/dc/dcmitype/"/>
    <ds:schemaRef ds:uri="http://purl.org/dc/elements/1.1/"/>
    <ds:schemaRef ds:uri="http://schemas.microsoft.com/office/2006/documentManagement/types"/>
    <ds:schemaRef ds:uri="http://purl.org/dc/terms/"/>
    <ds:schemaRef ds:uri="http://www.w3.org/XML/1998/namespace"/>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Catherine Allen</cp:lastModifiedBy>
  <cp:lastPrinted>2015-09-16T12:49:58Z</cp:lastPrinted>
  <dcterms:created xsi:type="dcterms:W3CDTF">2012-01-04T16:00:22Z</dcterms:created>
  <dcterms:modified xsi:type="dcterms:W3CDTF">2026-06-29T14:30:55Z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