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autoCompressPictures="0" defaultThemeVersion="124226"/>
  <mc:AlternateContent xmlns:mc="http://schemas.openxmlformats.org/markup-compatibility/2006">
    <mc:Choice Requires="x15">
      <x15ac:absPath xmlns:x15ac="http://schemas.microsoft.com/office/spreadsheetml/2010/11/ac" url="T:\3.2 The VCA Studies Phase II\23. Georgia - maize\5. Final Report\"/>
    </mc:Choice>
  </mc:AlternateContent>
  <xr:revisionPtr revIDLastSave="0" documentId="13_ncr:1_{F27F499B-E5EB-4495-96D3-4C1149A42429}" xr6:coauthVersionLast="47" xr6:coauthVersionMax="47" xr10:uidLastSave="{00000000-0000-0000-0000-000000000000}"/>
  <bookViews>
    <workbookView xWindow="-110" yWindow="-110" windowWidth="19420" windowHeight="11500" activeTab="3" xr2:uid="{00000000-000D-0000-FFFF-FFFF00000000}"/>
  </bookViews>
  <sheets>
    <sheet name="Profile" sheetId="1" r:id="rId1"/>
    <sheet name="Sheet1" sheetId="5" r:id="rId2"/>
    <sheet name="Register" sheetId="2" r:id="rId3"/>
    <sheet name="Questionnaire" sheetId="3" r:id="rId4"/>
    <sheet name="Guidance" sheetId="4" r:id="rId5"/>
  </sheets>
  <definedNames>
    <definedName name="_xlnm._FilterDatabase" localSheetId="3" hidden="1">Questionnaire!$A$1:$N$120</definedName>
    <definedName name="_xlnm.Print_Area" localSheetId="0">Profile!$A$1:$G$29</definedName>
    <definedName name="_xlnm.Print_Area" localSheetId="3">Questionnaire!$A$1:$L$121</definedName>
    <definedName name="_xlnm.Print_Area" localSheetId="2">Register!$A$1:$I$39</definedName>
    <definedName name="_xlnm.Print_Titles" localSheetId="3">Questionnaire!$2:$2</definedName>
    <definedName name="_xlnm.Print_Titles" localSheetId="2">Register!$1:$4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4" l="1"/>
  <c r="A11" i="4" s="1"/>
  <c r="A12" i="4" s="1"/>
  <c r="A13" i="4" s="1"/>
  <c r="A15" i="4" s="1"/>
  <c r="A16" i="4" s="1"/>
  <c r="A17" i="4" s="1"/>
  <c r="A18" i="4" s="1"/>
  <c r="A20" i="4" s="1"/>
  <c r="E119" i="3" l="1"/>
  <c r="E118" i="3"/>
  <c r="E117" i="3"/>
  <c r="E114" i="3"/>
  <c r="E113" i="3"/>
  <c r="E112" i="3"/>
  <c r="E109" i="3"/>
  <c r="E108" i="3"/>
  <c r="E105" i="3"/>
  <c r="E104" i="3"/>
  <c r="E103" i="3"/>
  <c r="E99" i="3"/>
  <c r="E98" i="3"/>
  <c r="E97" i="3"/>
  <c r="E94" i="3"/>
  <c r="E93" i="3"/>
  <c r="E95" i="3" s="1"/>
  <c r="E90" i="3"/>
  <c r="E89" i="3"/>
  <c r="E88" i="3"/>
  <c r="E87" i="3"/>
  <c r="E83" i="3"/>
  <c r="E82" i="3"/>
  <c r="E79" i="3"/>
  <c r="E78" i="3"/>
  <c r="E77" i="3"/>
  <c r="E74" i="3"/>
  <c r="E73" i="3"/>
  <c r="E75" i="3" s="1"/>
  <c r="E70" i="3"/>
  <c r="E69" i="3"/>
  <c r="E65" i="3"/>
  <c r="E64" i="3"/>
  <c r="E66" i="3" s="1"/>
  <c r="E61" i="3"/>
  <c r="E60" i="3"/>
  <c r="E59" i="3"/>
  <c r="E58" i="3"/>
  <c r="E55" i="3"/>
  <c r="E54" i="3"/>
  <c r="E53" i="3"/>
  <c r="E52" i="3"/>
  <c r="E51" i="3"/>
  <c r="E48" i="3"/>
  <c r="E47" i="3"/>
  <c r="E46" i="3"/>
  <c r="E45" i="3"/>
  <c r="E42" i="3"/>
  <c r="E41" i="3"/>
  <c r="E37" i="3"/>
  <c r="E36" i="3"/>
  <c r="E35" i="3"/>
  <c r="E34" i="3"/>
  <c r="E31" i="3"/>
  <c r="E30" i="3"/>
  <c r="E29" i="3"/>
  <c r="E28" i="3"/>
  <c r="E25" i="3"/>
  <c r="E24" i="3"/>
  <c r="E20" i="3"/>
  <c r="E19" i="3"/>
  <c r="E16" i="3"/>
  <c r="E17" i="3" s="1"/>
  <c r="E13" i="3"/>
  <c r="E12" i="3"/>
  <c r="E9" i="3"/>
  <c r="E8" i="3"/>
  <c r="E7" i="3"/>
  <c r="E6" i="3"/>
  <c r="E5" i="3"/>
  <c r="E43" i="3" l="1"/>
  <c r="E120" i="3"/>
  <c r="E115" i="3"/>
  <c r="E110" i="3"/>
  <c r="E106" i="3"/>
  <c r="E100" i="3"/>
  <c r="E91" i="3"/>
  <c r="E84" i="3"/>
  <c r="E80" i="3"/>
  <c r="E71" i="3"/>
  <c r="E62" i="3"/>
  <c r="E56" i="3"/>
  <c r="E49" i="3"/>
  <c r="E38" i="3"/>
  <c r="E32" i="3"/>
  <c r="E21" i="3"/>
  <c r="E14" i="3"/>
  <c r="E10" i="3"/>
  <c r="E26" i="3"/>
  <c r="H33" i="2"/>
  <c r="A32" i="2"/>
  <c r="A31" i="2"/>
  <c r="A30" i="2"/>
  <c r="A29" i="2"/>
  <c r="A18" i="1" s="1"/>
  <c r="G18" i="1" l="1"/>
  <c r="F100" i="3"/>
  <c r="D100" i="3"/>
  <c r="I100" i="3" s="1"/>
  <c r="D95" i="3"/>
  <c r="I95" i="3" s="1"/>
  <c r="F91" i="3"/>
  <c r="D91" i="3"/>
  <c r="I91" i="3" s="1"/>
  <c r="F95" i="3"/>
  <c r="D1" i="2"/>
  <c r="G1" i="2"/>
  <c r="J1" i="3"/>
  <c r="D1" i="3"/>
  <c r="B1" i="3"/>
  <c r="A1" i="2"/>
  <c r="J91" i="3" l="1"/>
  <c r="B30" i="2" s="1"/>
  <c r="J95" i="3"/>
  <c r="B31" i="2" s="1"/>
  <c r="J100" i="3"/>
  <c r="B32" i="2" s="1"/>
  <c r="L7" i="2"/>
  <c r="L6" i="2"/>
  <c r="L5" i="2"/>
  <c r="L4" i="2"/>
  <c r="L3" i="2"/>
  <c r="A38" i="2"/>
  <c r="A37" i="2"/>
  <c r="A36" i="2"/>
  <c r="A35" i="2"/>
  <c r="A34" i="2"/>
  <c r="A19" i="1" s="1"/>
  <c r="A27" i="2"/>
  <c r="A26" i="2"/>
  <c r="A25" i="2"/>
  <c r="A24" i="2"/>
  <c r="A23" i="2"/>
  <c r="A17" i="1" s="1"/>
  <c r="A21" i="2"/>
  <c r="A20" i="2"/>
  <c r="A19" i="2"/>
  <c r="A18" i="2"/>
  <c r="A17" i="2"/>
  <c r="A16" i="2"/>
  <c r="A16" i="1" s="1"/>
  <c r="A14" i="2"/>
  <c r="A13" i="2"/>
  <c r="A12" i="2"/>
  <c r="A11" i="2"/>
  <c r="A15" i="1" s="1"/>
  <c r="A5" i="2"/>
  <c r="A14" i="1" s="1"/>
  <c r="A9" i="2"/>
  <c r="A8" i="2"/>
  <c r="A7" i="2"/>
  <c r="A6" i="2"/>
  <c r="D80" i="3"/>
  <c r="D75" i="3"/>
  <c r="D56" i="3"/>
  <c r="C30" i="2" l="1"/>
  <c r="D32" i="2"/>
  <c r="C32" i="2"/>
  <c r="C31" i="2"/>
  <c r="D31" i="2"/>
  <c r="B33" i="2"/>
  <c r="D33" i="2" s="1"/>
  <c r="E18" i="1" s="1"/>
  <c r="D30" i="2"/>
  <c r="I30" i="2"/>
  <c r="I38" i="2"/>
  <c r="I19" i="2"/>
  <c r="I18" i="2"/>
  <c r="I14" i="2"/>
  <c r="I37" i="2"/>
  <c r="I36" i="2"/>
  <c r="I26" i="2"/>
  <c r="I17" i="2"/>
  <c r="I7" i="2"/>
  <c r="I25" i="2"/>
  <c r="I24" i="2"/>
  <c r="I35" i="2"/>
  <c r="I32" i="2"/>
  <c r="I13" i="2"/>
  <c r="I9" i="2"/>
  <c r="I8" i="2"/>
  <c r="I6" i="2"/>
  <c r="I31" i="2"/>
  <c r="I21" i="2"/>
  <c r="I12" i="2"/>
  <c r="I20" i="2"/>
  <c r="I27" i="2"/>
  <c r="I33" i="2"/>
  <c r="F18" i="1" s="1"/>
  <c r="D62" i="3"/>
  <c r="D66" i="3"/>
  <c r="D106" i="3"/>
  <c r="D115" i="3"/>
  <c r="D110" i="3"/>
  <c r="D71" i="3"/>
  <c r="D43" i="3"/>
  <c r="D26" i="3"/>
  <c r="I26" i="3" s="1"/>
  <c r="J26" i="3" s="1"/>
  <c r="D32" i="3"/>
  <c r="D38" i="3"/>
  <c r="D84" i="3"/>
  <c r="D120" i="3"/>
  <c r="D17" i="3"/>
  <c r="C33" i="2" l="1"/>
  <c r="C18" i="1" s="1"/>
  <c r="D18" i="1"/>
  <c r="F49" i="3"/>
  <c r="D49" i="3"/>
  <c r="D14" i="3"/>
  <c r="I14" i="3" s="1"/>
  <c r="J14" i="3" s="1"/>
  <c r="D21" i="3"/>
  <c r="D10" i="3" l="1"/>
  <c r="I10" i="3" s="1"/>
  <c r="J10" i="3" l="1"/>
  <c r="B6" i="2" s="1"/>
  <c r="C6" i="2" s="1"/>
  <c r="F80" i="3"/>
  <c r="I80" i="3"/>
  <c r="F75" i="3"/>
  <c r="I75" i="3"/>
  <c r="F71" i="3"/>
  <c r="J75" i="3" l="1"/>
  <c r="B25" i="2" s="1"/>
  <c r="C25" i="2" s="1"/>
  <c r="J80" i="3"/>
  <c r="B26" i="2" s="1"/>
  <c r="C26" i="2" s="1"/>
  <c r="H39" i="2"/>
  <c r="G12" i="1"/>
  <c r="H28" i="2"/>
  <c r="H22" i="2"/>
  <c r="I22" i="2" s="1"/>
  <c r="H10" i="2"/>
  <c r="H15" i="2"/>
  <c r="I15" i="1"/>
  <c r="I19" i="1"/>
  <c r="I14" i="1"/>
  <c r="I20" i="1" s="1"/>
  <c r="I17" i="1"/>
  <c r="I16" i="1"/>
  <c r="I10" i="2" l="1"/>
  <c r="F14" i="1" s="1"/>
  <c r="I28" i="2"/>
  <c r="F17" i="1" s="1"/>
  <c r="I39" i="2"/>
  <c r="F19" i="1" s="1"/>
  <c r="I15" i="2"/>
  <c r="F15" i="1" s="1"/>
  <c r="G19" i="1"/>
  <c r="G17" i="1"/>
  <c r="G14" i="1"/>
  <c r="G15" i="1"/>
  <c r="G16" i="1"/>
  <c r="F16" i="1"/>
  <c r="I17" i="3"/>
  <c r="I71" i="3"/>
  <c r="F84" i="3"/>
  <c r="I43" i="3"/>
  <c r="J43" i="3" s="1"/>
  <c r="F62" i="3"/>
  <c r="I66" i="3"/>
  <c r="J66" i="3" s="1"/>
  <c r="F106" i="3"/>
  <c r="I120" i="3"/>
  <c r="I32" i="3"/>
  <c r="J32" i="3" s="1"/>
  <c r="I49" i="3"/>
  <c r="J49" i="3" s="1"/>
  <c r="F115" i="3"/>
  <c r="F66" i="3"/>
  <c r="F38" i="3"/>
  <c r="I38" i="3"/>
  <c r="I56" i="3"/>
  <c r="J56" i="3" s="1"/>
  <c r="F56" i="3"/>
  <c r="B12" i="2"/>
  <c r="C12" i="2" s="1"/>
  <c r="F26" i="3"/>
  <c r="F21" i="3"/>
  <c r="F17" i="3"/>
  <c r="J71" i="3" l="1"/>
  <c r="B24" i="2" s="1"/>
  <c r="J120" i="3"/>
  <c r="B38" i="2" s="1"/>
  <c r="C38" i="2" s="1"/>
  <c r="J38" i="3"/>
  <c r="B14" i="2" s="1"/>
  <c r="C14" i="2" s="1"/>
  <c r="J17" i="3"/>
  <c r="B8" i="2" s="1"/>
  <c r="C8" i="2" s="1"/>
  <c r="D12" i="2"/>
  <c r="I110" i="3"/>
  <c r="F110" i="3"/>
  <c r="B19" i="2"/>
  <c r="C19" i="2" s="1"/>
  <c r="B18" i="2"/>
  <c r="C18" i="2" s="1"/>
  <c r="B21" i="2"/>
  <c r="C21" i="2" s="1"/>
  <c r="B17" i="2"/>
  <c r="C17" i="2" s="1"/>
  <c r="I62" i="3"/>
  <c r="J62" i="3" s="1"/>
  <c r="B13" i="2"/>
  <c r="C13" i="2" s="1"/>
  <c r="I21" i="3"/>
  <c r="F32" i="3"/>
  <c r="F14" i="3"/>
  <c r="I106" i="3"/>
  <c r="J106" i="3" s="1"/>
  <c r="F43" i="3"/>
  <c r="I84" i="3"/>
  <c r="J84" i="3" s="1"/>
  <c r="F120" i="3"/>
  <c r="I115" i="3"/>
  <c r="J115" i="3" s="1"/>
  <c r="F10" i="3"/>
  <c r="C24" i="2" l="1"/>
  <c r="D24" i="2"/>
  <c r="J21" i="3"/>
  <c r="B9" i="2" s="1"/>
  <c r="J110" i="3"/>
  <c r="B36" i="2" s="1"/>
  <c r="C36" i="2" s="1"/>
  <c r="B15" i="2"/>
  <c r="C15" i="2" s="1"/>
  <c r="D21" i="2"/>
  <c r="D19" i="2"/>
  <c r="D18" i="2"/>
  <c r="B35" i="2"/>
  <c r="C35" i="2" s="1"/>
  <c r="B37" i="2"/>
  <c r="C37" i="2" s="1"/>
  <c r="B27" i="2"/>
  <c r="D14" i="2"/>
  <c r="D17" i="2"/>
  <c r="D25" i="2"/>
  <c r="B20" i="2"/>
  <c r="D13" i="2"/>
  <c r="B7" i="2"/>
  <c r="D8" i="2"/>
  <c r="C9" i="2" l="1"/>
  <c r="D9" i="2"/>
  <c r="B28" i="2"/>
  <c r="C28" i="2" s="1"/>
  <c r="C27" i="2"/>
  <c r="B22" i="2"/>
  <c r="C22" i="2" s="1"/>
  <c r="C20" i="2"/>
  <c r="D15" i="2"/>
  <c r="E15" i="1" s="1"/>
  <c r="B10" i="2"/>
  <c r="C10" i="2" s="1"/>
  <c r="C7" i="2"/>
  <c r="B39" i="2"/>
  <c r="C39" i="2" s="1"/>
  <c r="C15" i="1"/>
  <c r="D37" i="2"/>
  <c r="D27" i="2"/>
  <c r="D20" i="2"/>
  <c r="D15" i="1"/>
  <c r="D7" i="2"/>
  <c r="D38" i="2"/>
  <c r="D36" i="2"/>
  <c r="D35" i="2"/>
  <c r="D26" i="2"/>
  <c r="D6" i="2"/>
  <c r="D22" i="2" l="1"/>
  <c r="E16" i="1" s="1"/>
  <c r="D39" i="2"/>
  <c r="E19" i="1" s="1"/>
  <c r="D17" i="1"/>
  <c r="D28" i="2"/>
  <c r="E17" i="1" s="1"/>
  <c r="C17" i="1"/>
  <c r="C16" i="1"/>
  <c r="D16" i="1"/>
  <c r="D10" i="2"/>
  <c r="E14" i="1" s="1"/>
  <c r="C14" i="1"/>
  <c r="C19" i="1"/>
  <c r="D19" i="1"/>
  <c r="D14" i="1"/>
</calcChain>
</file>

<file path=xl/sharedStrings.xml><?xml version="1.0" encoding="utf-8"?>
<sst xmlns="http://schemas.openxmlformats.org/spreadsheetml/2006/main" count="541" uniqueCount="305">
  <si>
    <t>Question</t>
  </si>
  <si>
    <t>Score</t>
  </si>
  <si>
    <t>Source</t>
  </si>
  <si>
    <t>Low</t>
  </si>
  <si>
    <t>High</t>
  </si>
  <si>
    <t>Substantial</t>
  </si>
  <si>
    <t>Level</t>
  </si>
  <si>
    <t>Trend</t>
  </si>
  <si>
    <t>Overall Recommendation</t>
  </si>
  <si>
    <t>Dimension</t>
  </si>
  <si>
    <t>Major risks and possible negative consequences</t>
  </si>
  <si>
    <t>↑</t>
  </si>
  <si>
    <t>↓</t>
  </si>
  <si>
    <t>↔</t>
  </si>
  <si>
    <t>Average</t>
  </si>
  <si>
    <t>Tr_score</t>
  </si>
  <si>
    <t>Please add justification.</t>
  </si>
  <si>
    <t>Key Mitigating Measures</t>
  </si>
  <si>
    <t>Mitigating measures</t>
  </si>
  <si>
    <t>n/a</t>
  </si>
  <si>
    <t>Zero</t>
  </si>
  <si>
    <t>Medium</t>
  </si>
  <si>
    <t>Country:</t>
  </si>
  <si>
    <t>Final:</t>
  </si>
  <si>
    <t>Average:</t>
  </si>
  <si>
    <t>Date last modif.</t>
  </si>
  <si>
    <t xml:space="preserve">  Date Last Modification: </t>
  </si>
  <si>
    <t xml:space="preserve"> . . / . . / 20 . .</t>
  </si>
  <si>
    <t>Value chain:</t>
  </si>
  <si>
    <t>1.2 Child Labour</t>
  </si>
  <si>
    <t>1.1 Respect of labour rights</t>
  </si>
  <si>
    <t>1.1.2 Is freedom of association allowed and effective (collective bargaining)?</t>
  </si>
  <si>
    <t>1.3 Job safety</t>
  </si>
  <si>
    <t>Good reasons for restictions make the question non applicable</t>
  </si>
  <si>
    <t>3.1 Economic activities</t>
  </si>
  <si>
    <t>3.2 Access to resources and services</t>
  </si>
  <si>
    <t xml:space="preserve">3.4.2 Do women have leadership positions within the organisations they are part of? </t>
  </si>
  <si>
    <t xml:space="preserve">3.4.3 Do women have the power to influence services, territorial power and policy decision making? </t>
  </si>
  <si>
    <t>3.4.4 Do women speak in public?</t>
  </si>
  <si>
    <t>3.4.1 Are women members of groups, trade unions, farmers' organisations?</t>
  </si>
  <si>
    <t>3.2.2 Do women have equal land rights as men?</t>
  </si>
  <si>
    <t>1.1.4 To what extent are risks of forced labour in any segment of the value chain minimised?</t>
  </si>
  <si>
    <t>3.1.1 Are risks of women being excluded from certain segments of the value chain minimised?</t>
  </si>
  <si>
    <t>Moderate/Low</t>
  </si>
  <si>
    <t xml:space="preserve">4.2 Accessibility of food </t>
  </si>
  <si>
    <t xml:space="preserve">2.1 Adherence to VGGT </t>
  </si>
  <si>
    <t>2.1.1 Do the companies/institutions involved in the value chain declare adhering to the VGGT?</t>
  </si>
  <si>
    <t>2.2.2 Level of accessibility of intervention policies, laws, procedures and decisions to all stakeholders of the value chain?</t>
  </si>
  <si>
    <t>Respond 'High' if formal contract exists</t>
  </si>
  <si>
    <t>2.2 Transparency, participation and consultation</t>
  </si>
  <si>
    <t>2.3  Equity,compensation and justice</t>
  </si>
  <si>
    <t>2.3.1  Do the locally applied rules promote secure and equitable tenure rights or access to land and water?</t>
  </si>
  <si>
    <t>2.3.2 In case disruption of livelihoods is expected, have alternative strategies been considered?</t>
  </si>
  <si>
    <t xml:space="preserve">4.1.1 Does the local production of food increase?
</t>
  </si>
  <si>
    <t xml:space="preserve">4.1.2 Are food supplies increasing on local markets? 
</t>
  </si>
  <si>
    <t xml:space="preserve">4.3 Utilisation and nutritional adequacy </t>
  </si>
  <si>
    <r>
      <t xml:space="preserve">4.3.1 Is the nutritional quality of available food improving?  </t>
    </r>
    <r>
      <rPr>
        <i/>
        <sz val="11"/>
        <rFont val="Arial"/>
        <family val="2"/>
      </rPr>
      <t xml:space="preserve">
</t>
    </r>
  </si>
  <si>
    <t>4.3.2 Are nutritional practices being improved?</t>
  </si>
  <si>
    <t xml:space="preserve">4.2.2 Are (relative) consumers food prices decreasing? </t>
  </si>
  <si>
    <t xml:space="preserve">4.4 Stability </t>
  </si>
  <si>
    <t xml:space="preserve">1.1.5 To what extent are any risks of discrimination in employment for specific categories of the population minimised? </t>
  </si>
  <si>
    <t xml:space="preserve">2.2.3  Level of participation and consultation of all individuals and groups in the decision-making process? </t>
  </si>
  <si>
    <t xml:space="preserve">2.2.4 To what extent prior consent of those affected by the decisions was reached? </t>
  </si>
  <si>
    <t>2.1.2 If large scale investments for land aquisition are at stake, do the involved companies/institutions apply the 'Guide to due diligence of agribusiness projects that affect land and property rights'?</t>
  </si>
  <si>
    <t>Consider as entry point for the analysis the current state of play of the country specific land governance (policy, legislation, institutions/actors, enacting and application of legislation in particular as regards the consideration/impact on smallholders, land administration). This is important to know/judge if government legislation and/or customary rights matter</t>
  </si>
  <si>
    <t xml:space="preserve">How is adherence to VGGT done and is this publically acknowledged? </t>
  </si>
  <si>
    <t>2.2.1  Level of prior disclosure of project related information to local stakeholders?</t>
  </si>
  <si>
    <t>Practice of legal recognition and allocation of land rights in the sphere of value chain investment: formal, customary and informal land rights, rights of indigenous people, pastoralists, contracts… To which extent doeas the value chain investment impact on local/traditional land governance?</t>
  </si>
  <si>
    <t xml:space="preserve">2.3.3 Where expropriation is indispensable: is a system for ensuring fair and prompt compensation in place (in accordance with the national law and publically acknowledged as being fair)?  </t>
  </si>
  <si>
    <t>2.3.4 Are there provisions foreseen to address stakeholder complains and for arbitration of possible conflicts caused by value chain investments?</t>
  </si>
  <si>
    <t>1.4 Attractiveness</t>
  </si>
  <si>
    <t>1.4.2 Are conditions of activities attractive for youth?</t>
  </si>
  <si>
    <t>1.1.1 To what extent do companies involved in the value chain respect the standards elaborated in the 8 fundamental ILO international labour conventions and in the ICESCR  and ICCPR?</t>
  </si>
  <si>
    <t>Risk assessment</t>
  </si>
  <si>
    <t>1.4.1 To what extent are remunerations in accordance with local standards?</t>
  </si>
  <si>
    <t xml:space="preserve">4.2.1 Do people have more income to allocate to food?  </t>
  </si>
  <si>
    <t>4.3.3 Is dietary diversity increased?</t>
  </si>
  <si>
    <t>Minimum number of food groups consumed by an individual over a reference period. Ref.: FAO Manual Minimum Dietary Diversity in Women (in preparation). This is relevant only if the baseline score is low.</t>
  </si>
  <si>
    <t>4.4.1 Is risk of periodic food shortage for household reduced?</t>
  </si>
  <si>
    <t xml:space="preserve">4.4.2 Is excessive food price variation reduced? </t>
  </si>
  <si>
    <t>Not at all</t>
  </si>
  <si>
    <t>Previous Analysis</t>
  </si>
  <si>
    <t>../../20..</t>
  </si>
  <si>
    <t>date:</t>
  </si>
  <si>
    <t>Domain</t>
  </si>
  <si>
    <t>Present profile</t>
  </si>
  <si>
    <t>Previous profile</t>
  </si>
  <si>
    <t>Comments</t>
  </si>
  <si>
    <t>Score level</t>
  </si>
  <si>
    <t>Count</t>
  </si>
  <si>
    <t>Major Issues</t>
  </si>
  <si>
    <t>Risk/Cost of Non-Intervention vs. Benefits</t>
  </si>
  <si>
    <r>
      <rPr>
        <b/>
        <i/>
        <sz val="9"/>
        <rFont val="Arial"/>
        <family val="2"/>
      </rPr>
      <t>Justification if adjustment of the score level =</t>
    </r>
    <r>
      <rPr>
        <i/>
        <sz val="9"/>
        <rFont val="Arial"/>
        <family val="2"/>
      </rPr>
      <t xml:space="preserve"> …</t>
    </r>
  </si>
  <si>
    <t>Explanations on questions</t>
  </si>
  <si>
    <t>Question n°</t>
  </si>
  <si>
    <t>1.2.1</t>
  </si>
  <si>
    <t>1.2.2</t>
  </si>
  <si>
    <t>Cf: Guidance</t>
  </si>
  <si>
    <t>1.4.1</t>
  </si>
  <si>
    <t>Remuneration: provision of income allowing workers to support themselves and their families.</t>
  </si>
  <si>
    <t>2.1.1</t>
  </si>
  <si>
    <t>2.2.4</t>
  </si>
  <si>
    <t>2.3.1</t>
  </si>
  <si>
    <t>3.1.1</t>
  </si>
  <si>
    <t xml:space="preserve">The complexity of the food and nutrition security sector implies that, for the purpose of this social profile, it should be analysed from the point of view of changes and evolution of the systems </t>
  </si>
  <si>
    <t>4.1.1</t>
  </si>
  <si>
    <t>4.1.2</t>
  </si>
  <si>
    <t>4.2.2</t>
  </si>
  <si>
    <t>4.3.2</t>
  </si>
  <si>
    <t xml:space="preserve">As nutritional practices please consider: nutrition policies and strategies, nutrition-training, education, the setting up of coordination mechanisms between agriculture, health, education, and social protection sectors. Do such nutritional practises target pregnant and lactating women as well as children under five (with a stronger emphasis on those under the age of two)? </t>
  </si>
  <si>
    <t>4.3.3</t>
  </si>
  <si>
    <t>4.4.2</t>
  </si>
  <si>
    <t>5.1.2</t>
  </si>
  <si>
    <t>Health facilities: health center, buildings, equipments…</t>
  </si>
  <si>
    <t>Health services: availabilty of nurse, doctors…</t>
  </si>
  <si>
    <t>5.3.2</t>
  </si>
  <si>
    <t>Impact on food prices; impact on revenues =&gt; link with Economic analysis.</t>
  </si>
  <si>
    <t>Import, transport, stock, market institutions.</t>
  </si>
  <si>
    <t>Price variation can be seasonal or transitory due to any type of shock.</t>
  </si>
  <si>
    <t>Affordability: consider prices for health services or possible existance of health insurance.</t>
  </si>
  <si>
    <t>The reply to this question might be 'non applicable' if the reply to 5.3.2 is 'high'.</t>
  </si>
  <si>
    <t>CFS RAI: principle 9 on meanigful information, consultation and decision making processes.</t>
  </si>
  <si>
    <t>CFS RAI: principle 7 on respect cultural heritage and traditional knowledge and support diversity and innovation.</t>
  </si>
  <si>
    <t>How to use the Social Profile Tool</t>
  </si>
  <si>
    <t xml:space="preserve"> </t>
  </si>
  <si>
    <t>Warning</t>
  </si>
  <si>
    <t>Country :</t>
  </si>
  <si>
    <t>Initial count</t>
  </si>
  <si>
    <t>Used in sheets:</t>
  </si>
  <si>
    <t>Ranges used for averages</t>
  </si>
  <si>
    <t>"Questionnaire"</t>
  </si>
  <si>
    <t>"Questionnaire", "Register" and "Profile"</t>
  </si>
  <si>
    <t>-</t>
  </si>
  <si>
    <t>&lt; 1.50</t>
  </si>
  <si>
    <r>
      <t xml:space="preserve">Questionnaire </t>
    </r>
    <r>
      <rPr>
        <sz val="12"/>
        <rFont val="Times New Roman"/>
        <family val="1"/>
      </rPr>
      <t>sheet</t>
    </r>
  </si>
  <si>
    <r>
      <t xml:space="preserve">Register </t>
    </r>
    <r>
      <rPr>
        <sz val="12"/>
        <rFont val="Times New Roman"/>
        <family val="1"/>
      </rPr>
      <t>sheet</t>
    </r>
  </si>
  <si>
    <r>
      <t xml:space="preserve">Profile </t>
    </r>
    <r>
      <rPr>
        <sz val="12"/>
        <rFont val="Times New Roman"/>
        <family val="1"/>
      </rPr>
      <t>sheet</t>
    </r>
  </si>
  <si>
    <r>
      <t xml:space="preserve">How does the profile calculate?           </t>
    </r>
    <r>
      <rPr>
        <b/>
        <sz val="10"/>
        <color rgb="FFC00000"/>
        <rFont val="Wingdings"/>
        <charset val="2"/>
      </rPr>
      <t>è     è     è     è     è     è     è     è</t>
    </r>
  </si>
  <si>
    <r>
      <rPr>
        <sz val="10"/>
        <rFont val="Calibri"/>
        <family val="2"/>
      </rPr>
      <t>≥</t>
    </r>
    <r>
      <rPr>
        <sz val="10"/>
        <rFont val="Arial"/>
        <family val="2"/>
      </rPr>
      <t xml:space="preserve"> 3.5</t>
    </r>
  </si>
  <si>
    <t>2.50 ≤     &lt; 3.50</t>
  </si>
  <si>
    <t>1.50 ≤     &lt; 2.50</t>
  </si>
  <si>
    <t xml:space="preserve">3.1.2 To what extent are women active in the value chain (as producers, processors, workers, traders…)? </t>
  </si>
  <si>
    <t>3.2.1 Do women have ownership of assets (other than land)?</t>
  </si>
  <si>
    <t>3.3.2 To what extent are women autonomous in the organisation of their work?</t>
  </si>
  <si>
    <t>3.2.3 Do women have access to credit?</t>
  </si>
  <si>
    <t xml:space="preserve">3.2.4 Do women have access to other services (extension services, inputs…)? </t>
  </si>
  <si>
    <t>3.3.3 Do women have control over income?</t>
  </si>
  <si>
    <t>3.3.1 To what extent do women take part in the decisions related to production?</t>
  </si>
  <si>
    <t>3.3 Decision making</t>
  </si>
  <si>
    <t>3.3.4 Do women earn independent income?</t>
  </si>
  <si>
    <t>3.2.5 Do women take part in decisions on the purchase, sale or transfer of assets?</t>
  </si>
  <si>
    <t>3.4 Leadership and empowerment</t>
  </si>
  <si>
    <t>3.5 Hardship and division of labour</t>
  </si>
  <si>
    <t>3.5.1 To what extent are the overall work loads of men and women equal (including domestic work and child care)?</t>
  </si>
  <si>
    <t>3.5.2 Are risks of women being subject to strenuous work minimised (e.g. using labour saving technologies…)?</t>
  </si>
  <si>
    <t>5.1.1 Do formal and informal farmer organisations /cooperatives participate in the value chain?</t>
  </si>
  <si>
    <t>5.1.2 How inclusive is group/cooperative membership?</t>
  </si>
  <si>
    <t xml:space="preserve">5.1.3 Do groups have representative and accountable leadership? </t>
  </si>
  <si>
    <t>Inclusiveness viewed from different perspectives: wealth strata, age, gender, ethnic or social groups…</t>
  </si>
  <si>
    <t>5.3 Social involvement</t>
  </si>
  <si>
    <t xml:space="preserve">5.3.1 Do communities participate in decisions that impact their livelihood? </t>
  </si>
  <si>
    <t>5.3.2 Are there actions to ensure respect of traditional knowledge and resources?</t>
  </si>
  <si>
    <t xml:space="preserve">5.3.3 Is there participation in voluntary communal activities for benefit of the community </t>
  </si>
  <si>
    <t>5.3.1</t>
  </si>
  <si>
    <t>6.1 Health services</t>
  </si>
  <si>
    <t>6.2 Housing</t>
  </si>
  <si>
    <t>6.3 Education and training</t>
  </si>
  <si>
    <t xml:space="preserve">6.3.3 Existence and quality of in-service vocational training provided by the investors in the value chain?
</t>
  </si>
  <si>
    <t>5.2 Information and confidence</t>
  </si>
  <si>
    <t xml:space="preserve">5.2.1 Do farmers in the value chain have access to information on agricultural practices, agricultural policies, and market prices? </t>
  </si>
  <si>
    <t>6.4 Mobility ??????</t>
  </si>
  <si>
    <t xml:space="preserve">6.4.1  </t>
  </si>
  <si>
    <t xml:space="preserve">6.4.2 </t>
  </si>
  <si>
    <t>6.1.1</t>
  </si>
  <si>
    <t>6.1.2</t>
  </si>
  <si>
    <t>6.1.3</t>
  </si>
  <si>
    <t>6.3.3</t>
  </si>
  <si>
    <t>5.1 Strength of producer organisations</t>
  </si>
  <si>
    <t>5.1.4 Are farmer groups, cooperatives and associations able to negotiate in input or output markets?</t>
  </si>
  <si>
    <t>5.2.2</t>
  </si>
  <si>
    <t>5.2.2 To what extent is the relation between value chain actors perceived as trustworthy?</t>
  </si>
  <si>
    <t>Explanations</t>
  </si>
  <si>
    <t>Verbal agreement, long lasting collaboration, contract, market, hierarchy… Looking upstream and downstream the VC.</t>
  </si>
  <si>
    <t>6.1.1 Do households have access to health facilities?</t>
  </si>
  <si>
    <t>6.1.2 Do households have access to health services?</t>
  </si>
  <si>
    <t>6.1.3  Are health services affordable for households?</t>
  </si>
  <si>
    <t>6.2.1 Do households have access to good quality accomodations?</t>
  </si>
  <si>
    <t xml:space="preserve">6.2.2 Do households have access to good quality water and sanitation facilities? </t>
  </si>
  <si>
    <t>6.3.1 Is primary education accessible to households?</t>
  </si>
  <si>
    <t>6.3.2 Are secondary and/or vocational education accessible to households?</t>
  </si>
  <si>
    <t xml:space="preserve">1.1.3 To what extent do workers benefit from enforceable and fair contracts </t>
  </si>
  <si>
    <t xml:space="preserve">1.2.1 Degree of school attendance in case  children are working (in any segment of the value chain)? </t>
  </si>
  <si>
    <t>1.2.2 Are children protected from exposure to harmful jobs?</t>
  </si>
  <si>
    <t>1.3.1 Degree of protection from accidents and health damages (in any segment of the value chain)?</t>
  </si>
  <si>
    <t>Does food availability increase? Production,export Yc transports (trucks…).</t>
  </si>
  <si>
    <t xml:space="preserve">6.4.3 </t>
  </si>
  <si>
    <r>
      <rPr>
        <b/>
        <sz val="12"/>
        <rFont val="Times New Roman"/>
        <family val="1"/>
      </rPr>
      <t>Only fill in blank cells and select score levels as they appear in the drop-down lists of the questionnaire!</t>
    </r>
    <r>
      <rPr>
        <sz val="12"/>
        <rFont val="Times New Roman"/>
        <family val="1"/>
      </rPr>
      <t xml:space="preserve">
Grey cells are automatically filled based on previous entries. Grey cells should never be changed by the user.</t>
    </r>
  </si>
  <si>
    <t>It is recommended to follow the steps below:</t>
  </si>
  <si>
    <t>Be careful in using "copy and paste" function that covers more than one cell, as you might interfere with non-visible formulas or cells used for calculations.</t>
  </si>
  <si>
    <r>
      <rPr>
        <b/>
        <sz val="12"/>
        <rFont val="Times New Roman"/>
        <family val="1"/>
      </rPr>
      <t>Fill in the name of the value chain, country and the date</t>
    </r>
    <r>
      <rPr>
        <sz val="12"/>
        <rFont val="Times New Roman"/>
        <family val="1"/>
      </rPr>
      <t xml:space="preserve"> of assessment in the first sheet "Profile". 
They will be copied automatically in the other sheets from where you cannot access these elements.</t>
    </r>
  </si>
  <si>
    <t>*</t>
  </si>
  <si>
    <t>**</t>
  </si>
  <si>
    <r>
      <rPr>
        <b/>
        <sz val="12"/>
        <rFont val="Times New Roman"/>
        <family val="1"/>
      </rPr>
      <t>Give a short justification for your choice</t>
    </r>
    <r>
      <rPr>
        <sz val="12"/>
        <rFont val="Times New Roman"/>
        <family val="1"/>
      </rPr>
      <t xml:space="preserve"> in the "Comments" column. </t>
    </r>
  </si>
  <si>
    <r>
      <rPr>
        <b/>
        <sz val="12"/>
        <rFont val="Times New Roman"/>
        <family val="1"/>
      </rPr>
      <t>Describe the major risks,</t>
    </r>
    <r>
      <rPr>
        <sz val="12"/>
        <rFont val="Times New Roman"/>
        <family val="1"/>
      </rPr>
      <t xml:space="preserve"> if any, in column E. 
All the questions assessed as "not at all" or "moderate/low" in the questionnaire need to be analyzed as possible risks or negative outcomes.
Major risks and negative consequences may be identified by the questionnaire, but could also include further issues to be pointed at. </t>
    </r>
  </si>
  <si>
    <r>
      <t xml:space="preserve">Describe the </t>
    </r>
    <r>
      <rPr>
        <b/>
        <sz val="12"/>
        <rFont val="Times New Roman"/>
        <family val="1"/>
      </rPr>
      <t>major mitigating measures</t>
    </r>
    <r>
      <rPr>
        <sz val="12"/>
        <rFont val="Times New Roman"/>
        <family val="1"/>
      </rPr>
      <t xml:space="preserve"> in column F.</t>
    </r>
  </si>
  <si>
    <r>
      <t xml:space="preserve">Insert date and </t>
    </r>
    <r>
      <rPr>
        <b/>
        <sz val="12"/>
        <rFont val="Times New Roman"/>
        <family val="1"/>
      </rPr>
      <t>copy scores of previous social profile</t>
    </r>
    <r>
      <rPr>
        <sz val="12"/>
        <rFont val="Times New Roman"/>
        <family val="1"/>
      </rPr>
      <t xml:space="preserve"> assessment (column H), if there has been one.</t>
    </r>
  </si>
  <si>
    <r>
      <rPr>
        <b/>
        <sz val="12"/>
        <rFont val="Times New Roman"/>
        <family val="1"/>
      </rPr>
      <t>Highlight progress done</t>
    </r>
    <r>
      <rPr>
        <sz val="12"/>
        <rFont val="Times New Roman"/>
        <family val="1"/>
      </rPr>
      <t xml:space="preserve"> in the implementation of specific measures since previous social profile assessment in column G "Comments".</t>
    </r>
  </si>
  <si>
    <r>
      <t xml:space="preserve">Provide an </t>
    </r>
    <r>
      <rPr>
        <b/>
        <sz val="12"/>
        <rFont val="Times New Roman"/>
        <family val="1"/>
      </rPr>
      <t>overall summary of the key issues and recommendations</t>
    </r>
    <r>
      <rPr>
        <sz val="12"/>
        <rFont val="Times New Roman"/>
        <family val="1"/>
      </rPr>
      <t xml:space="preserve">, the Risk and Cost of Non-Intervention vs. Benefits and the key mitigating measures. </t>
    </r>
  </si>
  <si>
    <r>
      <t>After some time of work and changes,</t>
    </r>
    <r>
      <rPr>
        <b/>
        <sz val="12"/>
        <color rgb="FFC00000"/>
        <rFont val="Arial"/>
        <family val="2"/>
      </rPr>
      <t xml:space="preserve">
                                  it happens that colours are not automatically selected</t>
    </r>
    <r>
      <rPr>
        <sz val="10"/>
        <color rgb="FFC00000"/>
        <rFont val="Arial"/>
        <family val="2"/>
      </rPr>
      <t>.</t>
    </r>
    <r>
      <rPr>
        <b/>
        <sz val="10"/>
        <color rgb="FFC00000"/>
        <rFont val="Arial"/>
        <family val="2"/>
      </rPr>
      <t xml:space="preserve"> 
                                                                      </t>
    </r>
    <r>
      <rPr>
        <b/>
        <sz val="12"/>
        <color rgb="FFC00000"/>
        <rFont val="Arial"/>
        <family val="2"/>
      </rPr>
      <t xml:space="preserve">=&gt; Save your work, close the file and open it again… </t>
    </r>
    <r>
      <rPr>
        <b/>
        <sz val="10"/>
        <color rgb="FFC00000"/>
        <rFont val="Arial"/>
        <family val="2"/>
      </rPr>
      <t>and it will work afresh!</t>
    </r>
  </si>
  <si>
    <r>
      <t xml:space="preserve">In the column "Source", you should include which </t>
    </r>
    <r>
      <rPr>
        <b/>
        <sz val="12"/>
        <rFont val="Times New Roman"/>
        <family val="1"/>
      </rPr>
      <t>source of information</t>
    </r>
    <r>
      <rPr>
        <sz val="12"/>
        <rFont val="Times New Roman"/>
        <family val="1"/>
      </rPr>
      <t xml:space="preserve"> you used for your judgement.</t>
    </r>
  </si>
  <si>
    <r>
      <t>The "</t>
    </r>
    <r>
      <rPr>
        <b/>
        <sz val="12"/>
        <rFont val="Times New Roman"/>
        <family val="1"/>
      </rPr>
      <t>Average</t>
    </r>
    <r>
      <rPr>
        <sz val="12"/>
        <rFont val="Times New Roman"/>
        <family val="1"/>
      </rPr>
      <t>" score level is automatically set as the unweighted average of the score levels for the underlying questions. 
In exceptional cases,</t>
    </r>
    <r>
      <rPr>
        <b/>
        <sz val="12"/>
        <rFont val="Times New Roman"/>
        <family val="1"/>
      </rPr>
      <t xml:space="preserve"> the average score level can be manually modified</t>
    </r>
    <r>
      <rPr>
        <sz val="12"/>
        <rFont val="Times New Roman"/>
        <family val="1"/>
      </rPr>
      <t xml:space="preserve"> using column I (cell next to "Final:"). This may be used in order to take into account important aspects not covered by the questions. 
In this case, </t>
    </r>
    <r>
      <rPr>
        <b/>
        <sz val="12"/>
        <rFont val="Times New Roman"/>
        <family val="1"/>
      </rPr>
      <t>a justification should be provided</t>
    </r>
    <r>
      <rPr>
        <sz val="12"/>
        <rFont val="Times New Roman"/>
        <family val="1"/>
      </rPr>
      <t xml:space="preserve"> (under "Comments", column K). 
Change can only be done to the immediate nearest score level or to n/a (otherwise the calculations will be wrong). 
</t>
    </r>
    <r>
      <rPr>
        <u/>
        <sz val="12"/>
        <rFont val="Times New Roman"/>
        <family val="1"/>
      </rPr>
      <t>NB</t>
    </r>
    <r>
      <rPr>
        <sz val="12"/>
        <rFont val="Times New Roman"/>
        <family val="1"/>
      </rPr>
      <t>: After making trials of adjustment of this cell, if you eventually want to let the initial automatic calculation work, it is necessary to reintroduce manually the reference of the corresponding D cell ("=Dx" for line x) to come back to the intial state of the spreadsheet.</t>
    </r>
  </si>
  <si>
    <t>When using this Excel tool, please take into account the following guiding principles:</t>
  </si>
  <si>
    <r>
      <rPr>
        <b/>
        <sz val="12"/>
        <rFont val="Times New Roman"/>
        <family val="1"/>
      </rPr>
      <t>Respond to each question by using the score levels</t>
    </r>
    <r>
      <rPr>
        <sz val="12"/>
        <rFont val="Times New Roman"/>
        <family val="1"/>
      </rPr>
      <t xml:space="preserve">: 
- </t>
    </r>
    <r>
      <rPr>
        <b/>
        <sz val="12"/>
        <color rgb="FF00B050"/>
        <rFont val="Times New Roman"/>
        <family val="1"/>
      </rPr>
      <t>High</t>
    </r>
    <r>
      <rPr>
        <sz val="12"/>
        <rFont val="Times New Roman"/>
        <family val="1"/>
      </rPr>
      <t xml:space="preserve">, 
- </t>
    </r>
    <r>
      <rPr>
        <b/>
        <sz val="12"/>
        <color rgb="FF92D050"/>
        <rFont val="Times New Roman"/>
        <family val="1"/>
      </rPr>
      <t>Substantial</t>
    </r>
    <r>
      <rPr>
        <sz val="12"/>
        <rFont val="Times New Roman"/>
        <family val="1"/>
      </rPr>
      <t xml:space="preserve">, 
- </t>
    </r>
    <r>
      <rPr>
        <b/>
        <sz val="12"/>
        <color rgb="FFFFC000"/>
        <rFont val="Times New Roman"/>
        <family val="1"/>
      </rPr>
      <t>Moderate/Low</t>
    </r>
    <r>
      <rPr>
        <sz val="12"/>
        <rFont val="Times New Roman"/>
        <family val="1"/>
      </rPr>
      <t xml:space="preserve">, 
- </t>
    </r>
    <r>
      <rPr>
        <b/>
        <sz val="12"/>
        <color rgb="FFFF0000"/>
        <rFont val="Times New Roman"/>
        <family val="1"/>
      </rPr>
      <t>Not at all</t>
    </r>
    <r>
      <rPr>
        <sz val="12"/>
        <rFont val="Times New Roman"/>
        <family val="1"/>
      </rPr>
      <t xml:space="preserve">,
- </t>
    </r>
    <r>
      <rPr>
        <b/>
        <sz val="12"/>
        <rFont val="Times New Roman"/>
        <family val="1"/>
      </rPr>
      <t>n/a</t>
    </r>
    <r>
      <rPr>
        <sz val="12"/>
        <rFont val="Times New Roman"/>
        <family val="1"/>
      </rPr>
      <t xml:space="preserve"> = </t>
    </r>
    <r>
      <rPr>
        <b/>
        <sz val="12"/>
        <rFont val="Times New Roman"/>
        <family val="1"/>
      </rPr>
      <t>not applicable</t>
    </r>
    <r>
      <rPr>
        <sz val="12"/>
        <rFont val="Times New Roman"/>
        <family val="1"/>
      </rPr>
      <t xml:space="preserve"> (when not relevant) or </t>
    </r>
    <r>
      <rPr>
        <b/>
        <sz val="12"/>
        <rFont val="Times New Roman"/>
        <family val="1"/>
      </rPr>
      <t>not available</t>
    </r>
    <r>
      <rPr>
        <sz val="12"/>
        <rFont val="Times New Roman"/>
        <family val="1"/>
      </rPr>
      <t xml:space="preserve"> (when not possible to reply). 
In your assessment, take into account the likelihood and the impact and consider the stage of the chain the most at risk.</t>
    </r>
  </si>
  <si>
    <t xml:space="preserve">4.1 Availability of food </t>
  </si>
  <si>
    <r>
      <t xml:space="preserve">SOCIAL PROFILE  </t>
    </r>
    <r>
      <rPr>
        <b/>
        <sz val="9"/>
        <color rgb="FFFF0000"/>
        <rFont val="Arial"/>
        <family val="2"/>
      </rPr>
      <t>(V.2017-0)</t>
    </r>
  </si>
  <si>
    <t>***</t>
  </si>
  <si>
    <r>
      <t>When writing comments and observation with text ending beyond the limits of the cell,</t>
    </r>
    <r>
      <rPr>
        <b/>
        <sz val="12"/>
        <rFont val="Times New Roman"/>
        <family val="1"/>
      </rPr>
      <t xml:space="preserve"> you can adjust the row height</t>
    </r>
    <r>
      <rPr>
        <sz val="12"/>
        <rFont val="Times New Roman"/>
        <family val="1"/>
      </rPr>
      <t xml:space="preserve"> by dragging down the bottom line of the row from the far left colum which shows the row numbers.</t>
    </r>
  </si>
  <si>
    <t>1. WORKING CONDITIONS</t>
  </si>
  <si>
    <t>2. LAND &amp; WATER RIGHTS</t>
  </si>
  <si>
    <t>3. GENDER EQUALITY</t>
  </si>
  <si>
    <t>4. FOOD AND NUTRITION SECURITY</t>
  </si>
  <si>
    <t>5. SOCIAL CAPITAL</t>
  </si>
  <si>
    <t>6. LIVING CONDITIONS</t>
  </si>
  <si>
    <t>Interviews, academic literature</t>
  </si>
  <si>
    <t>Interviews with herders and soum level officials</t>
  </si>
  <si>
    <t>Interviews with herders and soum-level officials</t>
  </si>
  <si>
    <t>Interviews, observation</t>
  </si>
  <si>
    <t>As 3.1.1</t>
  </si>
  <si>
    <t>Interviews with herders, reports, national statistics</t>
  </si>
  <si>
    <t>Interviews with herders, reports</t>
  </si>
  <si>
    <t>Interviews</t>
  </si>
  <si>
    <t>Yes, but less so than men</t>
  </si>
  <si>
    <t>Interviews, reports</t>
  </si>
  <si>
    <t>Interviews, reports, observation</t>
  </si>
  <si>
    <t>National statistics, interviews</t>
  </si>
  <si>
    <t>National statistics, interviews, observations</t>
  </si>
  <si>
    <t>Interviews, economic analysis</t>
  </si>
  <si>
    <t>National data, interviews</t>
  </si>
  <si>
    <t>National data, observations</t>
  </si>
  <si>
    <t>National data</t>
  </si>
  <si>
    <t>Interviews with factory owners</t>
  </si>
  <si>
    <t>During the fieldwork, the research team did not observe any instances of forced labor within the wheat value chain.</t>
  </si>
  <si>
    <t>No instances of discrimination were reported by any interviewees.</t>
  </si>
  <si>
    <t>Agricuotural enterprises are well aware of the project implemented by the government a</t>
  </si>
  <si>
    <t xml:space="preserve">Agricultural enterprises have relatively high awernes of the govermental policy issues. To certain extent they have influence on it. Whareas the small farmers awerness and influence remains low. </t>
  </si>
  <si>
    <t xml:space="preserve">The agricultural enterprises representatives have certain laverigies to provide advocacy campaing or other forms of infleunce including protest ralies to influnece goverment decision making.  </t>
  </si>
  <si>
    <t xml:space="preserve">The law related of the land use is outdated the government works to elaborate and approve new law related to the land use. Altough, local applied rules related to the heritage renting of the land are informaly and formaly regulated. No signitifact issues were reported during the field visits. </t>
  </si>
  <si>
    <t xml:space="preserve">When the farmers are reporting the loses the government provides subsisades altouhg the workers in agricultural enterpriuses are sometimes without salaries due to loses of the farmers. </t>
  </si>
  <si>
    <t>There were no expropriation cases reported during the field mission.</t>
  </si>
  <si>
    <t xml:space="preserve">There are several assotiations working and advociatieng the issues bothered the farmers. </t>
  </si>
  <si>
    <t xml:space="preserve">Women participate moslty in the administration and catering servicies of the agricultural etnerprises including mediaum farms. </t>
  </si>
  <si>
    <t xml:space="preserve">The agroicultural land ownership is gendered, most part of owners are man heritaged the agricultural land. </t>
  </si>
  <si>
    <t>As 3.2.2.</t>
  </si>
  <si>
    <t>Women have acsses to the credit but in value chain mostly man are dominated.</t>
  </si>
  <si>
    <t xml:space="preserve">Access to extension services is limited for both genders, altouhg women farmers are participating in the proejcts implemented by NGOs to sopport women trough differtt capacity building programmes and grant funding. </t>
  </si>
  <si>
    <t xml:space="preserve">Women are invloved in the decision making is low. Excluding rare women managing the farm. </t>
  </si>
  <si>
    <t xml:space="preserve">Women in most agricultral enterprises lack the invlovment in decision making. </t>
  </si>
  <si>
    <t xml:space="preserve">Women have less say omn the distrubution of income on agricultural enterprises in small farms their invovment is relatively high. </t>
  </si>
  <si>
    <t>Nationally, women have indipendetn income</t>
  </si>
  <si>
    <t xml:space="preserve">Their invovment in this process is low. </t>
  </si>
  <si>
    <t>In assotiations related to the cerials women invovment are relatively low altouhg in some farmers assotiations women are managers and their role is high</t>
  </si>
  <si>
    <t>Same as 3.4.1</t>
  </si>
  <si>
    <t xml:space="preserve">Yes, no issues were reported or observed. </t>
  </si>
  <si>
    <t xml:space="preserve">In wheath productions mechanisation and heavy work is done mostly by Men. In small farmes women are invoved more in domestic work and child care. </t>
  </si>
  <si>
    <t xml:space="preserve">Man are working more strenuous in wheth production but women work is also hard in some cases. </t>
  </si>
  <si>
    <t xml:space="preserve">Severe food insecurity is very rare, altouhg  Russion invasion in Ukraine coused to the government of Moldova to start discussion on food security strategy ,eaboration. </t>
  </si>
  <si>
    <t xml:space="preserve">There are many food supplaiers in local market. </t>
  </si>
  <si>
    <t xml:space="preserve">Owners and workers of all type of whath farms are able to allocate income for food. </t>
  </si>
  <si>
    <t xml:space="preserve">Food price inflation is at manageable levels. In 2024 was around 5%. </t>
  </si>
  <si>
    <t xml:space="preserve">There are relatively low concerns on nutritional food quality in Moldova. </t>
  </si>
  <si>
    <t xml:space="preserve">According to the acegdotal evidancies nutritional practicies are being imporved. </t>
  </si>
  <si>
    <t xml:space="preserve">Same as 4.3.2. </t>
  </si>
  <si>
    <t>There are no reports or observation of the food shortage reported</t>
  </si>
  <si>
    <t xml:space="preserve">The farmers organisation participate in the valua chain especialy to advocate farmers issues related to the government and export. </t>
  </si>
  <si>
    <t xml:space="preserve">Cooperatives influence and participation is low. </t>
  </si>
  <si>
    <t xml:space="preserve">The agricultural enterprises have representatives in the asostiations. </t>
  </si>
  <si>
    <t xml:space="preserve">The groups especialy agricultural enterprises nagotiate in input and output markets. </t>
  </si>
  <si>
    <t xml:space="preserve">Farmers use multiply of informations this applies especialy to the agricultral enterprises and medium farms. </t>
  </si>
  <si>
    <t xml:space="preserve">Horisontal trust between value chain actors is relatively high, Vertical trust towards govermental insitutions is relatively low. </t>
  </si>
  <si>
    <t>Medium farmers and agrocultural enterprises are invoved in the community related decisions.</t>
  </si>
  <si>
    <t xml:space="preserve">Agricultural enterprises partialy use the practiscies established during the Sovit Union. </t>
  </si>
  <si>
    <t xml:space="preserve">Strong voluntary participation in neighbourhood activities such as well maintenance, forest establishement, road maintenance, etc. </t>
  </si>
  <si>
    <t xml:space="preserve">The great majority of rura people have access to health facilities staffed by doctors. </t>
  </si>
  <si>
    <t xml:space="preserve">Helath servicies are accsesible. </t>
  </si>
  <si>
    <t xml:space="preserve">The felath servicies are relatively affordable of the housholds depending of the type of illnesies. </t>
  </si>
  <si>
    <t xml:space="preserve">Human water sources tend to be at a distance from homes. Sanitation is generally accpetable with some obstacles. </t>
  </si>
  <si>
    <t xml:space="preserve">Very high participation. </t>
  </si>
  <si>
    <t xml:space="preserve">Very high participation accsesibility.  </t>
  </si>
  <si>
    <t>The level of TVET education is relatively low in the wheath value chain.</t>
  </si>
  <si>
    <t xml:space="preserve">Interviews with farmers, workers. And reports. </t>
  </si>
  <si>
    <t xml:space="preserve">Respect for labor rights is generally relatively low  in Georgia,workers are informaly emploeed in most cases and the treatment of the workers is shaped by sultural traditions and farmers will. </t>
  </si>
  <si>
    <t>Interviews with large farms, workers</t>
  </si>
  <si>
    <t>While freedom of association is legally protected, the structure and operational modalities of workers' unions are heavily influenced by their Soviet-era heritage. Consequently, the connection between workers in agricultural enterprises and trade unions  is almost absent. Collective bargaining cases are limited within the maiz value chain.</t>
  </si>
  <si>
    <t xml:space="preserve">Written contracts are absent in most cases and the contracts are exiting mostly in alrge farms and only skilled workers have this contracts. However, the farmers give the free work days and  their work is often based on informal (verbal) agreements. The same applies to the sesonal workers. </t>
  </si>
  <si>
    <t xml:space="preserve">Interviews farmers, workers, statistics </t>
  </si>
  <si>
    <t xml:space="preserve">School attendance is extremely high for both rural and urban children.  </t>
  </si>
  <si>
    <t>Factory work is prohibited for children under 18, and we saw no evidence of it. .</t>
  </si>
  <si>
    <t xml:space="preserve">The large have some safity standards altough the useage of protection measures and facilities while working  with pesticades  and herbicades is relatively low. The presence of working inspecction ate the farm gate is absent. </t>
  </si>
  <si>
    <t>interviews farmers, workers, statistics</t>
  </si>
  <si>
    <t>The avarige salaries of the workers are a lower then the avarige salary in Georgia. Altouhg, adminsitration adn mechanisators have relatively high salary.</t>
  </si>
  <si>
    <t>The workers in farms are in most cases above 50 years old. In rare cases the youth are interesting to become farmer and have their land then to work in agricultrual enterprises</t>
  </si>
  <si>
    <t xml:space="preserve">The fars are facing with water scaricty and drainage problems. The VGGT standards are less known to the farmers. </t>
  </si>
  <si>
    <t xml:space="preserve">it is regulated by the law of agricultural land. </t>
  </si>
  <si>
    <t>Maize</t>
  </si>
  <si>
    <t>Georgia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</si>
</sst>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0"/>
      <name val="Arial"/>
    </font>
    <font>
      <sz val="8"/>
      <name val="Arial"/>
      <family val="2"/>
    </font>
    <font>
      <b/>
      <sz val="10"/>
      <name val="Arial"/>
      <family val="2"/>
    </font>
    <font>
      <sz val="12"/>
      <name val="Times New Roman"/>
      <family val="1"/>
    </font>
    <font>
      <b/>
      <sz val="12"/>
      <name val="Times New Roman"/>
      <family val="1"/>
    </font>
    <font>
      <b/>
      <sz val="12"/>
      <color indexed="8"/>
      <name val="Times New Roman"/>
      <family val="1"/>
    </font>
    <font>
      <sz val="9"/>
      <name val="Arial"/>
      <family val="2"/>
    </font>
    <font>
      <sz val="10"/>
      <name val="Arial"/>
      <family val="2"/>
    </font>
    <font>
      <b/>
      <sz val="11"/>
      <name val="Arial"/>
      <family val="2"/>
    </font>
    <font>
      <sz val="11"/>
      <name val="Arial"/>
      <family val="2"/>
    </font>
    <font>
      <i/>
      <sz val="11"/>
      <name val="Arial"/>
      <family val="2"/>
    </font>
    <font>
      <i/>
      <sz val="9"/>
      <name val="Arial"/>
      <family val="2"/>
    </font>
    <font>
      <b/>
      <sz val="10"/>
      <color rgb="FFC00000"/>
      <name val="Arial"/>
      <family val="2"/>
    </font>
    <font>
      <sz val="10"/>
      <color rgb="FFFF0000"/>
      <name val="Arial"/>
      <family val="2"/>
    </font>
    <font>
      <sz val="12"/>
      <color rgb="FF555555"/>
      <name val="Arial"/>
      <family val="2"/>
    </font>
    <font>
      <b/>
      <sz val="10"/>
      <color rgb="FFFF0000"/>
      <name val="Arial"/>
      <family val="2"/>
    </font>
    <font>
      <b/>
      <sz val="12"/>
      <name val="Arial"/>
      <family val="2"/>
    </font>
    <font>
      <b/>
      <i/>
      <sz val="9"/>
      <name val="Arial"/>
      <family val="2"/>
    </font>
    <font>
      <b/>
      <sz val="9"/>
      <name val="Arial"/>
      <family val="2"/>
    </font>
    <font>
      <b/>
      <sz val="8"/>
      <name val="Arial"/>
      <family val="2"/>
    </font>
    <font>
      <b/>
      <i/>
      <sz val="10"/>
      <name val="Arial"/>
      <family val="2"/>
    </font>
    <font>
      <b/>
      <i/>
      <sz val="14"/>
      <name val="Arial"/>
      <family val="2"/>
    </font>
    <font>
      <i/>
      <sz val="10"/>
      <name val="Arial"/>
      <family val="2"/>
    </font>
    <font>
      <b/>
      <i/>
      <sz val="12"/>
      <name val="Arial"/>
      <family val="2"/>
    </font>
    <font>
      <b/>
      <sz val="12"/>
      <color rgb="FFC00000"/>
      <name val="Arial"/>
      <family val="2"/>
    </font>
    <font>
      <sz val="10"/>
      <color rgb="FFC00000"/>
      <name val="Arial"/>
      <family val="2"/>
    </font>
    <font>
      <b/>
      <sz val="10"/>
      <color rgb="FFC00000"/>
      <name val="Wingdings"/>
      <charset val="2"/>
    </font>
    <font>
      <sz val="10"/>
      <name val="Calibri"/>
      <family val="2"/>
    </font>
    <font>
      <b/>
      <sz val="12"/>
      <color rgb="FF00B050"/>
      <name val="Times New Roman"/>
      <family val="1"/>
    </font>
    <font>
      <b/>
      <sz val="12"/>
      <color rgb="FF92D050"/>
      <name val="Times New Roman"/>
      <family val="1"/>
    </font>
    <font>
      <b/>
      <sz val="12"/>
      <color rgb="FFFFC000"/>
      <name val="Times New Roman"/>
      <family val="1"/>
    </font>
    <font>
      <b/>
      <sz val="12"/>
      <color rgb="FFFF0000"/>
      <name val="Times New Roman"/>
      <family val="1"/>
    </font>
    <font>
      <u/>
      <sz val="12"/>
      <name val="Times New Roman"/>
      <family val="1"/>
    </font>
    <font>
      <b/>
      <sz val="14"/>
      <color rgb="FFC00000"/>
      <name val="Arial"/>
      <family val="2"/>
    </font>
    <font>
      <b/>
      <sz val="12"/>
      <color rgb="FFFF0000"/>
      <name val="Arial"/>
      <family val="2"/>
    </font>
    <font>
      <b/>
      <sz val="9"/>
      <color rgb="FFFF0000"/>
      <name val="Arial"/>
      <family val="2"/>
    </font>
  </fonts>
  <fills count="34">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rgb="FFFF000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785B97"/>
        <bgColor indexed="64"/>
      </patternFill>
    </fill>
    <fill>
      <patternFill patternType="solid">
        <fgColor rgb="FFB1A0C7"/>
        <bgColor indexed="64"/>
      </patternFill>
    </fill>
    <fill>
      <patternFill patternType="solid">
        <fgColor theme="2" tint="-0.249977111117893"/>
        <bgColor indexed="64"/>
      </patternFill>
    </fill>
    <fill>
      <patternFill patternType="solid">
        <fgColor theme="9"/>
        <bgColor indexed="64"/>
      </patternFill>
    </fill>
    <fill>
      <patternFill patternType="solid">
        <fgColor theme="6" tint="0.59999389629810485"/>
        <bgColor indexed="64"/>
      </patternFill>
    </fill>
    <fill>
      <patternFill patternType="solid">
        <fgColor rgb="FFFFC000"/>
        <bgColor indexed="64"/>
      </patternFill>
    </fill>
    <fill>
      <patternFill patternType="solid">
        <fgColor rgb="FF00B05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2" tint="-0.499984740745262"/>
        <bgColor indexed="64"/>
      </patternFill>
    </fill>
    <fill>
      <patternFill patternType="solid">
        <fgColor theme="2" tint="-9.9978637043366805E-2"/>
        <bgColor indexed="64"/>
      </patternFill>
    </fill>
  </fills>
  <borders count="84">
    <border>
      <left/>
      <right/>
      <top/>
      <bottom/>
      <diagonal/>
    </border>
    <border>
      <left/>
      <right style="medium">
        <color auto="1"/>
      </right>
      <top/>
      <bottom/>
      <diagonal/>
    </border>
    <border>
      <left style="medium">
        <color auto="1"/>
      </left>
      <right/>
      <top/>
      <bottom/>
      <diagonal/>
    </border>
    <border>
      <left style="medium">
        <color auto="1"/>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double">
        <color auto="1"/>
      </bottom>
      <diagonal/>
    </border>
    <border>
      <left style="medium">
        <color auto="1"/>
      </left>
      <right/>
      <top style="thin">
        <color auto="1"/>
      </top>
      <bottom style="thin">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style="thin">
        <color auto="1"/>
      </top>
      <bottom style="double">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style="medium">
        <color auto="1"/>
      </right>
      <top/>
      <bottom style="thin">
        <color auto="1"/>
      </bottom>
      <diagonal/>
    </border>
    <border>
      <left/>
      <right style="medium">
        <color auto="1"/>
      </right>
      <top style="medium">
        <color auto="1"/>
      </top>
      <bottom style="thin">
        <color auto="1"/>
      </bottom>
      <diagonal/>
    </border>
    <border>
      <left style="medium">
        <color auto="1"/>
      </left>
      <right style="medium">
        <color auto="1"/>
      </right>
      <top/>
      <bottom/>
      <diagonal/>
    </border>
    <border>
      <left style="medium">
        <color auto="1"/>
      </left>
      <right style="medium">
        <color auto="1"/>
      </right>
      <top/>
      <bottom style="double">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style="thin">
        <color auto="1"/>
      </bottom>
      <diagonal/>
    </border>
    <border>
      <left/>
      <right/>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right/>
      <top style="medium">
        <color auto="1"/>
      </top>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medium">
        <color auto="1"/>
      </bottom>
      <diagonal/>
    </border>
    <border>
      <left/>
      <right style="thin">
        <color auto="1"/>
      </right>
      <top style="medium">
        <color auto="1"/>
      </top>
      <bottom style="medium">
        <color auto="1"/>
      </bottom>
      <diagonal/>
    </border>
    <border>
      <left style="medium">
        <color auto="1"/>
      </left>
      <right/>
      <top/>
      <bottom style="double">
        <color auto="1"/>
      </bottom>
      <diagonal/>
    </border>
    <border>
      <left/>
      <right style="thin">
        <color auto="1"/>
      </right>
      <top style="thin">
        <color auto="1"/>
      </top>
      <bottom style="thin">
        <color auto="1"/>
      </bottom>
      <diagonal/>
    </border>
    <border>
      <left/>
      <right style="medium">
        <color auto="1"/>
      </right>
      <top/>
      <bottom style="double">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style="medium">
        <color auto="1"/>
      </top>
      <bottom/>
      <diagonal/>
    </border>
    <border>
      <left/>
      <right style="thin">
        <color auto="1"/>
      </right>
      <top/>
      <bottom style="thin">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style="medium">
        <color auto="1"/>
      </right>
      <top style="thin">
        <color auto="1"/>
      </top>
      <bottom/>
      <diagonal/>
    </border>
    <border>
      <left style="thin">
        <color auto="1"/>
      </left>
      <right/>
      <top style="medium">
        <color auto="1"/>
      </top>
      <bottom style="medium">
        <color auto="1"/>
      </bottom>
      <diagonal/>
    </border>
    <border>
      <left style="thin">
        <color auto="1"/>
      </left>
      <right/>
      <top/>
      <bottom style="medium">
        <color auto="1"/>
      </bottom>
      <diagonal/>
    </border>
    <border>
      <left style="thin">
        <color indexed="64"/>
      </left>
      <right style="thin">
        <color auto="1"/>
      </right>
      <top style="thin">
        <color auto="1"/>
      </top>
      <bottom/>
      <diagonal/>
    </border>
    <border>
      <left style="thin">
        <color auto="1"/>
      </left>
      <right style="thin">
        <color auto="1"/>
      </right>
      <top style="thin">
        <color indexed="64"/>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medium">
        <color auto="1"/>
      </top>
      <bottom style="thin">
        <color indexed="64"/>
      </bottom>
      <diagonal/>
    </border>
    <border>
      <left style="medium">
        <color auto="1"/>
      </left>
      <right/>
      <top style="thin">
        <color auto="1"/>
      </top>
      <bottom/>
      <diagonal/>
    </border>
    <border>
      <left/>
      <right style="thin">
        <color auto="1"/>
      </right>
      <top style="thin">
        <color indexed="64"/>
      </top>
      <bottom/>
      <diagonal/>
    </border>
    <border>
      <left style="thin">
        <color auto="1"/>
      </left>
      <right style="thin">
        <color auto="1"/>
      </right>
      <top style="medium">
        <color auto="1"/>
      </top>
      <bottom style="thin">
        <color indexed="64"/>
      </bottom>
      <diagonal/>
    </border>
    <border>
      <left/>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indexed="64"/>
      </bottom>
      <diagonal/>
    </border>
    <border>
      <left/>
      <right style="thin">
        <color auto="1"/>
      </right>
      <top/>
      <bottom style="medium">
        <color auto="1"/>
      </bottom>
      <diagonal/>
    </border>
    <border>
      <left style="thin">
        <color auto="1"/>
      </left>
      <right/>
      <top style="medium">
        <color auto="1"/>
      </top>
      <bottom/>
      <diagonal/>
    </border>
    <border>
      <left style="medium">
        <color auto="1"/>
      </left>
      <right style="medium">
        <color auto="1"/>
      </right>
      <top style="thin">
        <color indexed="64"/>
      </top>
      <bottom/>
      <diagonal/>
    </border>
    <border>
      <left style="medium">
        <color indexed="64"/>
      </left>
      <right style="medium">
        <color auto="1"/>
      </right>
      <top style="double">
        <color auto="1"/>
      </top>
      <bottom style="medium">
        <color auto="1"/>
      </bottom>
      <diagonal/>
    </border>
    <border>
      <left style="thin">
        <color auto="1"/>
      </left>
      <right style="medium">
        <color auto="1"/>
      </right>
      <top/>
      <bottom style="thin">
        <color auto="1"/>
      </bottom>
      <diagonal/>
    </border>
    <border>
      <left style="medium">
        <color auto="1"/>
      </left>
      <right style="medium">
        <color auto="1"/>
      </right>
      <top style="double">
        <color indexed="64"/>
      </top>
      <bottom/>
      <diagonal/>
    </border>
    <border>
      <left style="thin">
        <color auto="1"/>
      </left>
      <right/>
      <top/>
      <bottom/>
      <diagonal/>
    </border>
    <border>
      <left/>
      <right style="thin">
        <color auto="1"/>
      </right>
      <top/>
      <bottom/>
      <diagonal/>
    </border>
    <border>
      <left style="medium">
        <color auto="1"/>
      </left>
      <right style="thin">
        <color indexed="64"/>
      </right>
      <top/>
      <bottom/>
      <diagonal/>
    </border>
    <border>
      <left style="thin">
        <color indexed="64"/>
      </left>
      <right style="medium">
        <color auto="1"/>
      </right>
      <top/>
      <bottom/>
      <diagonal/>
    </border>
  </borders>
  <cellStyleXfs count="1">
    <xf numFmtId="0" fontId="0" fillId="0" borderId="0"/>
  </cellStyleXfs>
  <cellXfs count="613">
    <xf numFmtId="0" fontId="0" fillId="0" borderId="0" xfId="0"/>
    <xf numFmtId="0" fontId="9" fillId="0" borderId="11" xfId="0" applyFont="1" applyBorder="1" applyAlignment="1" applyProtection="1">
      <alignment horizontal="left" vertical="center" wrapText="1"/>
      <protection locked="0"/>
    </xf>
    <xf numFmtId="0" fontId="9" fillId="0" borderId="18" xfId="0" applyFont="1" applyBorder="1" applyAlignment="1" applyProtection="1">
      <alignment horizontal="left" vertical="center" wrapText="1"/>
      <protection locked="0"/>
    </xf>
    <xf numFmtId="0" fontId="9" fillId="0" borderId="12" xfId="0" applyFont="1" applyBorder="1" applyAlignment="1" applyProtection="1">
      <alignment horizontal="left" vertical="center" wrapText="1"/>
      <protection locked="0"/>
    </xf>
    <xf numFmtId="0" fontId="9" fillId="0" borderId="13" xfId="0" applyFont="1" applyBorder="1" applyAlignment="1" applyProtection="1">
      <alignment horizontal="left" vertical="center" wrapText="1"/>
      <protection locked="0"/>
    </xf>
    <xf numFmtId="0" fontId="9" fillId="0" borderId="4" xfId="0" applyFont="1" applyBorder="1" applyAlignment="1" applyProtection="1">
      <alignment horizontal="left" vertical="center" wrapText="1"/>
      <protection locked="0"/>
    </xf>
    <xf numFmtId="0" fontId="9" fillId="0" borderId="3" xfId="0" applyFont="1" applyBorder="1" applyAlignment="1" applyProtection="1">
      <alignment horizontal="left" vertical="center" wrapText="1"/>
      <protection locked="0"/>
    </xf>
    <xf numFmtId="0" fontId="9" fillId="0" borderId="5" xfId="0" applyFont="1" applyBorder="1" applyAlignment="1" applyProtection="1">
      <alignment horizontal="left" vertical="center" wrapText="1"/>
      <protection locked="0"/>
    </xf>
    <xf numFmtId="0" fontId="9" fillId="0" borderId="20" xfId="0" applyFont="1" applyBorder="1" applyAlignment="1" applyProtection="1">
      <alignment horizontal="left" vertical="center" wrapText="1"/>
      <protection locked="0"/>
    </xf>
    <xf numFmtId="0" fontId="9" fillId="0" borderId="46" xfId="0" applyFont="1" applyBorder="1" applyAlignment="1" applyProtection="1">
      <alignment horizontal="left" vertical="center" wrapText="1"/>
      <protection locked="0"/>
    </xf>
    <xf numFmtId="2" fontId="7" fillId="4" borderId="14" xfId="0" applyNumberFormat="1" applyFont="1" applyFill="1" applyBorder="1" applyAlignment="1">
      <alignment horizontal="center" vertical="center"/>
    </xf>
    <xf numFmtId="0" fontId="7" fillId="2" borderId="15" xfId="0" applyFont="1" applyFill="1" applyBorder="1" applyAlignment="1">
      <alignment horizontal="center" vertical="center"/>
    </xf>
    <xf numFmtId="2" fontId="7" fillId="4" borderId="19" xfId="0" applyNumberFormat="1" applyFont="1" applyFill="1" applyBorder="1" applyAlignment="1">
      <alignment horizontal="center" vertical="center"/>
    </xf>
    <xf numFmtId="0" fontId="0" fillId="0" borderId="2" xfId="0" applyBorder="1"/>
    <xf numFmtId="0" fontId="0" fillId="0" borderId="1" xfId="0" applyBorder="1"/>
    <xf numFmtId="0" fontId="2" fillId="2" borderId="8" xfId="0" applyFont="1" applyFill="1" applyBorder="1" applyAlignment="1">
      <alignment horizontal="left" vertical="center"/>
    </xf>
    <xf numFmtId="0" fontId="2" fillId="0" borderId="0" xfId="0" applyFont="1" applyAlignment="1">
      <alignment horizontal="center"/>
    </xf>
    <xf numFmtId="0" fontId="6" fillId="2" borderId="41" xfId="0" applyFont="1" applyFill="1" applyBorder="1" applyAlignment="1">
      <alignment horizontal="right"/>
    </xf>
    <xf numFmtId="49" fontId="6" fillId="2" borderId="18" xfId="0" applyNumberFormat="1" applyFont="1" applyFill="1" applyBorder="1" applyAlignment="1">
      <alignment horizontal="left"/>
    </xf>
    <xf numFmtId="0" fontId="6" fillId="2" borderId="27" xfId="0" applyFont="1" applyFill="1" applyBorder="1" applyAlignment="1">
      <alignment horizontal="center"/>
    </xf>
    <xf numFmtId="0" fontId="6" fillId="2" borderId="34" xfId="0" applyFont="1" applyFill="1" applyBorder="1" applyAlignment="1">
      <alignment horizontal="center" vertical="center"/>
    </xf>
    <xf numFmtId="0" fontId="6" fillId="3" borderId="41" xfId="0" applyFont="1" applyFill="1" applyBorder="1" applyAlignment="1">
      <alignment horizontal="center" vertical="center"/>
    </xf>
    <xf numFmtId="0" fontId="6" fillId="3" borderId="36" xfId="0" applyFont="1" applyFill="1" applyBorder="1" applyAlignment="1">
      <alignment horizontal="center" vertical="center"/>
    </xf>
    <xf numFmtId="0" fontId="6" fillId="3" borderId="51" xfId="0" applyFont="1" applyFill="1" applyBorder="1" applyAlignment="1">
      <alignment horizontal="center" vertical="center"/>
    </xf>
    <xf numFmtId="0" fontId="0" fillId="0" borderId="2" xfId="0" applyBorder="1" applyAlignment="1">
      <alignment horizontal="center"/>
    </xf>
    <xf numFmtId="0" fontId="0" fillId="0" borderId="0" xfId="0" applyAlignment="1">
      <alignment horizontal="center"/>
    </xf>
    <xf numFmtId="0" fontId="2" fillId="5" borderId="50" xfId="0" applyFont="1" applyFill="1" applyBorder="1" applyAlignment="1" applyProtection="1">
      <alignment horizontal="center" vertical="center"/>
      <protection locked="0"/>
    </xf>
    <xf numFmtId="0" fontId="2" fillId="2" borderId="50" xfId="0" applyFont="1" applyFill="1" applyBorder="1" applyAlignment="1">
      <alignment horizontal="center" vertical="center"/>
    </xf>
    <xf numFmtId="2" fontId="2" fillId="2" borderId="28" xfId="0" applyNumberFormat="1" applyFont="1" applyFill="1" applyBorder="1" applyAlignment="1">
      <alignment horizontal="center" vertical="center"/>
    </xf>
    <xf numFmtId="0" fontId="2" fillId="2" borderId="49" xfId="0" applyFont="1" applyFill="1" applyBorder="1" applyAlignment="1">
      <alignment horizontal="center" vertical="center"/>
    </xf>
    <xf numFmtId="2" fontId="2" fillId="4" borderId="50" xfId="0" applyNumberFormat="1" applyFont="1" applyFill="1" applyBorder="1" applyAlignment="1">
      <alignment horizontal="center" vertical="center"/>
    </xf>
    <xf numFmtId="0" fontId="2" fillId="17" borderId="2" xfId="0" applyFont="1" applyFill="1" applyBorder="1" applyAlignment="1">
      <alignment vertical="center"/>
    </xf>
    <xf numFmtId="0" fontId="2" fillId="17" borderId="0" xfId="0" applyFont="1" applyFill="1" applyAlignment="1">
      <alignment vertical="center"/>
    </xf>
    <xf numFmtId="0" fontId="2" fillId="17" borderId="40" xfId="0" applyFont="1" applyFill="1" applyBorder="1" applyAlignment="1">
      <alignment horizontal="right" vertical="center"/>
    </xf>
    <xf numFmtId="2" fontId="2" fillId="17" borderId="40" xfId="0" applyNumberFormat="1" applyFont="1" applyFill="1" applyBorder="1" applyAlignment="1">
      <alignment horizontal="center" vertical="center"/>
    </xf>
    <xf numFmtId="0" fontId="2" fillId="17" borderId="40" xfId="0" applyFont="1" applyFill="1" applyBorder="1" applyAlignment="1">
      <alignment horizontal="center" vertical="center"/>
    </xf>
    <xf numFmtId="0" fontId="2" fillId="19" borderId="49" xfId="0" applyFont="1" applyFill="1" applyBorder="1" applyAlignment="1">
      <alignment horizontal="right" vertical="center"/>
    </xf>
    <xf numFmtId="0" fontId="6" fillId="11" borderId="22" xfId="0" applyFont="1" applyFill="1" applyBorder="1" applyAlignment="1" applyProtection="1">
      <alignment horizontal="left" vertical="top" wrapText="1"/>
      <protection locked="0"/>
    </xf>
    <xf numFmtId="0" fontId="6" fillId="19" borderId="22" xfId="0" applyFont="1" applyFill="1" applyBorder="1" applyAlignment="1" applyProtection="1">
      <alignment vertical="top" wrapText="1"/>
      <protection locked="0"/>
    </xf>
    <xf numFmtId="0" fontId="2" fillId="21" borderId="49" xfId="0" applyFont="1" applyFill="1" applyBorder="1" applyAlignment="1">
      <alignment vertical="top"/>
    </xf>
    <xf numFmtId="0" fontId="2" fillId="12" borderId="49" xfId="0" applyFont="1" applyFill="1" applyBorder="1" applyAlignment="1">
      <alignment horizontal="right" vertical="center"/>
    </xf>
    <xf numFmtId="0" fontId="6" fillId="12" borderId="22" xfId="0" applyFont="1" applyFill="1" applyBorder="1" applyAlignment="1" applyProtection="1">
      <alignment horizontal="left" vertical="top" wrapText="1"/>
      <protection locked="0"/>
    </xf>
    <xf numFmtId="0" fontId="2" fillId="12" borderId="16" xfId="0" applyFont="1" applyFill="1" applyBorder="1" applyAlignment="1">
      <alignment vertical="center"/>
    </xf>
    <xf numFmtId="0" fontId="2" fillId="12" borderId="27" xfId="0" applyFont="1" applyFill="1" applyBorder="1" applyAlignment="1">
      <alignment vertical="center"/>
    </xf>
    <xf numFmtId="0" fontId="2" fillId="12" borderId="54" xfId="0" applyFont="1" applyFill="1" applyBorder="1" applyAlignment="1">
      <alignment horizontal="right" vertical="center"/>
    </xf>
    <xf numFmtId="0" fontId="8" fillId="7" borderId="29" xfId="0" applyFont="1" applyFill="1" applyBorder="1" applyAlignment="1">
      <alignment horizontal="right" vertical="center" wrapText="1"/>
    </xf>
    <xf numFmtId="0" fontId="2" fillId="2" borderId="55" xfId="0" applyFont="1" applyFill="1" applyBorder="1" applyAlignment="1">
      <alignment horizontal="center" vertical="center"/>
    </xf>
    <xf numFmtId="0" fontId="6" fillId="12" borderId="35" xfId="0" applyFont="1" applyFill="1" applyBorder="1" applyAlignment="1" applyProtection="1">
      <alignment horizontal="left" vertical="top" wrapText="1"/>
      <protection locked="0"/>
    </xf>
    <xf numFmtId="0" fontId="0" fillId="0" borderId="22" xfId="0" applyBorder="1" applyAlignment="1" applyProtection="1">
      <alignment horizontal="center" vertical="top"/>
      <protection locked="0"/>
    </xf>
    <xf numFmtId="2" fontId="2" fillId="2" borderId="58" xfId="0" applyNumberFormat="1" applyFont="1" applyFill="1" applyBorder="1" applyAlignment="1">
      <alignment horizontal="center" vertical="center"/>
    </xf>
    <xf numFmtId="0" fontId="2" fillId="2" borderId="54" xfId="0" applyFont="1" applyFill="1" applyBorder="1" applyAlignment="1">
      <alignment horizontal="center" vertical="center"/>
    </xf>
    <xf numFmtId="0" fontId="2" fillId="2" borderId="49" xfId="0" applyFont="1" applyFill="1" applyBorder="1" applyAlignment="1">
      <alignment vertical="center"/>
    </xf>
    <xf numFmtId="0" fontId="2" fillId="9" borderId="24" xfId="0" applyFont="1" applyFill="1" applyBorder="1" applyAlignment="1">
      <alignment vertical="center"/>
    </xf>
    <xf numFmtId="0" fontId="2" fillId="15" borderId="24" xfId="0" applyFont="1" applyFill="1" applyBorder="1" applyAlignment="1">
      <alignment vertical="center"/>
    </xf>
    <xf numFmtId="0" fontId="2" fillId="15" borderId="40" xfId="0" applyFont="1" applyFill="1" applyBorder="1" applyAlignment="1">
      <alignment vertical="center"/>
    </xf>
    <xf numFmtId="0" fontId="2" fillId="15" borderId="25" xfId="0" applyFont="1" applyFill="1" applyBorder="1" applyAlignment="1">
      <alignment vertical="center"/>
    </xf>
    <xf numFmtId="0" fontId="7" fillId="16" borderId="26" xfId="0" applyFont="1" applyFill="1" applyBorder="1" applyAlignment="1">
      <alignment horizontal="left" vertical="center"/>
    </xf>
    <xf numFmtId="0" fontId="7" fillId="16" borderId="6" xfId="0" applyFont="1" applyFill="1" applyBorder="1" applyAlignment="1">
      <alignment horizontal="left" vertical="center"/>
    </xf>
    <xf numFmtId="0" fontId="7" fillId="16" borderId="7" xfId="0" applyFont="1" applyFill="1" applyBorder="1" applyAlignment="1">
      <alignment horizontal="left" vertical="center"/>
    </xf>
    <xf numFmtId="0" fontId="7" fillId="16" borderId="2" xfId="0" applyFont="1" applyFill="1" applyBorder="1" applyAlignment="1">
      <alignment horizontal="right" vertical="center"/>
    </xf>
    <xf numFmtId="0" fontId="2" fillId="13" borderId="24" xfId="0" applyFont="1" applyFill="1" applyBorder="1" applyAlignment="1">
      <alignment vertical="center"/>
    </xf>
    <xf numFmtId="0" fontId="2" fillId="13" borderId="25" xfId="0" applyFont="1" applyFill="1" applyBorder="1" applyAlignment="1">
      <alignment vertical="center"/>
    </xf>
    <xf numFmtId="0" fontId="7" fillId="14" borderId="26" xfId="0" applyFont="1" applyFill="1" applyBorder="1" applyAlignment="1">
      <alignment horizontal="left" vertical="center" wrapText="1"/>
    </xf>
    <xf numFmtId="0" fontId="7" fillId="14" borderId="6" xfId="0" applyFont="1" applyFill="1" applyBorder="1" applyAlignment="1">
      <alignment horizontal="left" vertical="center"/>
    </xf>
    <xf numFmtId="0" fontId="7" fillId="14" borderId="7" xfId="0" applyFont="1" applyFill="1" applyBorder="1" applyAlignment="1">
      <alignment horizontal="left" vertical="center" wrapText="1"/>
    </xf>
    <xf numFmtId="0" fontId="7" fillId="14" borderId="14" xfId="0" applyFont="1" applyFill="1" applyBorder="1" applyAlignment="1">
      <alignment horizontal="right" vertical="center"/>
    </xf>
    <xf numFmtId="0" fontId="2" fillId="17" borderId="24" xfId="0" applyFont="1" applyFill="1" applyBorder="1" applyAlignment="1">
      <alignment vertical="center"/>
    </xf>
    <xf numFmtId="0" fontId="2" fillId="17" borderId="25" xfId="0" applyFont="1" applyFill="1" applyBorder="1" applyAlignment="1">
      <alignment vertical="center"/>
    </xf>
    <xf numFmtId="0" fontId="7" fillId="18" borderId="17" xfId="0" applyFont="1" applyFill="1" applyBorder="1" applyAlignment="1">
      <alignment horizontal="left" vertical="center"/>
    </xf>
    <xf numFmtId="0" fontId="7" fillId="18" borderId="7" xfId="0" applyFont="1" applyFill="1" applyBorder="1" applyAlignment="1">
      <alignment horizontal="left" vertical="center"/>
    </xf>
    <xf numFmtId="0" fontId="2" fillId="9" borderId="25" xfId="0" applyFont="1" applyFill="1" applyBorder="1" applyAlignment="1">
      <alignment vertical="center"/>
    </xf>
    <xf numFmtId="0" fontId="7" fillId="8" borderId="17" xfId="0" applyFont="1" applyFill="1" applyBorder="1" applyAlignment="1">
      <alignment horizontal="left" vertical="center" wrapText="1"/>
    </xf>
    <xf numFmtId="0" fontId="7" fillId="8" borderId="3" xfId="0" applyFont="1" applyFill="1" applyBorder="1" applyAlignment="1">
      <alignment horizontal="left" vertical="center" wrapText="1"/>
    </xf>
    <xf numFmtId="0" fontId="7" fillId="8" borderId="2" xfId="0" applyFont="1" applyFill="1" applyBorder="1" applyAlignment="1">
      <alignment horizontal="left" vertical="center"/>
    </xf>
    <xf numFmtId="0" fontId="7" fillId="8" borderId="5" xfId="0" applyFont="1" applyFill="1" applyBorder="1" applyAlignment="1">
      <alignment horizontal="left" vertical="center" wrapText="1"/>
    </xf>
    <xf numFmtId="0" fontId="7" fillId="8" borderId="14" xfId="0" applyFont="1" applyFill="1" applyBorder="1" applyAlignment="1">
      <alignment horizontal="right" vertical="center" wrapText="1"/>
    </xf>
    <xf numFmtId="0" fontId="2" fillId="22" borderId="24" xfId="0" applyFont="1" applyFill="1" applyBorder="1" applyAlignment="1">
      <alignment horizontal="left" vertical="center"/>
    </xf>
    <xf numFmtId="2" fontId="2" fillId="22" borderId="25" xfId="0" applyNumberFormat="1" applyFont="1" applyFill="1" applyBorder="1" applyAlignment="1">
      <alignment horizontal="left" vertical="center"/>
    </xf>
    <xf numFmtId="0" fontId="2" fillId="22" borderId="25" xfId="0" applyFont="1" applyFill="1" applyBorder="1" applyAlignment="1">
      <alignment horizontal="left" vertical="center"/>
    </xf>
    <xf numFmtId="0" fontId="7" fillId="23" borderId="2" xfId="0" applyFont="1" applyFill="1" applyBorder="1" applyAlignment="1">
      <alignment horizontal="left" vertical="center"/>
    </xf>
    <xf numFmtId="0" fontId="7" fillId="23" borderId="14" xfId="0" applyFont="1" applyFill="1" applyBorder="1" applyAlignment="1">
      <alignment horizontal="right" vertical="center"/>
    </xf>
    <xf numFmtId="0" fontId="7" fillId="18" borderId="14" xfId="0" applyFont="1" applyFill="1" applyBorder="1" applyAlignment="1">
      <alignment horizontal="right" vertical="center"/>
    </xf>
    <xf numFmtId="0" fontId="9" fillId="0" borderId="19" xfId="0" applyFont="1" applyBorder="1" applyAlignment="1" applyProtection="1">
      <alignment horizontal="left" vertical="center" wrapText="1"/>
      <protection locked="0"/>
    </xf>
    <xf numFmtId="0" fontId="9" fillId="0" borderId="1" xfId="0" applyFont="1" applyBorder="1" applyAlignment="1" applyProtection="1">
      <alignment horizontal="left" vertical="center" wrapText="1"/>
      <protection locked="0"/>
    </xf>
    <xf numFmtId="2" fontId="7" fillId="24" borderId="14" xfId="0" applyNumberFormat="1" applyFont="1" applyFill="1" applyBorder="1" applyAlignment="1">
      <alignment horizontal="center" vertical="center"/>
    </xf>
    <xf numFmtId="0" fontId="7" fillId="24" borderId="14" xfId="0" applyFont="1" applyFill="1" applyBorder="1" applyAlignment="1">
      <alignment horizontal="center" vertical="center"/>
    </xf>
    <xf numFmtId="0" fontId="2" fillId="2" borderId="53" xfId="0" applyFont="1" applyFill="1" applyBorder="1" applyAlignment="1">
      <alignment horizontal="center" vertical="center"/>
    </xf>
    <xf numFmtId="0" fontId="2" fillId="2" borderId="59" xfId="0" applyFont="1" applyFill="1" applyBorder="1" applyAlignment="1">
      <alignment horizontal="center" vertical="center"/>
    </xf>
    <xf numFmtId="0" fontId="6" fillId="7" borderId="22" xfId="0" applyFont="1" applyFill="1" applyBorder="1" applyAlignment="1">
      <alignment vertical="top" wrapText="1"/>
    </xf>
    <xf numFmtId="0" fontId="11" fillId="5" borderId="61" xfId="0" applyFont="1" applyFill="1" applyBorder="1" applyAlignment="1" applyProtection="1">
      <alignment horizontal="left" vertical="center" wrapText="1"/>
      <protection locked="0"/>
    </xf>
    <xf numFmtId="0" fontId="2" fillId="2" borderId="57" xfId="0" applyFont="1" applyFill="1" applyBorder="1" applyAlignment="1">
      <alignment horizontal="center" vertical="center"/>
    </xf>
    <xf numFmtId="2" fontId="2" fillId="4" borderId="57" xfId="0" applyNumberFormat="1" applyFont="1" applyFill="1" applyBorder="1" applyAlignment="1">
      <alignment horizontal="center" vertical="center"/>
    </xf>
    <xf numFmtId="0" fontId="11" fillId="5" borderId="62" xfId="0" applyFont="1" applyFill="1" applyBorder="1" applyAlignment="1" applyProtection="1">
      <alignment horizontal="left" vertical="center" wrapText="1"/>
      <protection locked="0"/>
    </xf>
    <xf numFmtId="0" fontId="0" fillId="0" borderId="2" xfId="0" applyBorder="1" applyAlignment="1">
      <alignment horizontal="center" vertical="top"/>
    </xf>
    <xf numFmtId="0" fontId="3" fillId="0" borderId="1" xfId="0" applyFont="1" applyBorder="1" applyAlignment="1">
      <alignment horizontal="left" vertical="top" wrapText="1" indent="2"/>
    </xf>
    <xf numFmtId="0" fontId="6" fillId="11" borderId="22" xfId="0" applyFont="1" applyFill="1" applyBorder="1" applyAlignment="1">
      <alignment horizontal="left" vertical="top" wrapText="1"/>
    </xf>
    <xf numFmtId="0" fontId="6" fillId="11" borderId="22" xfId="0" applyFont="1" applyFill="1" applyBorder="1" applyAlignment="1">
      <alignment horizontal="left" vertical="center" wrapText="1"/>
    </xf>
    <xf numFmtId="0" fontId="6" fillId="14" borderId="22" xfId="0" applyFont="1" applyFill="1" applyBorder="1" applyAlignment="1">
      <alignment horizontal="left" vertical="top" wrapText="1"/>
    </xf>
    <xf numFmtId="0" fontId="6" fillId="14" borderId="22" xfId="0" applyFont="1" applyFill="1" applyBorder="1" applyAlignment="1">
      <alignment wrapText="1"/>
    </xf>
    <xf numFmtId="0" fontId="6" fillId="26" borderId="22" xfId="0" applyFont="1" applyFill="1" applyBorder="1" applyAlignment="1">
      <alignment wrapText="1"/>
    </xf>
    <xf numFmtId="0" fontId="6" fillId="26" borderId="22" xfId="0" applyFont="1" applyFill="1" applyBorder="1" applyAlignment="1">
      <alignment vertical="top" wrapText="1"/>
    </xf>
    <xf numFmtId="0" fontId="6" fillId="19" borderId="22" xfId="0" applyFont="1" applyFill="1" applyBorder="1" applyAlignment="1">
      <alignment vertical="top" wrapText="1"/>
    </xf>
    <xf numFmtId="0" fontId="6" fillId="9" borderId="22" xfId="0" applyFont="1" applyFill="1" applyBorder="1" applyAlignment="1">
      <alignment horizontal="left" vertical="top" wrapText="1"/>
    </xf>
    <xf numFmtId="0" fontId="6" fillId="21" borderId="22" xfId="0" applyFont="1" applyFill="1" applyBorder="1" applyAlignment="1">
      <alignment vertical="top" wrapText="1"/>
    </xf>
    <xf numFmtId="0" fontId="6" fillId="21" borderId="22" xfId="0" applyFont="1" applyFill="1" applyBorder="1"/>
    <xf numFmtId="0" fontId="0" fillId="0" borderId="0" xfId="0" applyAlignment="1">
      <alignment vertical="center"/>
    </xf>
    <xf numFmtId="0" fontId="7" fillId="0" borderId="0" xfId="0" applyFont="1" applyAlignment="1">
      <alignment vertical="center"/>
    </xf>
    <xf numFmtId="0" fontId="2" fillId="0" borderId="0" xfId="0" applyFont="1" applyAlignment="1">
      <alignment horizontal="center" vertical="center"/>
    </xf>
    <xf numFmtId="0" fontId="2" fillId="0" borderId="0" xfId="0" applyFont="1" applyAlignment="1">
      <alignment vertical="center"/>
    </xf>
    <xf numFmtId="0" fontId="7" fillId="0" borderId="0" xfId="0" applyFont="1" applyAlignment="1">
      <alignment horizontal="left" vertical="center"/>
    </xf>
    <xf numFmtId="0" fontId="7" fillId="2" borderId="14" xfId="0" applyFont="1" applyFill="1" applyBorder="1" applyAlignment="1">
      <alignment vertical="center"/>
    </xf>
    <xf numFmtId="0" fontId="13" fillId="0" borderId="0" xfId="0" applyFont="1" applyAlignment="1">
      <alignment horizontal="left"/>
    </xf>
    <xf numFmtId="0" fontId="7" fillId="0" borderId="0" xfId="0" quotePrefix="1" applyFont="1"/>
    <xf numFmtId="0" fontId="0" fillId="4" borderId="0" xfId="0" applyFill="1"/>
    <xf numFmtId="0" fontId="2" fillId="15" borderId="23" xfId="0" applyFont="1" applyFill="1" applyBorder="1" applyAlignment="1">
      <alignment horizontal="left" vertical="center"/>
    </xf>
    <xf numFmtId="0" fontId="2" fillId="15" borderId="40" xfId="0" applyFont="1" applyFill="1" applyBorder="1" applyAlignment="1">
      <alignment horizontal="left" vertical="center"/>
    </xf>
    <xf numFmtId="0" fontId="2" fillId="16" borderId="23" xfId="0" applyFont="1" applyFill="1" applyBorder="1" applyAlignment="1">
      <alignment horizontal="left" vertical="center"/>
    </xf>
    <xf numFmtId="0" fontId="2" fillId="16" borderId="40" xfId="0" applyFont="1" applyFill="1" applyBorder="1" applyAlignment="1">
      <alignment horizontal="left" vertical="center" wrapText="1"/>
    </xf>
    <xf numFmtId="0" fontId="0" fillId="2" borderId="22" xfId="0" applyFill="1" applyBorder="1" applyAlignment="1">
      <alignment horizontal="center" vertical="top"/>
    </xf>
    <xf numFmtId="0" fontId="2" fillId="0" borderId="0" xfId="0" applyFont="1" applyAlignment="1">
      <alignment horizontal="left" vertical="center"/>
    </xf>
    <xf numFmtId="0" fontId="2" fillId="0" borderId="27" xfId="0" applyFont="1" applyBorder="1" applyAlignment="1">
      <alignment horizontal="center" vertical="center"/>
    </xf>
    <xf numFmtId="0" fontId="2" fillId="16" borderId="0" xfId="0" applyFont="1" applyFill="1" applyAlignment="1">
      <alignment vertical="center"/>
    </xf>
    <xf numFmtId="0" fontId="2" fillId="16" borderId="0" xfId="0" applyFont="1" applyFill="1" applyAlignment="1">
      <alignment horizontal="left" vertical="center" wrapText="1"/>
    </xf>
    <xf numFmtId="0" fontId="2" fillId="16" borderId="25" xfId="0" applyFont="1" applyFill="1" applyBorder="1" applyAlignment="1">
      <alignment horizontal="left" vertical="center" wrapText="1"/>
    </xf>
    <xf numFmtId="0" fontId="9" fillId="0" borderId="0" xfId="0" applyFont="1"/>
    <xf numFmtId="0" fontId="2" fillId="13" borderId="2" xfId="0" applyFont="1" applyFill="1" applyBorder="1" applyAlignment="1">
      <alignment horizontal="left" vertical="center"/>
    </xf>
    <xf numFmtId="0" fontId="2" fillId="13" borderId="0" xfId="0" applyFont="1" applyFill="1" applyAlignment="1">
      <alignment horizontal="left" vertical="center"/>
    </xf>
    <xf numFmtId="0" fontId="2" fillId="13" borderId="40" xfId="0" applyFont="1" applyFill="1" applyBorder="1" applyAlignment="1">
      <alignment horizontal="left" vertical="center"/>
    </xf>
    <xf numFmtId="0" fontId="2" fillId="14" borderId="24" xfId="0" applyFont="1" applyFill="1" applyBorder="1" applyAlignment="1">
      <alignment horizontal="left" vertical="center"/>
    </xf>
    <xf numFmtId="0" fontId="2" fillId="14" borderId="25" xfId="0" applyFont="1" applyFill="1" applyBorder="1" applyAlignment="1">
      <alignment horizontal="left" vertical="center" wrapText="1"/>
    </xf>
    <xf numFmtId="0" fontId="2" fillId="14" borderId="23" xfId="0" applyFont="1" applyFill="1" applyBorder="1" applyAlignment="1">
      <alignment horizontal="left" vertical="center"/>
    </xf>
    <xf numFmtId="0" fontId="2" fillId="14" borderId="40" xfId="0" applyFont="1" applyFill="1" applyBorder="1" applyAlignment="1">
      <alignment horizontal="left" vertical="center" wrapText="1"/>
    </xf>
    <xf numFmtId="0" fontId="2" fillId="14" borderId="0" xfId="0" applyFont="1" applyFill="1" applyAlignment="1">
      <alignment horizontal="left" vertical="center" wrapText="1"/>
    </xf>
    <xf numFmtId="0" fontId="2" fillId="14" borderId="27" xfId="0" applyFont="1" applyFill="1" applyBorder="1" applyAlignment="1">
      <alignment horizontal="left" vertical="center" wrapText="1"/>
    </xf>
    <xf numFmtId="0" fontId="9" fillId="0" borderId="0" xfId="0" applyFont="1" applyAlignment="1">
      <alignment vertical="center"/>
    </xf>
    <xf numFmtId="0" fontId="2" fillId="17" borderId="0" xfId="0" applyFont="1" applyFill="1" applyAlignment="1">
      <alignment horizontal="center" vertical="center"/>
    </xf>
    <xf numFmtId="0" fontId="11" fillId="17" borderId="40" xfId="0" applyFont="1" applyFill="1" applyBorder="1" applyAlignment="1">
      <alignment horizontal="left" vertical="center" wrapText="1"/>
    </xf>
    <xf numFmtId="0" fontId="2" fillId="18" borderId="23" xfId="0" applyFont="1" applyFill="1" applyBorder="1" applyAlignment="1">
      <alignment horizontal="left" vertical="center"/>
    </xf>
    <xf numFmtId="0" fontId="2" fillId="18" borderId="40" xfId="0" applyFont="1" applyFill="1" applyBorder="1" applyAlignment="1">
      <alignment horizontal="left" vertical="center" wrapText="1"/>
    </xf>
    <xf numFmtId="0" fontId="2" fillId="18" borderId="2" xfId="0" applyFont="1" applyFill="1" applyBorder="1" applyAlignment="1">
      <alignment horizontal="left" vertical="center"/>
    </xf>
    <xf numFmtId="0" fontId="2" fillId="18" borderId="0" xfId="0" applyFont="1" applyFill="1" applyAlignment="1">
      <alignment horizontal="left" vertical="center"/>
    </xf>
    <xf numFmtId="0" fontId="2" fillId="18" borderId="40" xfId="0" applyFont="1" applyFill="1" applyBorder="1" applyAlignment="1">
      <alignment horizontal="left" vertical="center"/>
    </xf>
    <xf numFmtId="0" fontId="2" fillId="18" borderId="2" xfId="0" applyFont="1" applyFill="1" applyBorder="1" applyAlignment="1">
      <alignment vertical="center"/>
    </xf>
    <xf numFmtId="0" fontId="2" fillId="18" borderId="0" xfId="0" applyFont="1" applyFill="1" applyAlignment="1">
      <alignment vertical="center" wrapText="1"/>
    </xf>
    <xf numFmtId="0" fontId="2" fillId="18" borderId="25" xfId="0" applyFont="1" applyFill="1" applyBorder="1" applyAlignment="1">
      <alignment vertical="center" wrapText="1"/>
    </xf>
    <xf numFmtId="2" fontId="2" fillId="2" borderId="50" xfId="0" applyNumberFormat="1" applyFont="1" applyFill="1" applyBorder="1" applyAlignment="1">
      <alignment horizontal="center" vertical="center"/>
    </xf>
    <xf numFmtId="0" fontId="2" fillId="18" borderId="0" xfId="0" applyFont="1" applyFill="1" applyAlignment="1">
      <alignment horizontal="left" vertical="center" wrapText="1"/>
    </xf>
    <xf numFmtId="0" fontId="2" fillId="18" borderId="25" xfId="0" applyFont="1" applyFill="1" applyBorder="1" applyAlignment="1">
      <alignment horizontal="left" vertical="center" wrapText="1"/>
    </xf>
    <xf numFmtId="0" fontId="9" fillId="0" borderId="0" xfId="0" applyFont="1" applyAlignment="1">
      <alignment vertical="top"/>
    </xf>
    <xf numFmtId="0" fontId="0" fillId="0" borderId="0" xfId="0" applyAlignment="1">
      <alignment vertical="top" wrapText="1"/>
    </xf>
    <xf numFmtId="0" fontId="2" fillId="9" borderId="23" xfId="0" applyFont="1" applyFill="1" applyBorder="1" applyAlignment="1">
      <alignment horizontal="left" vertical="center"/>
    </xf>
    <xf numFmtId="0" fontId="2" fillId="9" borderId="40" xfId="0" applyFont="1" applyFill="1" applyBorder="1" applyAlignment="1">
      <alignment horizontal="left" vertical="center" wrapText="1"/>
    </xf>
    <xf numFmtId="0" fontId="0" fillId="0" borderId="0" xfId="0" applyAlignment="1">
      <alignment vertical="top"/>
    </xf>
    <xf numFmtId="0" fontId="15" fillId="0" borderId="0" xfId="0" applyFont="1" applyAlignment="1">
      <alignment vertical="top"/>
    </xf>
    <xf numFmtId="0" fontId="13" fillId="0" borderId="0" xfId="0" applyFont="1" applyAlignment="1">
      <alignment vertical="top"/>
    </xf>
    <xf numFmtId="0" fontId="13" fillId="0" borderId="0" xfId="0" applyFont="1"/>
    <xf numFmtId="0" fontId="2" fillId="22" borderId="23" xfId="0" applyFont="1" applyFill="1" applyBorder="1" applyAlignment="1">
      <alignment horizontal="left" vertical="center"/>
    </xf>
    <xf numFmtId="0" fontId="2" fillId="22" borderId="40" xfId="0" applyFont="1" applyFill="1" applyBorder="1" applyAlignment="1">
      <alignment horizontal="left" vertical="center" wrapText="1"/>
    </xf>
    <xf numFmtId="0" fontId="2" fillId="0" borderId="0" xfId="0" applyFont="1" applyAlignment="1">
      <alignment vertical="top"/>
    </xf>
    <xf numFmtId="0" fontId="14" fillId="0" borderId="0" xfId="0" applyFont="1"/>
    <xf numFmtId="0" fontId="6" fillId="0" borderId="0" xfId="0" applyFont="1"/>
    <xf numFmtId="0" fontId="0" fillId="0" borderId="0" xfId="0" applyAlignment="1">
      <alignment horizontal="center" vertical="top"/>
    </xf>
    <xf numFmtId="0" fontId="0" fillId="2" borderId="43" xfId="0" applyFill="1" applyBorder="1" applyAlignment="1">
      <alignment horizontal="center" vertical="top"/>
    </xf>
    <xf numFmtId="0" fontId="0" fillId="2" borderId="47" xfId="0" applyFill="1" applyBorder="1" applyAlignment="1">
      <alignment horizontal="center" vertical="top"/>
    </xf>
    <xf numFmtId="0" fontId="0" fillId="0" borderId="67" xfId="0" applyBorder="1" applyAlignment="1" applyProtection="1">
      <alignment horizontal="center" vertical="top"/>
      <protection locked="0"/>
    </xf>
    <xf numFmtId="0" fontId="0" fillId="0" borderId="72" xfId="0" applyBorder="1" applyAlignment="1" applyProtection="1">
      <alignment horizontal="center" vertical="top"/>
      <protection locked="0"/>
    </xf>
    <xf numFmtId="0" fontId="0" fillId="0" borderId="70" xfId="0" applyBorder="1" applyAlignment="1" applyProtection="1">
      <alignment horizontal="center" vertical="top"/>
      <protection locked="0"/>
    </xf>
    <xf numFmtId="0" fontId="0" fillId="0" borderId="64" xfId="0" applyBorder="1" applyAlignment="1" applyProtection="1">
      <alignment horizontal="center" vertical="top"/>
      <protection locked="0"/>
    </xf>
    <xf numFmtId="0" fontId="0" fillId="0" borderId="35" xfId="0" applyBorder="1" applyAlignment="1" applyProtection="1">
      <alignment horizontal="center" vertical="top"/>
      <protection locked="0"/>
    </xf>
    <xf numFmtId="0" fontId="2" fillId="18" borderId="41" xfId="0" applyFont="1" applyFill="1" applyBorder="1" applyAlignment="1">
      <alignment vertical="center" wrapText="1"/>
    </xf>
    <xf numFmtId="0" fontId="2" fillId="18" borderId="40" xfId="0" applyFont="1" applyFill="1" applyBorder="1" applyAlignment="1">
      <alignment vertical="center" wrapText="1"/>
    </xf>
    <xf numFmtId="0" fontId="0" fillId="2" borderId="36" xfId="0" applyFill="1" applyBorder="1" applyAlignment="1">
      <alignment horizontal="center" vertical="top"/>
    </xf>
    <xf numFmtId="0" fontId="0" fillId="2" borderId="72" xfId="0" applyFill="1" applyBorder="1" applyAlignment="1">
      <alignment horizontal="center" vertical="top"/>
    </xf>
    <xf numFmtId="0" fontId="6" fillId="12" borderId="70" xfId="0" applyFont="1" applyFill="1" applyBorder="1" applyAlignment="1" applyProtection="1">
      <alignment horizontal="left" vertical="top" wrapText="1"/>
      <protection locked="0"/>
    </xf>
    <xf numFmtId="0" fontId="0" fillId="2" borderId="70" xfId="0" applyFill="1" applyBorder="1" applyAlignment="1">
      <alignment horizontal="center" vertical="top"/>
    </xf>
    <xf numFmtId="0" fontId="0" fillId="2" borderId="64" xfId="0" applyFill="1" applyBorder="1" applyAlignment="1">
      <alignment horizontal="center" vertical="top"/>
    </xf>
    <xf numFmtId="0" fontId="0" fillId="0" borderId="36" xfId="0" applyBorder="1" applyAlignment="1" applyProtection="1">
      <alignment horizontal="center" vertical="top"/>
      <protection locked="0"/>
    </xf>
    <xf numFmtId="0" fontId="0" fillId="2" borderId="67" xfId="0" applyFill="1" applyBorder="1" applyAlignment="1">
      <alignment horizontal="center" vertical="top"/>
    </xf>
    <xf numFmtId="0" fontId="0" fillId="2" borderId="66" xfId="0" applyFill="1" applyBorder="1" applyAlignment="1">
      <alignment horizontal="center" vertical="top"/>
    </xf>
    <xf numFmtId="0" fontId="6" fillId="11" borderId="64" xfId="0" applyFont="1" applyFill="1" applyBorder="1" applyAlignment="1" applyProtection="1">
      <alignment horizontal="left" vertical="top" wrapText="1"/>
      <protection locked="0"/>
    </xf>
    <xf numFmtId="0" fontId="2" fillId="16" borderId="41" xfId="0" applyFont="1" applyFill="1" applyBorder="1" applyAlignment="1">
      <alignment horizontal="left" vertical="center" wrapText="1"/>
    </xf>
    <xf numFmtId="0" fontId="11" fillId="5" borderId="50" xfId="0" applyFont="1" applyFill="1" applyBorder="1" applyAlignment="1" applyProtection="1">
      <alignment horizontal="left" vertical="center" wrapText="1"/>
      <protection locked="0"/>
    </xf>
    <xf numFmtId="0" fontId="0" fillId="0" borderId="63" xfId="0" applyBorder="1" applyAlignment="1" applyProtection="1">
      <alignment horizontal="center" vertical="top"/>
      <protection locked="0"/>
    </xf>
    <xf numFmtId="0" fontId="2" fillId="11" borderId="49" xfId="0" applyFont="1" applyFill="1" applyBorder="1" applyAlignment="1">
      <alignment horizontal="right" vertical="center"/>
    </xf>
    <xf numFmtId="0" fontId="6" fillId="11" borderId="63" xfId="0" applyFont="1" applyFill="1" applyBorder="1" applyAlignment="1" applyProtection="1">
      <alignment horizontal="left" vertical="top" wrapText="1"/>
      <protection locked="0"/>
    </xf>
    <xf numFmtId="0" fontId="6" fillId="12" borderId="63" xfId="0" applyFont="1" applyFill="1" applyBorder="1" applyAlignment="1" applyProtection="1">
      <alignment horizontal="left" vertical="top" wrapText="1"/>
      <protection locked="0"/>
    </xf>
    <xf numFmtId="0" fontId="2" fillId="14" borderId="39" xfId="0" applyFont="1" applyFill="1" applyBorder="1" applyAlignment="1">
      <alignment horizontal="left" vertical="center"/>
    </xf>
    <xf numFmtId="0" fontId="2" fillId="14" borderId="71" xfId="0" applyFont="1" applyFill="1" applyBorder="1" applyAlignment="1">
      <alignment horizontal="left" vertical="center" wrapText="1"/>
    </xf>
    <xf numFmtId="0" fontId="2" fillId="12" borderId="24" xfId="0" applyFont="1" applyFill="1" applyBorder="1" applyAlignment="1">
      <alignment vertical="center"/>
    </xf>
    <xf numFmtId="0" fontId="2" fillId="12" borderId="21" xfId="0" applyFont="1" applyFill="1" applyBorder="1" applyAlignment="1">
      <alignment vertical="center"/>
    </xf>
    <xf numFmtId="0" fontId="6" fillId="12" borderId="64" xfId="0" applyFont="1" applyFill="1" applyBorder="1" applyAlignment="1" applyProtection="1">
      <alignment horizontal="left" vertical="top" wrapText="1"/>
      <protection locked="0"/>
    </xf>
    <xf numFmtId="0" fontId="6" fillId="19" borderId="64" xfId="0" applyFont="1" applyFill="1" applyBorder="1" applyAlignment="1" applyProtection="1">
      <alignment vertical="top" wrapText="1"/>
      <protection locked="0"/>
    </xf>
    <xf numFmtId="0" fontId="11" fillId="5" borderId="28" xfId="0" applyFont="1" applyFill="1" applyBorder="1" applyAlignment="1" applyProtection="1">
      <alignment horizontal="left" vertical="center" wrapText="1"/>
      <protection locked="0"/>
    </xf>
    <xf numFmtId="0" fontId="6" fillId="19" borderId="63" xfId="0" applyFont="1" applyFill="1" applyBorder="1" applyAlignment="1" applyProtection="1">
      <alignment vertical="top" wrapText="1"/>
      <protection locked="0"/>
    </xf>
    <xf numFmtId="0" fontId="2" fillId="18" borderId="41" xfId="0" applyFont="1" applyFill="1" applyBorder="1" applyAlignment="1">
      <alignment horizontal="left" vertical="center" wrapText="1"/>
    </xf>
    <xf numFmtId="0" fontId="0" fillId="0" borderId="47" xfId="0" applyBorder="1" applyAlignment="1" applyProtection="1">
      <alignment horizontal="center" vertical="top"/>
      <protection locked="0"/>
    </xf>
    <xf numFmtId="0" fontId="0" fillId="2" borderId="56" xfId="0" applyFill="1" applyBorder="1" applyAlignment="1">
      <alignment horizontal="center" vertical="top"/>
    </xf>
    <xf numFmtId="0" fontId="2" fillId="18" borderId="67" xfId="0" applyFont="1" applyFill="1" applyBorder="1" applyAlignment="1">
      <alignment horizontal="left" vertical="center" wrapText="1"/>
    </xf>
    <xf numFmtId="0" fontId="2" fillId="18" borderId="31" xfId="0" applyFont="1" applyFill="1" applyBorder="1" applyAlignment="1">
      <alignment horizontal="left" vertical="center"/>
    </xf>
    <xf numFmtId="0" fontId="2" fillId="8" borderId="41" xfId="0" applyFont="1" applyFill="1" applyBorder="1" applyAlignment="1">
      <alignment horizontal="left" vertical="center" wrapText="1"/>
    </xf>
    <xf numFmtId="0" fontId="2" fillId="8" borderId="36" xfId="0" applyFont="1" applyFill="1" applyBorder="1" applyAlignment="1">
      <alignment horizontal="left" vertical="center" wrapText="1"/>
    </xf>
    <xf numFmtId="0" fontId="2" fillId="8" borderId="67" xfId="0" applyFont="1" applyFill="1" applyBorder="1" applyAlignment="1">
      <alignment horizontal="left" vertical="center" wrapText="1"/>
    </xf>
    <xf numFmtId="0" fontId="2" fillId="8" borderId="23" xfId="0" applyFont="1" applyFill="1" applyBorder="1" applyAlignment="1">
      <alignment horizontal="left" vertical="center"/>
    </xf>
    <xf numFmtId="0" fontId="2" fillId="8" borderId="40" xfId="0" applyFont="1" applyFill="1" applyBorder="1" applyAlignment="1">
      <alignment horizontal="left" vertical="center" wrapText="1"/>
    </xf>
    <xf numFmtId="0" fontId="2" fillId="8" borderId="31" xfId="0" applyFont="1" applyFill="1" applyBorder="1" applyAlignment="1">
      <alignment horizontal="left" vertical="center"/>
    </xf>
    <xf numFmtId="0" fontId="2" fillId="8" borderId="39" xfId="0" applyFont="1" applyFill="1" applyBorder="1" applyAlignment="1">
      <alignment horizontal="left" vertical="center" wrapText="1"/>
    </xf>
    <xf numFmtId="0" fontId="2" fillId="8" borderId="71" xfId="0" applyFont="1" applyFill="1" applyBorder="1" applyAlignment="1">
      <alignment horizontal="left" vertical="center" wrapText="1"/>
    </xf>
    <xf numFmtId="0" fontId="2" fillId="8" borderId="56" xfId="0" applyFont="1" applyFill="1" applyBorder="1" applyAlignment="1">
      <alignment horizontal="left" vertical="center" wrapText="1"/>
    </xf>
    <xf numFmtId="0" fontId="2" fillId="9" borderId="25" xfId="0" applyFont="1" applyFill="1" applyBorder="1" applyAlignment="1">
      <alignment horizontal="left" vertical="center" wrapText="1"/>
    </xf>
    <xf numFmtId="0" fontId="2" fillId="9" borderId="45" xfId="0" applyFont="1" applyFill="1" applyBorder="1" applyAlignment="1">
      <alignment horizontal="left" vertical="center" wrapText="1"/>
    </xf>
    <xf numFmtId="0" fontId="2" fillId="7" borderId="16" xfId="0" applyFont="1" applyFill="1" applyBorder="1" applyAlignment="1">
      <alignment vertical="top"/>
    </xf>
    <xf numFmtId="0" fontId="2" fillId="7" borderId="27" xfId="0" applyFont="1" applyFill="1" applyBorder="1" applyAlignment="1">
      <alignment vertical="top"/>
    </xf>
    <xf numFmtId="0" fontId="8" fillId="7" borderId="49" xfId="0" applyFont="1" applyFill="1" applyBorder="1" applyAlignment="1">
      <alignment horizontal="right" vertical="center" wrapText="1"/>
    </xf>
    <xf numFmtId="0" fontId="0" fillId="2" borderId="35" xfId="0" applyFill="1" applyBorder="1" applyAlignment="1">
      <alignment horizontal="center" vertical="top"/>
    </xf>
    <xf numFmtId="0" fontId="2" fillId="20" borderId="41" xfId="0" applyFont="1" applyFill="1" applyBorder="1" applyAlignment="1">
      <alignment vertical="top" wrapText="1"/>
    </xf>
    <xf numFmtId="0" fontId="2" fillId="20" borderId="67" xfId="0" applyFont="1" applyFill="1" applyBorder="1" applyAlignment="1">
      <alignment vertical="top" wrapText="1"/>
    </xf>
    <xf numFmtId="0" fontId="2" fillId="0" borderId="14" xfId="0" applyFont="1" applyBorder="1" applyAlignment="1">
      <alignment horizontal="center" vertical="center"/>
    </xf>
    <xf numFmtId="0" fontId="2" fillId="0" borderId="14" xfId="0" applyFont="1" applyBorder="1" applyAlignment="1">
      <alignment vertical="top"/>
    </xf>
    <xf numFmtId="0" fontId="2" fillId="0" borderId="0" xfId="0" applyFont="1"/>
    <xf numFmtId="0" fontId="2" fillId="2" borderId="23" xfId="0" applyFont="1" applyFill="1" applyBorder="1" applyAlignment="1">
      <alignment horizontal="center"/>
    </xf>
    <xf numFmtId="0" fontId="0" fillId="3" borderId="31" xfId="0" applyFill="1" applyBorder="1" applyAlignment="1">
      <alignment horizontal="center"/>
    </xf>
    <xf numFmtId="0" fontId="0" fillId="3" borderId="6" xfId="0" applyFill="1" applyBorder="1" applyAlignment="1">
      <alignment horizontal="center"/>
    </xf>
    <xf numFmtId="0" fontId="0" fillId="3" borderId="32" xfId="0" applyFill="1" applyBorder="1" applyAlignment="1">
      <alignment horizontal="center"/>
    </xf>
    <xf numFmtId="0" fontId="0" fillId="0" borderId="14" xfId="0" applyBorder="1" applyAlignment="1">
      <alignment horizontal="center"/>
    </xf>
    <xf numFmtId="0" fontId="9" fillId="7" borderId="63" xfId="0" applyFont="1" applyFill="1" applyBorder="1" applyAlignment="1" applyProtection="1">
      <alignment vertical="top" wrapText="1"/>
      <protection locked="0"/>
    </xf>
    <xf numFmtId="0" fontId="0" fillId="0" borderId="56" xfId="0" applyBorder="1" applyAlignment="1" applyProtection="1">
      <alignment horizontal="center" vertical="top"/>
      <protection locked="0"/>
    </xf>
    <xf numFmtId="0" fontId="9" fillId="7" borderId="64" xfId="0" applyFont="1" applyFill="1" applyBorder="1" applyAlignment="1" applyProtection="1">
      <alignment vertical="top" wrapText="1"/>
      <protection locked="0"/>
    </xf>
    <xf numFmtId="0" fontId="10" fillId="7" borderId="22" xfId="0" applyFont="1" applyFill="1" applyBorder="1" applyAlignment="1" applyProtection="1">
      <alignment vertical="top" wrapText="1"/>
      <protection locked="0"/>
    </xf>
    <xf numFmtId="0" fontId="10" fillId="7" borderId="47" xfId="0" applyFont="1" applyFill="1" applyBorder="1" applyAlignment="1" applyProtection="1">
      <alignment vertical="top" wrapText="1"/>
      <protection locked="0"/>
    </xf>
    <xf numFmtId="0" fontId="10" fillId="7" borderId="56" xfId="0" applyFont="1" applyFill="1" applyBorder="1" applyAlignment="1" applyProtection="1">
      <alignment vertical="top" wrapText="1"/>
      <protection locked="0"/>
    </xf>
    <xf numFmtId="0" fontId="10" fillId="7" borderId="64" xfId="0" applyFont="1" applyFill="1" applyBorder="1" applyAlignment="1" applyProtection="1">
      <alignment vertical="top" wrapText="1"/>
      <protection locked="0"/>
    </xf>
    <xf numFmtId="0" fontId="6" fillId="21" borderId="56" xfId="0" applyFont="1" applyFill="1" applyBorder="1" applyAlignment="1" applyProtection="1">
      <alignment vertical="top" wrapText="1"/>
      <protection locked="0"/>
    </xf>
    <xf numFmtId="0" fontId="6" fillId="21" borderId="22" xfId="0" applyFont="1" applyFill="1" applyBorder="1" applyAlignment="1" applyProtection="1">
      <alignment vertical="top" wrapText="1"/>
      <protection locked="0"/>
    </xf>
    <xf numFmtId="0" fontId="6" fillId="21" borderId="74" xfId="0" applyFont="1" applyFill="1" applyBorder="1" applyAlignment="1" applyProtection="1">
      <alignment vertical="top" wrapText="1"/>
      <protection locked="0"/>
    </xf>
    <xf numFmtId="0" fontId="6" fillId="21" borderId="64" xfId="0" applyFont="1" applyFill="1" applyBorder="1" applyAlignment="1" applyProtection="1">
      <alignment vertical="top" wrapText="1"/>
      <protection locked="0"/>
    </xf>
    <xf numFmtId="0" fontId="6" fillId="21" borderId="71" xfId="0" applyFont="1" applyFill="1" applyBorder="1" applyAlignment="1" applyProtection="1">
      <alignment vertical="top" wrapText="1"/>
      <protection locked="0"/>
    </xf>
    <xf numFmtId="2" fontId="7" fillId="0" borderId="17" xfId="0" applyNumberFormat="1" applyFont="1" applyBorder="1" applyAlignment="1" applyProtection="1">
      <alignment horizontal="center" vertical="center"/>
      <protection locked="0"/>
    </xf>
    <xf numFmtId="2" fontId="7" fillId="0" borderId="3" xfId="0" applyNumberFormat="1" applyFont="1" applyBorder="1" applyAlignment="1" applyProtection="1">
      <alignment horizontal="center" vertical="center"/>
      <protection locked="0"/>
    </xf>
    <xf numFmtId="2" fontId="7" fillId="0" borderId="5" xfId="0" applyNumberFormat="1" applyFont="1" applyBorder="1" applyAlignment="1" applyProtection="1">
      <alignment horizontal="center" vertical="center"/>
      <protection locked="0"/>
    </xf>
    <xf numFmtId="2" fontId="7" fillId="0" borderId="20" xfId="0" applyNumberFormat="1" applyFont="1" applyBorder="1" applyAlignment="1" applyProtection="1">
      <alignment horizontal="center" vertical="center"/>
      <protection locked="0"/>
    </xf>
    <xf numFmtId="2" fontId="7" fillId="0" borderId="12" xfId="0" applyNumberFormat="1" applyFont="1" applyBorder="1" applyAlignment="1" applyProtection="1">
      <alignment horizontal="center" vertical="center"/>
      <protection locked="0"/>
    </xf>
    <xf numFmtId="0" fontId="9" fillId="0" borderId="33" xfId="0" applyFont="1" applyBorder="1" applyAlignment="1" applyProtection="1">
      <alignment horizontal="left" vertical="center" wrapText="1"/>
      <protection locked="0"/>
    </xf>
    <xf numFmtId="0" fontId="9" fillId="0" borderId="47" xfId="0" applyFont="1" applyBorder="1" applyAlignment="1" applyProtection="1">
      <alignment horizontal="left" vertical="center" wrapText="1"/>
      <protection locked="0"/>
    </xf>
    <xf numFmtId="0" fontId="9" fillId="0" borderId="31" xfId="0" applyFont="1" applyBorder="1" applyAlignment="1" applyProtection="1">
      <alignment horizontal="left" vertical="center" wrapText="1"/>
      <protection locked="0"/>
    </xf>
    <xf numFmtId="0" fontId="9" fillId="0" borderId="6" xfId="0" applyFont="1" applyBorder="1" applyAlignment="1" applyProtection="1">
      <alignment horizontal="left" vertical="center" wrapText="1"/>
      <protection locked="0"/>
    </xf>
    <xf numFmtId="0" fontId="7" fillId="2" borderId="5" xfId="0" applyFont="1" applyFill="1" applyBorder="1" applyAlignment="1">
      <alignment horizontal="center" vertical="center"/>
    </xf>
    <xf numFmtId="0" fontId="7" fillId="23" borderId="4" xfId="0" applyFont="1" applyFill="1" applyBorder="1" applyAlignment="1">
      <alignment horizontal="left" vertical="center"/>
    </xf>
    <xf numFmtId="0" fontId="7" fillId="23" borderId="76" xfId="0" applyFont="1" applyFill="1" applyBorder="1" applyAlignment="1">
      <alignment horizontal="left" vertical="center"/>
    </xf>
    <xf numFmtId="0" fontId="7" fillId="23" borderId="5" xfId="0" applyFont="1" applyFill="1" applyBorder="1" applyAlignment="1">
      <alignment horizontal="left" vertical="center"/>
    </xf>
    <xf numFmtId="0" fontId="7" fillId="2" borderId="19" xfId="0" applyFont="1" applyFill="1" applyBorder="1" applyAlignment="1">
      <alignment horizontal="center" vertical="center"/>
    </xf>
    <xf numFmtId="2" fontId="2" fillId="2" borderId="57" xfId="0" applyNumberFormat="1" applyFont="1" applyFill="1" applyBorder="1" applyAlignment="1">
      <alignment horizontal="center" vertical="center"/>
    </xf>
    <xf numFmtId="0" fontId="12" fillId="0" borderId="0" xfId="0" applyFont="1" applyAlignment="1">
      <alignment horizontal="center" vertical="center"/>
    </xf>
    <xf numFmtId="0" fontId="12" fillId="0" borderId="0" xfId="0" applyFont="1" applyAlignment="1">
      <alignment horizontal="left" vertical="center"/>
    </xf>
    <xf numFmtId="0" fontId="4" fillId="30" borderId="1" xfId="0" applyFont="1" applyFill="1" applyBorder="1" applyAlignment="1">
      <alignment horizontal="left"/>
    </xf>
    <xf numFmtId="0" fontId="3" fillId="30" borderId="1" xfId="0" applyFont="1" applyFill="1" applyBorder="1" applyAlignment="1">
      <alignment horizontal="left" vertical="top" wrapText="1" indent="2"/>
    </xf>
    <xf numFmtId="0" fontId="12" fillId="6" borderId="21" xfId="0" applyFont="1" applyFill="1" applyBorder="1" applyAlignment="1">
      <alignment horizontal="left" vertical="center" wrapText="1"/>
    </xf>
    <xf numFmtId="0" fontId="0" fillId="0" borderId="15" xfId="0" applyBorder="1" applyAlignment="1">
      <alignment horizontal="center" wrapText="1"/>
    </xf>
    <xf numFmtId="0" fontId="2" fillId="4" borderId="28" xfId="0" applyFont="1" applyFill="1" applyBorder="1" applyAlignment="1">
      <alignment horizontal="center" wrapText="1"/>
    </xf>
    <xf numFmtId="0" fontId="7" fillId="0" borderId="33" xfId="0" applyFont="1" applyBorder="1" applyAlignment="1">
      <alignment horizontal="center" vertical="center" wrapText="1"/>
    </xf>
    <xf numFmtId="0" fontId="7" fillId="0" borderId="34" xfId="0" quotePrefix="1" applyFont="1" applyBorder="1" applyAlignment="1">
      <alignment horizontal="center" vertical="center" wrapText="1"/>
    </xf>
    <xf numFmtId="0" fontId="7" fillId="0" borderId="78" xfId="0" applyFont="1" applyBorder="1" applyAlignment="1">
      <alignment horizontal="center" vertical="center" wrapText="1"/>
    </xf>
    <xf numFmtId="0" fontId="22" fillId="30" borderId="28" xfId="0" applyFont="1" applyFill="1" applyBorder="1" applyAlignment="1">
      <alignment horizontal="center" vertical="center" wrapText="1"/>
    </xf>
    <xf numFmtId="0" fontId="2" fillId="4" borderId="45" xfId="0" applyFont="1" applyFill="1" applyBorder="1" applyAlignment="1">
      <alignment horizontal="center" vertical="center" wrapText="1"/>
    </xf>
    <xf numFmtId="0" fontId="22" fillId="30" borderId="45" xfId="0" applyFont="1" applyFill="1" applyBorder="1" applyAlignment="1">
      <alignment horizontal="center" vertical="center" wrapText="1"/>
    </xf>
    <xf numFmtId="0" fontId="0" fillId="0" borderId="56" xfId="0" applyBorder="1" applyAlignment="1">
      <alignment horizontal="center" vertical="center" wrapText="1"/>
    </xf>
    <xf numFmtId="0" fontId="0" fillId="0" borderId="47" xfId="0" applyBorder="1" applyAlignment="1">
      <alignment horizontal="center" vertical="center" wrapText="1"/>
    </xf>
    <xf numFmtId="0" fontId="7" fillId="0" borderId="72" xfId="0" quotePrefix="1" applyFont="1" applyBorder="1" applyAlignment="1">
      <alignment horizontal="center" vertical="center" wrapText="1"/>
    </xf>
    <xf numFmtId="0" fontId="22" fillId="30" borderId="8" xfId="0" applyFont="1" applyFill="1" applyBorder="1" applyAlignment="1">
      <alignment horizontal="center" vertical="center" wrapText="1"/>
    </xf>
    <xf numFmtId="0" fontId="2" fillId="28" borderId="11" xfId="0" applyFont="1" applyFill="1" applyBorder="1" applyAlignment="1">
      <alignment horizontal="center" vertical="center" wrapText="1"/>
    </xf>
    <xf numFmtId="0" fontId="2" fillId="29" borderId="12" xfId="0" applyFont="1" applyFill="1" applyBorder="1" applyAlignment="1">
      <alignment horizontal="center" vertical="center" wrapText="1"/>
    </xf>
    <xf numFmtId="0" fontId="2" fillId="27" borderId="12" xfId="0" applyFont="1" applyFill="1" applyBorder="1" applyAlignment="1">
      <alignment horizontal="center" vertical="center" wrapText="1"/>
    </xf>
    <xf numFmtId="0" fontId="2" fillId="10" borderId="12" xfId="0" applyFont="1" applyFill="1" applyBorder="1" applyAlignment="1">
      <alignment horizontal="center" vertical="center" wrapText="1"/>
    </xf>
    <xf numFmtId="0" fontId="2" fillId="0" borderId="44" xfId="0" applyFont="1" applyBorder="1" applyAlignment="1">
      <alignment horizontal="center" vertical="center" wrapText="1"/>
    </xf>
    <xf numFmtId="2" fontId="7" fillId="0" borderId="0" xfId="0" quotePrefix="1" applyNumberFormat="1" applyFont="1" applyAlignment="1">
      <alignment horizontal="center"/>
    </xf>
    <xf numFmtId="2" fontId="13" fillId="0" borderId="0" xfId="0" applyNumberFormat="1" applyFont="1" applyAlignment="1">
      <alignment horizontal="left"/>
    </xf>
    <xf numFmtId="2" fontId="0" fillId="0" borderId="0" xfId="0" applyNumberFormat="1" applyAlignment="1">
      <alignment horizontal="center"/>
    </xf>
    <xf numFmtId="0" fontId="0" fillId="0" borderId="40" xfId="0" applyBorder="1" applyAlignment="1">
      <alignment horizontal="center"/>
    </xf>
    <xf numFmtId="0" fontId="7" fillId="2" borderId="77" xfId="0" applyFont="1" applyFill="1" applyBorder="1" applyAlignment="1">
      <alignment horizontal="center" vertical="center"/>
    </xf>
    <xf numFmtId="0" fontId="7" fillId="2" borderId="17" xfId="0" applyFont="1" applyFill="1" applyBorder="1" applyAlignment="1">
      <alignment horizontal="center" vertical="center"/>
    </xf>
    <xf numFmtId="0" fontId="2" fillId="15" borderId="21" xfId="0" applyFont="1" applyFill="1" applyBorder="1" applyAlignment="1">
      <alignment vertical="center"/>
    </xf>
    <xf numFmtId="0" fontId="2" fillId="13" borderId="21" xfId="0" applyFont="1" applyFill="1" applyBorder="1" applyAlignment="1">
      <alignment vertical="center"/>
    </xf>
    <xf numFmtId="0" fontId="2" fillId="17" borderId="21" xfId="0" applyFont="1" applyFill="1" applyBorder="1" applyAlignment="1">
      <alignment vertical="center"/>
    </xf>
    <xf numFmtId="0" fontId="2" fillId="9" borderId="21" xfId="0" applyFont="1" applyFill="1" applyBorder="1" applyAlignment="1">
      <alignment vertical="center"/>
    </xf>
    <xf numFmtId="0" fontId="2" fillId="22" borderId="21" xfId="0" applyFont="1" applyFill="1" applyBorder="1" applyAlignment="1">
      <alignment horizontal="left" vertical="center"/>
    </xf>
    <xf numFmtId="0" fontId="7" fillId="2" borderId="79" xfId="0" applyFont="1" applyFill="1" applyBorder="1" applyAlignment="1">
      <alignment horizontal="center" vertical="center"/>
    </xf>
    <xf numFmtId="0" fontId="12" fillId="0" borderId="0" xfId="0" applyFont="1"/>
    <xf numFmtId="0" fontId="7" fillId="2" borderId="14" xfId="0" applyFont="1" applyFill="1" applyBorder="1" applyAlignment="1">
      <alignment horizontal="center" vertical="center"/>
    </xf>
    <xf numFmtId="0" fontId="0" fillId="0" borderId="74" xfId="0" applyBorder="1" applyAlignment="1" applyProtection="1">
      <alignment horizontal="center" vertical="top"/>
      <protection locked="0"/>
    </xf>
    <xf numFmtId="0" fontId="0" fillId="2" borderId="57" xfId="0" applyFill="1" applyBorder="1" applyAlignment="1">
      <alignment horizontal="center" vertical="top"/>
    </xf>
    <xf numFmtId="0" fontId="2" fillId="32" borderId="40" xfId="0" applyFont="1" applyFill="1" applyBorder="1" applyAlignment="1">
      <alignment horizontal="left" vertical="center" wrapText="1"/>
    </xf>
    <xf numFmtId="0" fontId="2" fillId="32" borderId="23" xfId="0" applyFont="1" applyFill="1" applyBorder="1" applyAlignment="1">
      <alignment horizontal="left" vertical="center"/>
    </xf>
    <xf numFmtId="0" fontId="2" fillId="24" borderId="41" xfId="0" applyFont="1" applyFill="1" applyBorder="1" applyAlignment="1">
      <alignment vertical="top" wrapText="1"/>
    </xf>
    <xf numFmtId="0" fontId="2" fillId="24" borderId="67" xfId="0" applyFont="1" applyFill="1" applyBorder="1" applyAlignment="1">
      <alignment vertical="top" wrapText="1"/>
    </xf>
    <xf numFmtId="0" fontId="6" fillId="33" borderId="56" xfId="0" applyFont="1" applyFill="1" applyBorder="1" applyAlignment="1" applyProtection="1">
      <alignment vertical="top" wrapText="1"/>
      <protection locked="0"/>
    </xf>
    <xf numFmtId="0" fontId="2" fillId="33" borderId="49" xfId="0" applyFont="1" applyFill="1" applyBorder="1" applyAlignment="1">
      <alignment vertical="top"/>
    </xf>
    <xf numFmtId="0" fontId="6" fillId="33" borderId="64" xfId="0" applyFont="1" applyFill="1" applyBorder="1" applyAlignment="1" applyProtection="1">
      <alignment vertical="top" wrapText="1"/>
      <protection locked="0"/>
    </xf>
    <xf numFmtId="0" fontId="6" fillId="33" borderId="71" xfId="0" applyFont="1" applyFill="1" applyBorder="1" applyAlignment="1" applyProtection="1">
      <alignment vertical="top" wrapText="1"/>
      <protection locked="0"/>
    </xf>
    <xf numFmtId="0" fontId="6" fillId="33" borderId="74" xfId="0" applyFont="1" applyFill="1" applyBorder="1" applyAlignment="1" applyProtection="1">
      <alignment vertical="top" wrapText="1"/>
      <protection locked="0"/>
    </xf>
    <xf numFmtId="0" fontId="7" fillId="32" borderId="27" xfId="0" applyFont="1" applyFill="1" applyBorder="1" applyAlignment="1">
      <alignment vertical="center"/>
    </xf>
    <xf numFmtId="2" fontId="7" fillId="32" borderId="27" xfId="0" applyNumberFormat="1" applyFont="1" applyFill="1" applyBorder="1" applyAlignment="1">
      <alignment horizontal="center" vertical="center"/>
    </xf>
    <xf numFmtId="0" fontId="7" fillId="32" borderId="15" xfId="0" applyFont="1" applyFill="1" applyBorder="1" applyAlignment="1">
      <alignment horizontal="center" vertical="center"/>
    </xf>
    <xf numFmtId="0" fontId="7" fillId="24" borderId="14" xfId="0" applyFont="1" applyFill="1" applyBorder="1" applyAlignment="1">
      <alignment horizontal="right" vertical="center"/>
    </xf>
    <xf numFmtId="0" fontId="7" fillId="2" borderId="15" xfId="0" applyFont="1" applyFill="1" applyBorder="1" applyAlignment="1">
      <alignment vertical="center"/>
    </xf>
    <xf numFmtId="0" fontId="7" fillId="24" borderId="4" xfId="0" applyFont="1" applyFill="1" applyBorder="1" applyAlignment="1">
      <alignment horizontal="left" vertical="center" wrapText="1"/>
    </xf>
    <xf numFmtId="0" fontId="7" fillId="24" borderId="17" xfId="0" applyFont="1" applyFill="1" applyBorder="1" applyAlignment="1">
      <alignment horizontal="left" vertical="center" wrapText="1"/>
    </xf>
    <xf numFmtId="0" fontId="7" fillId="24" borderId="20" xfId="0" applyFont="1" applyFill="1" applyBorder="1" applyAlignment="1">
      <alignment horizontal="left" vertical="center" wrapText="1"/>
    </xf>
    <xf numFmtId="0" fontId="2" fillId="32" borderId="16" xfId="0" applyFont="1" applyFill="1" applyBorder="1" applyAlignment="1">
      <alignment horizontal="left" vertical="center" wrapText="1"/>
    </xf>
    <xf numFmtId="0" fontId="0" fillId="3" borderId="68" xfId="0" applyFill="1" applyBorder="1" applyAlignment="1">
      <alignment horizontal="center"/>
    </xf>
    <xf numFmtId="0" fontId="6" fillId="10" borderId="66" xfId="0" applyFont="1" applyFill="1" applyBorder="1" applyAlignment="1">
      <alignment horizontal="center" vertical="center"/>
    </xf>
    <xf numFmtId="0" fontId="6" fillId="33" borderId="22" xfId="0" applyFont="1" applyFill="1" applyBorder="1" applyAlignment="1">
      <alignment vertical="top" wrapText="1"/>
    </xf>
    <xf numFmtId="0" fontId="6" fillId="33" borderId="22" xfId="0" applyFont="1" applyFill="1" applyBorder="1"/>
    <xf numFmtId="0" fontId="7" fillId="0" borderId="0" xfId="0" applyFont="1" applyAlignment="1">
      <alignment vertical="top"/>
    </xf>
    <xf numFmtId="0" fontId="0" fillId="0" borderId="66" xfId="0" applyBorder="1"/>
    <xf numFmtId="0" fontId="2" fillId="8" borderId="38" xfId="0" applyFont="1" applyFill="1" applyBorder="1" applyAlignment="1">
      <alignment horizontal="left" vertical="center"/>
    </xf>
    <xf numFmtId="2" fontId="0" fillId="30" borderId="30" xfId="0" applyNumberFormat="1" applyFill="1" applyBorder="1" applyAlignment="1">
      <alignment horizontal="center" vertical="center"/>
    </xf>
    <xf numFmtId="0" fontId="2" fillId="30" borderId="18" xfId="0" applyFont="1" applyFill="1" applyBorder="1" applyAlignment="1">
      <alignment horizontal="center" vertical="center"/>
    </xf>
    <xf numFmtId="2" fontId="0" fillId="30" borderId="33" xfId="0" applyNumberFormat="1" applyFill="1" applyBorder="1" applyAlignment="1">
      <alignment horizontal="center" vertical="center"/>
    </xf>
    <xf numFmtId="0" fontId="2" fillId="30" borderId="12" xfId="0" applyFont="1" applyFill="1" applyBorder="1" applyAlignment="1">
      <alignment horizontal="center" vertical="center"/>
    </xf>
    <xf numFmtId="2" fontId="0" fillId="30" borderId="59" xfId="0" applyNumberFormat="1" applyFill="1" applyBorder="1" applyAlignment="1">
      <alignment horizontal="center" vertical="center"/>
    </xf>
    <xf numFmtId="2" fontId="0" fillId="30" borderId="34" xfId="0" applyNumberFormat="1" applyFill="1" applyBorder="1" applyAlignment="1">
      <alignment horizontal="center" vertical="center"/>
    </xf>
    <xf numFmtId="0" fontId="2" fillId="30" borderId="44" xfId="0" applyFont="1" applyFill="1" applyBorder="1" applyAlignment="1">
      <alignment horizontal="center" vertical="center"/>
    </xf>
    <xf numFmtId="2" fontId="6" fillId="4" borderId="4" xfId="0" applyNumberFormat="1" applyFont="1" applyFill="1" applyBorder="1" applyAlignment="1">
      <alignment horizontal="center" vertical="center"/>
    </xf>
    <xf numFmtId="2" fontId="6" fillId="4" borderId="3" xfId="0" applyNumberFormat="1" applyFont="1" applyFill="1" applyBorder="1" applyAlignment="1">
      <alignment horizontal="center" vertical="center"/>
    </xf>
    <xf numFmtId="2" fontId="6" fillId="4" borderId="52" xfId="0" applyNumberFormat="1" applyFont="1" applyFill="1" applyBorder="1" applyAlignment="1">
      <alignment horizontal="center" vertical="center"/>
    </xf>
    <xf numFmtId="0" fontId="2" fillId="2" borderId="54" xfId="0" applyFont="1" applyFill="1" applyBorder="1" applyAlignment="1">
      <alignment vertical="center"/>
    </xf>
    <xf numFmtId="0" fontId="2" fillId="5" borderId="57" xfId="0" applyFont="1" applyFill="1" applyBorder="1" applyAlignment="1" applyProtection="1">
      <alignment horizontal="center" vertical="center"/>
      <protection locked="0"/>
    </xf>
    <xf numFmtId="0" fontId="11" fillId="5" borderId="57" xfId="0" applyFont="1" applyFill="1" applyBorder="1" applyAlignment="1" applyProtection="1">
      <alignment horizontal="left" vertical="center" wrapText="1"/>
      <protection locked="0"/>
    </xf>
    <xf numFmtId="0" fontId="11" fillId="5" borderId="58" xfId="0" applyFont="1" applyFill="1" applyBorder="1" applyAlignment="1" applyProtection="1">
      <alignment horizontal="left" vertical="center" wrapText="1"/>
      <protection locked="0"/>
    </xf>
    <xf numFmtId="0" fontId="2" fillId="4" borderId="25" xfId="0" applyFont="1" applyFill="1" applyBorder="1" applyAlignment="1">
      <alignment vertical="center"/>
    </xf>
    <xf numFmtId="0" fontId="2" fillId="4" borderId="24" xfId="0" applyFont="1" applyFill="1" applyBorder="1"/>
    <xf numFmtId="0" fontId="8" fillId="30" borderId="38" xfId="0" applyFont="1" applyFill="1" applyBorder="1" applyAlignment="1">
      <alignment horizontal="center" vertical="center"/>
    </xf>
    <xf numFmtId="0" fontId="8" fillId="30" borderId="42" xfId="0" applyFont="1" applyFill="1" applyBorder="1" applyAlignment="1">
      <alignment horizontal="center" vertical="center"/>
    </xf>
    <xf numFmtId="0" fontId="8" fillId="30" borderId="53" xfId="0" applyFont="1" applyFill="1" applyBorder="1" applyAlignment="1">
      <alignment horizontal="center" vertical="center"/>
    </xf>
    <xf numFmtId="2" fontId="7" fillId="30" borderId="31" xfId="0" applyNumberFormat="1" applyFont="1" applyFill="1" applyBorder="1" applyAlignment="1">
      <alignment horizontal="center" vertical="center"/>
    </xf>
    <xf numFmtId="0" fontId="7" fillId="30" borderId="4" xfId="0" applyFont="1" applyFill="1" applyBorder="1" applyAlignment="1">
      <alignment horizontal="center" vertical="center"/>
    </xf>
    <xf numFmtId="0" fontId="7" fillId="30" borderId="10" xfId="0" applyFont="1" applyFill="1" applyBorder="1" applyAlignment="1">
      <alignment horizontal="center" vertical="center"/>
    </xf>
    <xf numFmtId="2" fontId="7" fillId="30" borderId="6" xfId="0" applyNumberFormat="1" applyFont="1" applyFill="1" applyBorder="1" applyAlignment="1">
      <alignment horizontal="center" vertical="center"/>
    </xf>
    <xf numFmtId="0" fontId="7" fillId="30" borderId="19" xfId="0" applyFont="1" applyFill="1" applyBorder="1" applyAlignment="1">
      <alignment horizontal="center" vertical="center"/>
    </xf>
    <xf numFmtId="0" fontId="7" fillId="30" borderId="12" xfId="0" applyFont="1" applyFill="1" applyBorder="1" applyAlignment="1">
      <alignment horizontal="center" vertical="center"/>
    </xf>
    <xf numFmtId="0" fontId="7" fillId="30" borderId="3" xfId="0" applyFont="1" applyFill="1" applyBorder="1" applyAlignment="1">
      <alignment horizontal="center" vertical="center"/>
    </xf>
    <xf numFmtId="2" fontId="7" fillId="30" borderId="7" xfId="0" applyNumberFormat="1" applyFont="1" applyFill="1" applyBorder="1" applyAlignment="1">
      <alignment horizontal="center" vertical="center"/>
    </xf>
    <xf numFmtId="0" fontId="7" fillId="30" borderId="48" xfId="0" applyFont="1" applyFill="1" applyBorder="1" applyAlignment="1">
      <alignment horizontal="center" vertical="center"/>
    </xf>
    <xf numFmtId="2" fontId="7" fillId="30" borderId="77" xfId="0" quotePrefix="1" applyNumberFormat="1" applyFont="1" applyFill="1" applyBorder="1" applyAlignment="1">
      <alignment horizontal="center"/>
    </xf>
    <xf numFmtId="0" fontId="7" fillId="30" borderId="15" xfId="0" applyFont="1" applyFill="1" applyBorder="1" applyAlignment="1">
      <alignment horizontal="center" vertical="center"/>
    </xf>
    <xf numFmtId="0" fontId="2" fillId="30" borderId="25" xfId="0" applyFont="1" applyFill="1" applyBorder="1" applyAlignment="1">
      <alignment vertical="center"/>
    </xf>
    <xf numFmtId="0" fontId="2" fillId="30" borderId="27" xfId="0" applyFont="1" applyFill="1" applyBorder="1" applyAlignment="1">
      <alignment vertical="center"/>
    </xf>
    <xf numFmtId="2" fontId="7" fillId="30" borderId="17" xfId="0" applyNumberFormat="1" applyFont="1" applyFill="1" applyBorder="1" applyAlignment="1">
      <alignment horizontal="center" vertical="center"/>
    </xf>
    <xf numFmtId="0" fontId="7" fillId="30" borderId="9" xfId="0" applyFont="1" applyFill="1" applyBorder="1" applyAlignment="1">
      <alignment horizontal="center" vertical="center"/>
    </xf>
    <xf numFmtId="2" fontId="7" fillId="30" borderId="3" xfId="0" applyNumberFormat="1" applyFont="1" applyFill="1" applyBorder="1" applyAlignment="1">
      <alignment horizontal="center" vertical="center"/>
    </xf>
    <xf numFmtId="2" fontId="7" fillId="30" borderId="5" xfId="0" applyNumberFormat="1" applyFont="1" applyFill="1" applyBorder="1" applyAlignment="1">
      <alignment horizontal="center" vertical="center"/>
    </xf>
    <xf numFmtId="2" fontId="7" fillId="30" borderId="0" xfId="0" quotePrefix="1" applyNumberFormat="1" applyFont="1" applyFill="1" applyAlignment="1">
      <alignment horizontal="center"/>
    </xf>
    <xf numFmtId="0" fontId="7" fillId="30" borderId="77" xfId="0" applyFont="1" applyFill="1" applyBorder="1" applyAlignment="1">
      <alignment horizontal="center" vertical="center"/>
    </xf>
    <xf numFmtId="0" fontId="7" fillId="30" borderId="76" xfId="0" applyFont="1" applyFill="1" applyBorder="1" applyAlignment="1">
      <alignment horizontal="center" vertical="center"/>
    </xf>
    <xf numFmtId="0" fontId="7" fillId="30" borderId="36" xfId="0" applyFont="1" applyFill="1" applyBorder="1" applyAlignment="1">
      <alignment horizontal="center" vertical="center"/>
    </xf>
    <xf numFmtId="0" fontId="7" fillId="30" borderId="5" xfId="0" applyFont="1" applyFill="1" applyBorder="1" applyAlignment="1">
      <alignment horizontal="center" vertical="center"/>
    </xf>
    <xf numFmtId="0" fontId="7" fillId="30" borderId="17" xfId="0" applyFont="1" applyFill="1" applyBorder="1" applyAlignment="1">
      <alignment horizontal="center" vertical="center"/>
    </xf>
    <xf numFmtId="2" fontId="7" fillId="30" borderId="40" xfId="0" quotePrefix="1" applyNumberFormat="1" applyFont="1" applyFill="1" applyBorder="1" applyAlignment="1">
      <alignment horizontal="center"/>
    </xf>
    <xf numFmtId="0" fontId="7" fillId="30" borderId="27" xfId="0" applyFont="1" applyFill="1" applyBorder="1" applyAlignment="1">
      <alignment horizontal="center" vertical="center"/>
    </xf>
    <xf numFmtId="2" fontId="7" fillId="30" borderId="10" xfId="0" quotePrefix="1" applyNumberFormat="1" applyFont="1" applyFill="1" applyBorder="1" applyAlignment="1">
      <alignment horizontal="center"/>
    </xf>
    <xf numFmtId="2" fontId="7" fillId="30" borderId="60" xfId="0" quotePrefix="1" applyNumberFormat="1" applyFont="1" applyFill="1" applyBorder="1" applyAlignment="1">
      <alignment horizontal="center"/>
    </xf>
    <xf numFmtId="2" fontId="7" fillId="30" borderId="13" xfId="0" quotePrefix="1" applyNumberFormat="1" applyFont="1" applyFill="1" applyBorder="1" applyAlignment="1">
      <alignment horizontal="center"/>
    </xf>
    <xf numFmtId="2" fontId="2" fillId="30" borderId="25" xfId="0" applyNumberFormat="1" applyFont="1" applyFill="1" applyBorder="1" applyAlignment="1">
      <alignment horizontal="left" vertical="center"/>
    </xf>
    <xf numFmtId="0" fontId="2" fillId="30" borderId="25" xfId="0" applyFont="1" applyFill="1" applyBorder="1" applyAlignment="1">
      <alignment horizontal="left" vertical="center"/>
    </xf>
    <xf numFmtId="2" fontId="7" fillId="30" borderId="19" xfId="0" applyNumberFormat="1" applyFont="1" applyFill="1" applyBorder="1" applyAlignment="1">
      <alignment horizontal="center" vertical="center"/>
    </xf>
    <xf numFmtId="0" fontId="7" fillId="30" borderId="1" xfId="0" applyFont="1" applyFill="1" applyBorder="1" applyAlignment="1">
      <alignment horizontal="center" vertical="center"/>
    </xf>
    <xf numFmtId="0" fontId="2" fillId="4" borderId="24" xfId="0" applyFont="1" applyFill="1" applyBorder="1" applyAlignment="1">
      <alignment horizontal="left" vertical="center"/>
    </xf>
    <xf numFmtId="14" fontId="2" fillId="4" borderId="21" xfId="0" quotePrefix="1" applyNumberFormat="1" applyFont="1" applyFill="1" applyBorder="1" applyAlignment="1">
      <alignment horizontal="left" vertical="center"/>
    </xf>
    <xf numFmtId="0" fontId="2" fillId="4" borderId="24" xfId="0" applyFont="1" applyFill="1" applyBorder="1" applyAlignment="1">
      <alignment horizontal="center" vertical="center"/>
    </xf>
    <xf numFmtId="0" fontId="16" fillId="4" borderId="24" xfId="0" applyFont="1" applyFill="1" applyBorder="1" applyAlignment="1">
      <alignment horizontal="left"/>
    </xf>
    <xf numFmtId="0" fontId="21" fillId="4" borderId="21" xfId="0" applyFont="1" applyFill="1" applyBorder="1"/>
    <xf numFmtId="0" fontId="0" fillId="4" borderId="0" xfId="0" applyFill="1" applyAlignment="1">
      <alignment horizontal="center"/>
    </xf>
    <xf numFmtId="0" fontId="0" fillId="4" borderId="24" xfId="0" applyFill="1" applyBorder="1"/>
    <xf numFmtId="0" fontId="0" fillId="4" borderId="25" xfId="0" applyFill="1" applyBorder="1"/>
    <xf numFmtId="0" fontId="18" fillId="4" borderId="22" xfId="0" applyFont="1" applyFill="1" applyBorder="1" applyAlignment="1">
      <alignment horizontal="center"/>
    </xf>
    <xf numFmtId="0" fontId="2" fillId="4" borderId="8" xfId="0" applyFont="1" applyFill="1" applyBorder="1" applyAlignment="1">
      <alignment horizontal="center" vertical="center"/>
    </xf>
    <xf numFmtId="0" fontId="6" fillId="4" borderId="22" xfId="0" applyFont="1" applyFill="1" applyBorder="1" applyAlignment="1">
      <alignment vertical="center"/>
    </xf>
    <xf numFmtId="0" fontId="6" fillId="30" borderId="22" xfId="0" applyFont="1" applyFill="1" applyBorder="1" applyAlignment="1">
      <alignment vertical="center"/>
    </xf>
    <xf numFmtId="0" fontId="6" fillId="30" borderId="35" xfId="0" applyFont="1" applyFill="1" applyBorder="1" applyAlignment="1">
      <alignment vertical="center"/>
    </xf>
    <xf numFmtId="0" fontId="6" fillId="30" borderId="22" xfId="0" applyFont="1" applyFill="1" applyBorder="1" applyAlignment="1">
      <alignment vertical="top" wrapText="1"/>
    </xf>
    <xf numFmtId="0" fontId="18" fillId="30" borderId="22" xfId="0" applyFont="1" applyFill="1" applyBorder="1" applyAlignment="1">
      <alignment vertical="center"/>
    </xf>
    <xf numFmtId="0" fontId="6" fillId="30" borderId="22" xfId="0" applyFont="1" applyFill="1" applyBorder="1"/>
    <xf numFmtId="0" fontId="6" fillId="30" borderId="22" xfId="0" applyFont="1" applyFill="1" applyBorder="1" applyAlignment="1">
      <alignment horizontal="left" vertical="center" wrapText="1"/>
    </xf>
    <xf numFmtId="0" fontId="17" fillId="30" borderId="22" xfId="0" applyFont="1" applyFill="1" applyBorder="1" applyAlignment="1">
      <alignment vertical="center"/>
    </xf>
    <xf numFmtId="0" fontId="6" fillId="30" borderId="47" xfId="0" applyFont="1" applyFill="1" applyBorder="1"/>
    <xf numFmtId="0" fontId="6" fillId="30" borderId="63" xfId="0" applyFont="1" applyFill="1" applyBorder="1"/>
    <xf numFmtId="0" fontId="6" fillId="30" borderId="22" xfId="0" applyFont="1" applyFill="1" applyBorder="1" applyAlignment="1">
      <alignment vertical="top"/>
    </xf>
    <xf numFmtId="0" fontId="6" fillId="30" borderId="47" xfId="0" applyFont="1" applyFill="1" applyBorder="1" applyAlignment="1">
      <alignment vertical="top"/>
    </xf>
    <xf numFmtId="0" fontId="4" fillId="30" borderId="2" xfId="0" applyFont="1" applyFill="1" applyBorder="1" applyAlignment="1">
      <alignment horizontal="left" vertical="top"/>
    </xf>
    <xf numFmtId="0" fontId="7" fillId="0" borderId="2" xfId="0" applyFont="1" applyBorder="1" applyAlignment="1">
      <alignment horizontal="center" vertical="top"/>
    </xf>
    <xf numFmtId="0" fontId="2" fillId="2" borderId="22" xfId="0" applyFont="1" applyFill="1" applyBorder="1" applyAlignment="1">
      <alignment horizontal="center" vertical="center"/>
    </xf>
    <xf numFmtId="0" fontId="12" fillId="6" borderId="8" xfId="0" applyFont="1" applyFill="1" applyBorder="1" applyAlignment="1">
      <alignment horizontal="center" vertical="center"/>
    </xf>
    <xf numFmtId="0" fontId="3" fillId="0" borderId="58" xfId="0" applyFont="1" applyBorder="1" applyAlignment="1">
      <alignment horizontal="left" vertical="top" wrapText="1" indent="2"/>
    </xf>
    <xf numFmtId="0" fontId="0" fillId="0" borderId="82" xfId="0" applyBorder="1" applyAlignment="1">
      <alignment horizontal="center" vertical="top"/>
    </xf>
    <xf numFmtId="0" fontId="3" fillId="0" borderId="83" xfId="0" applyFont="1" applyBorder="1" applyAlignment="1">
      <alignment horizontal="left" vertical="top" wrapText="1" indent="2"/>
    </xf>
    <xf numFmtId="0" fontId="2" fillId="24" borderId="31" xfId="0" applyFont="1" applyFill="1" applyBorder="1" applyAlignment="1">
      <alignment vertical="center"/>
    </xf>
    <xf numFmtId="0" fontId="2" fillId="23" borderId="31" xfId="0" applyFont="1" applyFill="1" applyBorder="1" applyAlignment="1">
      <alignment vertical="center"/>
    </xf>
    <xf numFmtId="0" fontId="2" fillId="20" borderId="31" xfId="0" applyFont="1" applyFill="1" applyBorder="1" applyAlignment="1">
      <alignment vertical="center"/>
    </xf>
    <xf numFmtId="0" fontId="2" fillId="16" borderId="0" xfId="0" applyFont="1" applyFill="1" applyAlignment="1">
      <alignment horizontal="left" vertical="center"/>
    </xf>
    <xf numFmtId="0" fontId="16" fillId="4" borderId="24" xfId="0" applyFont="1" applyFill="1" applyBorder="1" applyAlignment="1">
      <alignment vertical="center"/>
    </xf>
    <xf numFmtId="0" fontId="7" fillId="30" borderId="79" xfId="0" applyFont="1" applyFill="1" applyBorder="1" applyAlignment="1">
      <alignment horizontal="center" vertical="center"/>
    </xf>
    <xf numFmtId="0" fontId="0" fillId="4" borderId="2" xfId="0" applyFill="1" applyBorder="1"/>
    <xf numFmtId="0" fontId="7" fillId="0" borderId="10" xfId="0" applyFont="1" applyBorder="1" applyAlignment="1" applyProtection="1">
      <alignment vertical="center"/>
      <protection locked="0"/>
    </xf>
    <xf numFmtId="0" fontId="7" fillId="0" borderId="4" xfId="0" applyFont="1" applyBorder="1" applyAlignment="1" applyProtection="1">
      <alignment vertical="center"/>
      <protection locked="0"/>
    </xf>
    <xf numFmtId="0" fontId="7" fillId="0" borderId="9" xfId="0" applyFont="1" applyBorder="1" applyAlignment="1" applyProtection="1">
      <alignment vertical="center"/>
      <protection locked="0"/>
    </xf>
    <xf numFmtId="0" fontId="7" fillId="0" borderId="60" xfId="0" applyFont="1" applyBorder="1" applyAlignment="1" applyProtection="1">
      <alignment vertical="center"/>
      <protection locked="0"/>
    </xf>
    <xf numFmtId="0" fontId="7" fillId="0" borderId="17" xfId="0" applyFont="1" applyBorder="1" applyAlignment="1" applyProtection="1">
      <alignment vertical="center"/>
      <protection locked="0"/>
    </xf>
    <xf numFmtId="0" fontId="7" fillId="0" borderId="76" xfId="0" applyFont="1" applyBorder="1" applyAlignment="1" applyProtection="1">
      <alignment vertical="center"/>
      <protection locked="0"/>
    </xf>
    <xf numFmtId="0" fontId="7" fillId="0" borderId="13" xfId="0" applyFont="1" applyBorder="1" applyAlignment="1" applyProtection="1">
      <alignment vertical="center"/>
      <protection locked="0"/>
    </xf>
    <xf numFmtId="0" fontId="7" fillId="0" borderId="20" xfId="0" applyFont="1" applyBorder="1" applyAlignment="1" applyProtection="1">
      <alignment vertical="center"/>
      <protection locked="0"/>
    </xf>
    <xf numFmtId="0" fontId="7" fillId="0" borderId="5" xfId="0" applyFont="1" applyBorder="1" applyAlignment="1" applyProtection="1">
      <alignment vertical="center"/>
      <protection locked="0"/>
    </xf>
    <xf numFmtId="0" fontId="7" fillId="0" borderId="82" xfId="0" applyFont="1" applyBorder="1" applyAlignment="1">
      <alignment horizontal="center" vertical="top"/>
    </xf>
    <xf numFmtId="0" fontId="7" fillId="0" borderId="24" xfId="0" applyFont="1" applyBorder="1" applyAlignment="1" applyProtection="1">
      <alignment horizontal="left" vertical="top" wrapText="1"/>
      <protection locked="0"/>
    </xf>
    <xf numFmtId="0" fontId="7" fillId="0" borderId="25" xfId="0" applyFont="1" applyBorder="1" applyAlignment="1" applyProtection="1">
      <alignment horizontal="left" vertical="top" wrapText="1"/>
      <protection locked="0"/>
    </xf>
    <xf numFmtId="0" fontId="7" fillId="0" borderId="21" xfId="0" applyFont="1" applyBorder="1" applyAlignment="1" applyProtection="1">
      <alignment horizontal="left" vertical="top" wrapText="1"/>
      <protection locked="0"/>
    </xf>
    <xf numFmtId="0" fontId="2" fillId="2" borderId="24" xfId="0" applyFont="1" applyFill="1" applyBorder="1" applyAlignment="1">
      <alignment horizontal="center"/>
    </xf>
    <xf numFmtId="0" fontId="2" fillId="2" borderId="25" xfId="0" applyFont="1" applyFill="1" applyBorder="1" applyAlignment="1">
      <alignment horizontal="center"/>
    </xf>
    <xf numFmtId="0" fontId="2" fillId="2" borderId="21" xfId="0" applyFont="1" applyFill="1" applyBorder="1" applyAlignment="1">
      <alignment horizontal="center"/>
    </xf>
    <xf numFmtId="0" fontId="0" fillId="0" borderId="25"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23" xfId="0" applyBorder="1" applyAlignment="1" applyProtection="1">
      <alignment vertical="top"/>
      <protection locked="0"/>
    </xf>
    <xf numFmtId="0" fontId="0" fillId="0" borderId="40" xfId="0" applyBorder="1" applyAlignment="1" applyProtection="1">
      <alignment vertical="top"/>
      <protection locked="0"/>
    </xf>
    <xf numFmtId="0" fontId="0" fillId="0" borderId="10" xfId="0" applyBorder="1" applyAlignment="1" applyProtection="1">
      <alignment vertical="top"/>
      <protection locked="0"/>
    </xf>
    <xf numFmtId="0" fontId="0" fillId="0" borderId="25" xfId="0" applyBorder="1" applyAlignment="1">
      <alignment horizontal="center"/>
    </xf>
    <xf numFmtId="0" fontId="0" fillId="0" borderId="21" xfId="0" applyBorder="1" applyAlignment="1">
      <alignment horizontal="center"/>
    </xf>
    <xf numFmtId="0" fontId="20" fillId="0" borderId="25" xfId="0" applyFont="1" applyBorder="1" applyAlignment="1" applyProtection="1">
      <alignment horizontal="left" vertical="center"/>
      <protection locked="0"/>
    </xf>
    <xf numFmtId="0" fontId="20" fillId="0" borderId="21" xfId="0" applyFont="1" applyBorder="1" applyAlignment="1" applyProtection="1">
      <alignment horizontal="left" vertical="center"/>
      <protection locked="0"/>
    </xf>
    <xf numFmtId="0" fontId="22" fillId="0" borderId="25" xfId="0" applyFont="1" applyBorder="1" applyAlignment="1" applyProtection="1">
      <alignment horizontal="left"/>
      <protection locked="0"/>
    </xf>
    <xf numFmtId="0" fontId="22" fillId="0" borderId="21" xfId="0" applyFont="1" applyBorder="1" applyAlignment="1" applyProtection="1">
      <alignment horizontal="left"/>
      <protection locked="0"/>
    </xf>
    <xf numFmtId="14" fontId="2" fillId="0" borderId="45" xfId="0" quotePrefix="1" applyNumberFormat="1" applyFont="1" applyBorder="1" applyAlignment="1" applyProtection="1">
      <alignment horizontal="center" vertical="center"/>
      <protection locked="0"/>
    </xf>
    <xf numFmtId="14" fontId="2" fillId="0" borderId="28" xfId="0" applyNumberFormat="1" applyFont="1" applyBorder="1" applyAlignment="1" applyProtection="1">
      <alignment horizontal="center" vertical="center"/>
      <protection locked="0"/>
    </xf>
    <xf numFmtId="0" fontId="2" fillId="2" borderId="18" xfId="0" applyFont="1" applyFill="1" applyBorder="1" applyAlignment="1">
      <alignment horizontal="center" vertical="center"/>
    </xf>
    <xf numFmtId="0" fontId="2" fillId="2" borderId="60" xfId="0" applyFont="1" applyFill="1" applyBorder="1" applyAlignment="1">
      <alignment horizontal="center" vertical="center"/>
    </xf>
    <xf numFmtId="0" fontId="2" fillId="2" borderId="24" xfId="0" applyFont="1" applyFill="1" applyBorder="1" applyAlignment="1">
      <alignment horizontal="left"/>
    </xf>
    <xf numFmtId="0" fontId="2" fillId="2" borderId="25" xfId="0" applyFont="1" applyFill="1" applyBorder="1" applyAlignment="1">
      <alignment horizontal="left"/>
    </xf>
    <xf numFmtId="0" fontId="2" fillId="2" borderId="21" xfId="0" applyFont="1" applyFill="1" applyBorder="1" applyAlignment="1">
      <alignment horizontal="left"/>
    </xf>
    <xf numFmtId="0" fontId="19" fillId="25" borderId="31" xfId="0" applyFont="1" applyFill="1" applyBorder="1" applyAlignment="1">
      <alignment horizontal="left" vertical="center"/>
    </xf>
    <xf numFmtId="0" fontId="19" fillId="25" borderId="41" xfId="0" applyFont="1" applyFill="1" applyBorder="1" applyAlignment="1">
      <alignment horizontal="left" vertical="center"/>
    </xf>
    <xf numFmtId="0" fontId="19" fillId="13" borderId="6" xfId="0" applyFont="1" applyFill="1" applyBorder="1" applyAlignment="1">
      <alignment horizontal="left" vertical="center"/>
    </xf>
    <xf numFmtId="0" fontId="19" fillId="13" borderId="36" xfId="0" applyFont="1" applyFill="1" applyBorder="1" applyAlignment="1">
      <alignment horizontal="left" vertical="center"/>
    </xf>
    <xf numFmtId="0" fontId="19" fillId="17" borderId="6" xfId="0" applyFont="1" applyFill="1" applyBorder="1" applyAlignment="1">
      <alignment horizontal="left" vertical="center"/>
    </xf>
    <xf numFmtId="0" fontId="19" fillId="17" borderId="36" xfId="0" applyFont="1" applyFill="1" applyBorder="1" applyAlignment="1">
      <alignment horizontal="left" vertical="center"/>
    </xf>
    <xf numFmtId="0" fontId="19" fillId="9" borderId="6" xfId="0" applyFont="1" applyFill="1" applyBorder="1" applyAlignment="1">
      <alignment horizontal="left" vertical="center"/>
    </xf>
    <xf numFmtId="0" fontId="19" fillId="9" borderId="36" xfId="0" applyFont="1" applyFill="1" applyBorder="1" applyAlignment="1">
      <alignment horizontal="left" vertical="center"/>
    </xf>
    <xf numFmtId="0" fontId="19" fillId="22" borderId="32" xfId="0" applyFont="1" applyFill="1" applyBorder="1" applyAlignment="1">
      <alignment horizontal="left" vertical="center"/>
    </xf>
    <xf numFmtId="0" fontId="19" fillId="22" borderId="51" xfId="0" applyFont="1" applyFill="1" applyBorder="1" applyAlignment="1">
      <alignment horizontal="left" vertical="center"/>
    </xf>
    <xf numFmtId="0" fontId="2" fillId="2" borderId="23" xfId="0" applyFont="1" applyFill="1" applyBorder="1" applyAlignment="1">
      <alignment horizontal="left" vertical="center"/>
    </xf>
    <xf numFmtId="0" fontId="2" fillId="2" borderId="40" xfId="0" applyFont="1" applyFill="1" applyBorder="1" applyAlignment="1">
      <alignment horizontal="left" vertical="center"/>
    </xf>
    <xf numFmtId="0" fontId="2" fillId="2" borderId="16" xfId="0" applyFont="1" applyFill="1" applyBorder="1" applyAlignment="1">
      <alignment horizontal="left" vertical="center"/>
    </xf>
    <xf numFmtId="0" fontId="2" fillId="2" borderId="27" xfId="0" applyFont="1" applyFill="1" applyBorder="1" applyAlignment="1">
      <alignment horizontal="left" vertical="center"/>
    </xf>
    <xf numFmtId="0" fontId="2" fillId="2" borderId="37" xfId="0" applyFont="1" applyFill="1" applyBorder="1" applyAlignment="1">
      <alignment horizontal="center"/>
    </xf>
    <xf numFmtId="0" fontId="2" fillId="2" borderId="30" xfId="0" applyFont="1" applyFill="1" applyBorder="1" applyAlignment="1">
      <alignment horizontal="center"/>
    </xf>
    <xf numFmtId="0" fontId="19" fillId="32" borderId="6" xfId="0" applyFont="1" applyFill="1" applyBorder="1" applyAlignment="1">
      <alignment horizontal="left" vertical="center"/>
    </xf>
    <xf numFmtId="0" fontId="0" fillId="32" borderId="12" xfId="0" applyFill="1" applyBorder="1" applyAlignment="1">
      <alignment horizontal="left" vertical="center"/>
    </xf>
    <xf numFmtId="0" fontId="34" fillId="4" borderId="24" xfId="0" applyFont="1" applyFill="1" applyBorder="1" applyAlignment="1">
      <alignment horizontal="center" vertical="center"/>
    </xf>
    <xf numFmtId="0" fontId="0" fillId="0" borderId="25" xfId="0" applyBorder="1" applyAlignment="1">
      <alignment vertical="center"/>
    </xf>
    <xf numFmtId="0" fontId="0" fillId="0" borderId="21" xfId="0" applyBorder="1" applyAlignment="1">
      <alignment vertical="center"/>
    </xf>
    <xf numFmtId="0" fontId="20" fillId="4" borderId="25" xfId="0" applyFont="1" applyFill="1" applyBorder="1" applyAlignment="1">
      <alignment horizontal="center" vertical="center"/>
    </xf>
    <xf numFmtId="0" fontId="20" fillId="4" borderId="21" xfId="0" applyFont="1" applyFill="1" applyBorder="1" applyAlignment="1">
      <alignment horizontal="center" vertical="center"/>
    </xf>
    <xf numFmtId="0" fontId="2" fillId="24" borderId="23" xfId="0" applyFont="1" applyFill="1" applyBorder="1" applyAlignment="1">
      <alignment horizontal="center" vertical="center" wrapText="1"/>
    </xf>
    <xf numFmtId="0" fontId="2" fillId="24" borderId="10" xfId="0" applyFont="1" applyFill="1" applyBorder="1" applyAlignment="1">
      <alignment horizontal="center" vertical="center" wrapText="1"/>
    </xf>
    <xf numFmtId="0" fontId="23" fillId="4" borderId="24" xfId="0" applyFont="1" applyFill="1" applyBorder="1" applyAlignment="1">
      <alignment horizontal="left"/>
    </xf>
    <xf numFmtId="0" fontId="23" fillId="4" borderId="21" xfId="0" applyFont="1" applyFill="1" applyBorder="1" applyAlignment="1">
      <alignment horizontal="left"/>
    </xf>
    <xf numFmtId="49" fontId="2" fillId="24" borderId="16" xfId="0" quotePrefix="1" applyNumberFormat="1" applyFont="1" applyFill="1" applyBorder="1" applyAlignment="1" applyProtection="1">
      <alignment horizontal="center" vertical="center"/>
      <protection locked="0"/>
    </xf>
    <xf numFmtId="49" fontId="2" fillId="24" borderId="15" xfId="0" quotePrefix="1" applyNumberFormat="1" applyFont="1" applyFill="1" applyBorder="1" applyAlignment="1" applyProtection="1">
      <alignment horizontal="center" vertical="center"/>
      <protection locked="0"/>
    </xf>
    <xf numFmtId="0" fontId="2" fillId="2" borderId="23"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9"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40" xfId="0" applyFont="1" applyFill="1" applyBorder="1" applyAlignment="1">
      <alignment horizontal="center" vertical="center"/>
    </xf>
    <xf numFmtId="0" fontId="2" fillId="2" borderId="0" xfId="0" applyFont="1" applyFill="1" applyAlignment="1">
      <alignment horizontal="center" vertical="center"/>
    </xf>
    <xf numFmtId="0" fontId="2" fillId="2" borderId="27" xfId="0" applyFont="1" applyFill="1" applyBorder="1" applyAlignment="1">
      <alignment horizontal="center" vertical="center"/>
    </xf>
    <xf numFmtId="2" fontId="7" fillId="4" borderId="23" xfId="0" applyNumberFormat="1" applyFont="1" applyFill="1" applyBorder="1" applyAlignment="1">
      <alignment horizontal="center" vertical="center"/>
    </xf>
    <xf numFmtId="2" fontId="7" fillId="4" borderId="2" xfId="0" applyNumberFormat="1" applyFont="1" applyFill="1" applyBorder="1" applyAlignment="1">
      <alignment horizontal="center" vertical="center"/>
    </xf>
    <xf numFmtId="2" fontId="7" fillId="4" borderId="16" xfId="0" applyNumberFormat="1" applyFont="1" applyFill="1" applyBorder="1" applyAlignment="1">
      <alignment horizontal="center" vertical="center"/>
    </xf>
    <xf numFmtId="0" fontId="7" fillId="2" borderId="9" xfId="0" applyFont="1" applyFill="1" applyBorder="1" applyAlignment="1">
      <alignment horizontal="center" vertical="center"/>
    </xf>
    <xf numFmtId="0" fontId="7" fillId="2" borderId="19" xfId="0" applyFont="1" applyFill="1" applyBorder="1" applyAlignment="1">
      <alignment horizontal="center" vertical="center"/>
    </xf>
    <xf numFmtId="0" fontId="7" fillId="2" borderId="14" xfId="0" applyFont="1" applyFill="1" applyBorder="1" applyAlignment="1">
      <alignment horizontal="center" vertical="center"/>
    </xf>
    <xf numFmtId="0" fontId="10" fillId="0" borderId="0" xfId="0" applyFont="1" applyAlignment="1" applyProtection="1">
      <alignment horizontal="left" vertical="top" wrapText="1"/>
      <protection locked="0"/>
    </xf>
    <xf numFmtId="0" fontId="10" fillId="0" borderId="73" xfId="0" applyFont="1" applyBorder="1" applyAlignment="1" applyProtection="1">
      <alignment horizontal="left" vertical="top" wrapText="1"/>
      <protection locked="0"/>
    </xf>
    <xf numFmtId="0" fontId="10" fillId="0" borderId="51" xfId="0" applyFont="1" applyBorder="1" applyAlignment="1" applyProtection="1">
      <alignment horizontal="left" vertical="top" wrapText="1"/>
      <protection locked="0"/>
    </xf>
    <xf numFmtId="0" fontId="10" fillId="0" borderId="72" xfId="0" applyFont="1" applyBorder="1" applyAlignment="1" applyProtection="1">
      <alignment horizontal="left" vertical="top" wrapText="1"/>
      <protection locked="0"/>
    </xf>
    <xf numFmtId="0" fontId="9" fillId="7" borderId="39" xfId="0" applyFont="1" applyFill="1" applyBorder="1" applyAlignment="1">
      <alignment vertical="top" wrapText="1"/>
    </xf>
    <xf numFmtId="0" fontId="9" fillId="7" borderId="71" xfId="0" applyFont="1" applyFill="1" applyBorder="1" applyAlignment="1">
      <alignment vertical="top" wrapText="1"/>
    </xf>
    <xf numFmtId="0" fontId="9" fillId="12" borderId="43" xfId="0" applyFont="1" applyFill="1" applyBorder="1" applyAlignment="1">
      <alignment horizontal="left" vertical="top" wrapText="1"/>
    </xf>
    <xf numFmtId="0" fontId="9" fillId="12" borderId="47" xfId="0" applyFont="1" applyFill="1" applyBorder="1" applyAlignment="1">
      <alignment horizontal="left" vertical="top" wrapText="1"/>
    </xf>
    <xf numFmtId="0" fontId="9" fillId="19" borderId="6" xfId="0" applyFont="1" applyFill="1" applyBorder="1" applyAlignment="1">
      <alignment horizontal="left" vertical="top" wrapText="1"/>
    </xf>
    <xf numFmtId="0" fontId="9" fillId="19" borderId="47" xfId="0" applyFont="1" applyFill="1" applyBorder="1" applyAlignment="1">
      <alignment horizontal="left" vertical="top" wrapText="1"/>
    </xf>
    <xf numFmtId="0" fontId="2" fillId="19" borderId="24" xfId="0" applyFont="1" applyFill="1" applyBorder="1" applyAlignment="1">
      <alignment horizontal="center" vertical="center"/>
    </xf>
    <xf numFmtId="0" fontId="2" fillId="19" borderId="21" xfId="0" applyFont="1" applyFill="1" applyBorder="1" applyAlignment="1">
      <alignment horizontal="center" vertical="center"/>
    </xf>
    <xf numFmtId="0" fontId="9" fillId="19" borderId="22" xfId="0" applyFont="1" applyFill="1" applyBorder="1" applyAlignment="1">
      <alignment horizontal="left" vertical="top" wrapText="1"/>
    </xf>
    <xf numFmtId="0" fontId="9" fillId="19" borderId="68" xfId="0" applyFont="1" applyFill="1" applyBorder="1" applyAlignment="1">
      <alignment horizontal="left" vertical="top" wrapText="1"/>
    </xf>
    <xf numFmtId="0" fontId="9" fillId="19" borderId="66" xfId="0" applyFont="1" applyFill="1" applyBorder="1" applyAlignment="1">
      <alignment horizontal="left" vertical="top" wrapText="1"/>
    </xf>
    <xf numFmtId="0" fontId="9" fillId="7" borderId="73" xfId="0" applyFont="1" applyFill="1" applyBorder="1" applyAlignment="1">
      <alignment vertical="top" wrapText="1"/>
    </xf>
    <xf numFmtId="0" fontId="9" fillId="7" borderId="72" xfId="0" applyFont="1" applyFill="1" applyBorder="1" applyAlignment="1">
      <alignment vertical="top" wrapText="1"/>
    </xf>
    <xf numFmtId="0" fontId="10" fillId="0" borderId="66" xfId="0" applyFont="1" applyBorder="1" applyAlignment="1" applyProtection="1">
      <alignment horizontal="left" vertical="top" wrapText="1"/>
      <protection locked="0"/>
    </xf>
    <xf numFmtId="0" fontId="10" fillId="0" borderId="69" xfId="0" applyFont="1" applyBorder="1" applyAlignment="1" applyProtection="1">
      <alignment horizontal="left" vertical="top" wrapText="1"/>
      <protection locked="0"/>
    </xf>
    <xf numFmtId="0" fontId="9" fillId="7" borderId="61" xfId="0" applyFont="1" applyFill="1" applyBorder="1" applyAlignment="1">
      <alignment vertical="top" wrapText="1"/>
    </xf>
    <xf numFmtId="0" fontId="9" fillId="7" borderId="21" xfId="0" applyFont="1" applyFill="1" applyBorder="1" applyAlignment="1">
      <alignment vertical="top" wrapText="1"/>
    </xf>
    <xf numFmtId="0" fontId="9" fillId="19" borderId="63" xfId="0" applyFont="1" applyFill="1" applyBorder="1" applyAlignment="1">
      <alignment horizontal="left" vertical="top" wrapText="1"/>
    </xf>
    <xf numFmtId="0" fontId="2" fillId="19" borderId="75" xfId="0" applyFont="1" applyFill="1" applyBorder="1" applyAlignment="1">
      <alignment horizontal="center" vertical="center"/>
    </xf>
    <xf numFmtId="0" fontId="2" fillId="19" borderId="40" xfId="0" applyFont="1" applyFill="1" applyBorder="1" applyAlignment="1">
      <alignment horizontal="center" vertical="center"/>
    </xf>
    <xf numFmtId="0" fontId="10" fillId="0" borderId="36" xfId="0" applyFont="1" applyBorder="1" applyAlignment="1" applyProtection="1">
      <alignment vertical="top" wrapText="1"/>
      <protection locked="0"/>
    </xf>
    <xf numFmtId="0" fontId="10" fillId="0" borderId="66" xfId="0" applyFont="1" applyBorder="1" applyAlignment="1" applyProtection="1">
      <alignment vertical="top" wrapText="1"/>
      <protection locked="0"/>
    </xf>
    <xf numFmtId="0" fontId="9" fillId="21" borderId="61" xfId="0" applyFont="1" applyFill="1" applyBorder="1" applyAlignment="1">
      <alignment horizontal="left" vertical="top" wrapText="1"/>
    </xf>
    <xf numFmtId="0" fontId="9" fillId="21" borderId="21" xfId="0" applyFont="1" applyFill="1" applyBorder="1" applyAlignment="1">
      <alignment horizontal="left" vertical="top" wrapText="1"/>
    </xf>
    <xf numFmtId="0" fontId="9" fillId="21" borderId="39" xfId="0" applyFont="1" applyFill="1" applyBorder="1" applyAlignment="1">
      <alignment vertical="top" wrapText="1"/>
    </xf>
    <xf numFmtId="0" fontId="9" fillId="21" borderId="56" xfId="0" applyFont="1" applyFill="1" applyBorder="1" applyAlignment="1">
      <alignment vertical="top" wrapText="1"/>
    </xf>
    <xf numFmtId="0" fontId="10" fillId="0" borderId="71" xfId="0" applyFont="1" applyBorder="1" applyAlignment="1" applyProtection="1">
      <alignment vertical="top" wrapText="1"/>
      <protection locked="0"/>
    </xf>
    <xf numFmtId="0" fontId="9" fillId="7" borderId="29" xfId="0" applyFont="1" applyFill="1" applyBorder="1" applyAlignment="1">
      <alignment vertical="top" wrapText="1"/>
    </xf>
    <xf numFmtId="0" fontId="9" fillId="7" borderId="18" xfId="0" applyFont="1" applyFill="1" applyBorder="1" applyAlignment="1">
      <alignment vertical="top" wrapText="1"/>
    </xf>
    <xf numFmtId="0" fontId="9" fillId="21" borderId="29" xfId="0" applyFont="1" applyFill="1" applyBorder="1" applyAlignment="1">
      <alignment vertical="top" wrapText="1"/>
    </xf>
    <xf numFmtId="0" fontId="9" fillId="21" borderId="18" xfId="0" applyFont="1" applyFill="1" applyBorder="1" applyAlignment="1">
      <alignment vertical="top" wrapText="1"/>
    </xf>
    <xf numFmtId="0" fontId="9" fillId="7" borderId="43" xfId="0" applyFont="1" applyFill="1" applyBorder="1" applyAlignment="1">
      <alignment vertical="top" wrapText="1"/>
    </xf>
    <xf numFmtId="0" fontId="9" fillId="7" borderId="36" xfId="0" applyFont="1" applyFill="1" applyBorder="1" applyAlignment="1">
      <alignment vertical="top" wrapText="1"/>
    </xf>
    <xf numFmtId="0" fontId="9" fillId="21" borderId="65" xfId="0" applyFont="1" applyFill="1" applyBorder="1" applyAlignment="1" applyProtection="1">
      <alignment horizontal="left" vertical="top" wrapText="1"/>
      <protection locked="0"/>
    </xf>
    <xf numFmtId="0" fontId="9" fillId="21" borderId="69" xfId="0" applyFont="1" applyFill="1" applyBorder="1" applyAlignment="1" applyProtection="1">
      <alignment horizontal="left" vertical="top" wrapText="1"/>
      <protection locked="0"/>
    </xf>
    <xf numFmtId="0" fontId="9" fillId="21" borderId="39" xfId="0" applyFont="1" applyFill="1" applyBorder="1" applyAlignment="1" applyProtection="1">
      <alignment vertical="top" wrapText="1"/>
      <protection locked="0"/>
    </xf>
    <xf numFmtId="0" fontId="9" fillId="21" borderId="56" xfId="0" applyFont="1" applyFill="1" applyBorder="1" applyAlignment="1" applyProtection="1">
      <alignment vertical="top" wrapText="1"/>
      <protection locked="0"/>
    </xf>
    <xf numFmtId="0" fontId="9" fillId="21" borderId="73" xfId="0" applyFont="1" applyFill="1" applyBorder="1" applyAlignment="1">
      <alignment horizontal="left" vertical="top" wrapText="1"/>
    </xf>
    <xf numFmtId="0" fontId="9" fillId="21" borderId="72" xfId="0" applyFont="1" applyFill="1" applyBorder="1" applyAlignment="1">
      <alignment horizontal="left" vertical="top" wrapText="1"/>
    </xf>
    <xf numFmtId="0" fontId="9" fillId="33" borderId="39" xfId="0" applyFont="1" applyFill="1" applyBorder="1" applyAlignment="1">
      <alignment vertical="top" wrapText="1"/>
    </xf>
    <xf numFmtId="0" fontId="9" fillId="33" borderId="56" xfId="0" applyFont="1" applyFill="1" applyBorder="1" applyAlignment="1">
      <alignment vertical="top" wrapText="1"/>
    </xf>
    <xf numFmtId="0" fontId="10" fillId="0" borderId="0" xfId="0" applyFont="1" applyAlignment="1" applyProtection="1">
      <alignment vertical="top" wrapText="1"/>
      <protection locked="0"/>
    </xf>
    <xf numFmtId="0" fontId="2" fillId="21" borderId="24" xfId="0" applyFont="1" applyFill="1" applyBorder="1" applyAlignment="1">
      <alignment horizontal="center" vertical="top"/>
    </xf>
    <xf numFmtId="0" fontId="2" fillId="21" borderId="21" xfId="0" applyFont="1" applyFill="1" applyBorder="1" applyAlignment="1">
      <alignment horizontal="center" vertical="top"/>
    </xf>
    <xf numFmtId="0" fontId="2" fillId="33" borderId="24" xfId="0" applyFont="1" applyFill="1" applyBorder="1" applyAlignment="1">
      <alignment horizontal="center" vertical="top"/>
    </xf>
    <xf numFmtId="0" fontId="2" fillId="33" borderId="21" xfId="0" applyFont="1" applyFill="1" applyBorder="1" applyAlignment="1">
      <alignment horizontal="center" vertical="top"/>
    </xf>
    <xf numFmtId="0" fontId="10" fillId="0" borderId="64" xfId="0" applyFont="1" applyBorder="1" applyAlignment="1" applyProtection="1">
      <alignment horizontal="left" vertical="top" wrapText="1"/>
      <protection locked="0"/>
    </xf>
    <xf numFmtId="0" fontId="10" fillId="0" borderId="63" xfId="0" applyFont="1" applyBorder="1" applyAlignment="1" applyProtection="1">
      <alignment horizontal="left" vertical="top" wrapText="1"/>
      <protection locked="0"/>
    </xf>
    <xf numFmtId="0" fontId="9" fillId="11" borderId="63" xfId="0" applyFont="1" applyFill="1" applyBorder="1" applyAlignment="1">
      <alignment horizontal="left" vertical="top" wrapText="1"/>
    </xf>
    <xf numFmtId="0" fontId="10" fillId="0" borderId="43" xfId="0" applyFont="1" applyBorder="1" applyAlignment="1" applyProtection="1">
      <alignment horizontal="left" vertical="top" wrapText="1"/>
      <protection locked="0"/>
    </xf>
    <xf numFmtId="0" fontId="10" fillId="0" borderId="36" xfId="0" applyFont="1" applyBorder="1" applyAlignment="1" applyProtection="1">
      <alignment horizontal="left" vertical="top" wrapText="1"/>
      <protection locked="0"/>
    </xf>
    <xf numFmtId="0" fontId="10" fillId="0" borderId="47" xfId="0" applyFont="1" applyBorder="1" applyAlignment="1" applyProtection="1">
      <alignment horizontal="left" vertical="top" wrapText="1"/>
      <protection locked="0"/>
    </xf>
    <xf numFmtId="0" fontId="10" fillId="0" borderId="29" xfId="0" applyFont="1" applyBorder="1" applyAlignment="1" applyProtection="1">
      <alignment horizontal="left" vertical="top" wrapText="1"/>
      <protection locked="0"/>
    </xf>
    <xf numFmtId="0" fontId="10" fillId="0" borderId="41" xfId="0" applyFont="1" applyBorder="1" applyAlignment="1" applyProtection="1">
      <alignment horizontal="left" vertical="top" wrapText="1"/>
      <protection locked="0"/>
    </xf>
    <xf numFmtId="0" fontId="10" fillId="0" borderId="67" xfId="0" applyFont="1" applyBorder="1" applyAlignment="1" applyProtection="1">
      <alignment horizontal="left" vertical="top" wrapText="1"/>
      <protection locked="0"/>
    </xf>
    <xf numFmtId="0" fontId="10" fillId="0" borderId="39" xfId="0" applyFont="1" applyBorder="1" applyAlignment="1" applyProtection="1">
      <alignment horizontal="left" vertical="top" wrapText="1"/>
      <protection locked="0"/>
    </xf>
    <xf numFmtId="0" fontId="10" fillId="0" borderId="71" xfId="0" applyFont="1" applyBorder="1" applyAlignment="1" applyProtection="1">
      <alignment horizontal="left" vertical="top" wrapText="1"/>
      <protection locked="0"/>
    </xf>
    <xf numFmtId="0" fontId="10" fillId="0" borderId="56" xfId="0" applyFont="1" applyBorder="1" applyAlignment="1" applyProtection="1">
      <alignment horizontal="left" vertical="top" wrapText="1"/>
      <protection locked="0"/>
    </xf>
    <xf numFmtId="0" fontId="2" fillId="12" borderId="16" xfId="0" applyFont="1" applyFill="1" applyBorder="1" applyAlignment="1">
      <alignment horizontal="center" vertical="center"/>
    </xf>
    <xf numFmtId="0" fontId="2" fillId="12" borderId="15" xfId="0" applyFont="1" applyFill="1" applyBorder="1" applyAlignment="1">
      <alignment horizontal="center" vertical="center"/>
    </xf>
    <xf numFmtId="0" fontId="9" fillId="11" borderId="64" xfId="0" applyFont="1" applyFill="1" applyBorder="1" applyAlignment="1">
      <alignment horizontal="left" vertical="top" wrapText="1"/>
    </xf>
    <xf numFmtId="0" fontId="9" fillId="11" borderId="22" xfId="0" applyFont="1" applyFill="1" applyBorder="1" applyAlignment="1">
      <alignment horizontal="left" vertical="top" wrapText="1"/>
    </xf>
    <xf numFmtId="0" fontId="10" fillId="5" borderId="29" xfId="0" applyFont="1" applyFill="1" applyBorder="1" applyAlignment="1" applyProtection="1">
      <alignment horizontal="left" vertical="top" wrapText="1"/>
      <protection locked="0"/>
    </xf>
    <xf numFmtId="0" fontId="10" fillId="5" borderId="41" xfId="0" applyFont="1" applyFill="1" applyBorder="1" applyAlignment="1" applyProtection="1">
      <alignment horizontal="left" vertical="top" wrapText="1"/>
      <protection locked="0"/>
    </xf>
    <xf numFmtId="0" fontId="10" fillId="5" borderId="67" xfId="0" applyFont="1" applyFill="1" applyBorder="1" applyAlignment="1" applyProtection="1">
      <alignment horizontal="left" vertical="top" wrapText="1"/>
      <protection locked="0"/>
    </xf>
    <xf numFmtId="0" fontId="9" fillId="12" borderId="65" xfId="0" applyFont="1" applyFill="1" applyBorder="1" applyAlignment="1">
      <alignment horizontal="left" vertical="top" wrapText="1"/>
    </xf>
    <xf numFmtId="0" fontId="9" fillId="12" borderId="69" xfId="0" applyFont="1" applyFill="1" applyBorder="1" applyAlignment="1">
      <alignment horizontal="left" vertical="top" wrapText="1"/>
    </xf>
    <xf numFmtId="0" fontId="10" fillId="0" borderId="65" xfId="0" applyFont="1" applyBorder="1" applyAlignment="1" applyProtection="1">
      <alignment horizontal="left" vertical="top" wrapText="1"/>
      <protection locked="0"/>
    </xf>
    <xf numFmtId="0" fontId="6" fillId="19" borderId="50" xfId="0" applyFont="1" applyFill="1" applyBorder="1" applyAlignment="1">
      <alignment horizontal="center" vertical="top" wrapText="1"/>
    </xf>
    <xf numFmtId="0" fontId="6" fillId="19" borderId="61" xfId="0" applyFont="1" applyFill="1" applyBorder="1" applyAlignment="1">
      <alignment horizontal="center" vertical="top" wrapText="1"/>
    </xf>
    <xf numFmtId="0" fontId="2" fillId="11" borderId="61" xfId="0" applyFont="1" applyFill="1" applyBorder="1" applyAlignment="1">
      <alignment horizontal="center" vertical="center"/>
    </xf>
    <xf numFmtId="0" fontId="2" fillId="11" borderId="21" xfId="0" applyFont="1" applyFill="1" applyBorder="1" applyAlignment="1">
      <alignment horizontal="center" vertical="center"/>
    </xf>
    <xf numFmtId="0" fontId="10" fillId="0" borderId="40" xfId="0" applyFont="1" applyBorder="1" applyAlignment="1" applyProtection="1">
      <alignment horizontal="left" vertical="top" wrapText="1"/>
      <protection locked="0"/>
    </xf>
    <xf numFmtId="0" fontId="2" fillId="19" borderId="50" xfId="0" applyFont="1" applyFill="1" applyBorder="1" applyAlignment="1">
      <alignment horizontal="center" vertical="center"/>
    </xf>
    <xf numFmtId="0" fontId="2" fillId="19" borderId="61" xfId="0" applyFont="1" applyFill="1" applyBorder="1" applyAlignment="1">
      <alignment horizontal="center" vertical="center"/>
    </xf>
    <xf numFmtId="0" fontId="9" fillId="19" borderId="65" xfId="0" applyFont="1" applyFill="1" applyBorder="1" applyAlignment="1">
      <alignment horizontal="left" vertical="top" wrapText="1"/>
    </xf>
    <xf numFmtId="0" fontId="9" fillId="19" borderId="69" xfId="0" applyFont="1" applyFill="1" applyBorder="1" applyAlignment="1">
      <alignment horizontal="left" vertical="top" wrapText="1"/>
    </xf>
    <xf numFmtId="0" fontId="9" fillId="19" borderId="43" xfId="0" applyFont="1" applyFill="1" applyBorder="1" applyAlignment="1">
      <alignment horizontal="left" vertical="top" wrapText="1"/>
    </xf>
    <xf numFmtId="0" fontId="9" fillId="12" borderId="32" xfId="0" applyFont="1" applyFill="1" applyBorder="1" applyAlignment="1">
      <alignment horizontal="left" vertical="top" wrapText="1"/>
    </xf>
    <xf numFmtId="0" fontId="10" fillId="12" borderId="72" xfId="0" applyFont="1" applyFill="1" applyBorder="1" applyAlignment="1">
      <alignment horizontal="left" vertical="top" wrapText="1"/>
    </xf>
    <xf numFmtId="0" fontId="10" fillId="0" borderId="80" xfId="0" applyFont="1" applyBorder="1" applyAlignment="1" applyProtection="1">
      <alignment horizontal="left" vertical="top" wrapText="1"/>
      <protection locked="0"/>
    </xf>
    <xf numFmtId="0" fontId="10" fillId="0" borderId="81" xfId="0" applyFont="1" applyBorder="1" applyAlignment="1" applyProtection="1">
      <alignment horizontal="left" vertical="top" wrapText="1"/>
      <protection locked="0"/>
    </xf>
    <xf numFmtId="0" fontId="2" fillId="4" borderId="24" xfId="0" applyFont="1" applyFill="1" applyBorder="1" applyAlignment="1">
      <alignment horizontal="center" vertical="center"/>
    </xf>
    <xf numFmtId="0" fontId="2" fillId="4" borderId="25" xfId="0" applyFont="1" applyFill="1" applyBorder="1" applyAlignment="1">
      <alignment horizontal="center" vertical="center"/>
    </xf>
    <xf numFmtId="0" fontId="9" fillId="12" borderId="37" xfId="0" applyFont="1" applyFill="1" applyBorder="1" applyAlignment="1">
      <alignment horizontal="left" vertical="top" wrapText="1"/>
    </xf>
    <xf numFmtId="0" fontId="9" fillId="12" borderId="70" xfId="0" applyFont="1" applyFill="1" applyBorder="1" applyAlignment="1">
      <alignment horizontal="left" vertical="top" wrapText="1"/>
    </xf>
    <xf numFmtId="0" fontId="2" fillId="11" borderId="25" xfId="0" applyFont="1" applyFill="1" applyBorder="1" applyAlignment="1">
      <alignment horizontal="center" vertical="center"/>
    </xf>
    <xf numFmtId="0" fontId="9" fillId="12" borderId="38" xfId="0" applyFont="1" applyFill="1" applyBorder="1" applyAlignment="1">
      <alignment horizontal="left" vertical="top" wrapText="1"/>
    </xf>
    <xf numFmtId="0" fontId="9" fillId="12" borderId="39" xfId="0" applyFont="1" applyFill="1" applyBorder="1" applyAlignment="1">
      <alignment horizontal="left" vertical="top" wrapText="1"/>
    </xf>
    <xf numFmtId="0" fontId="9" fillId="12" borderId="6" xfId="0" applyFont="1" applyFill="1" applyBorder="1" applyAlignment="1">
      <alignment horizontal="left" vertical="top" wrapText="1"/>
    </xf>
    <xf numFmtId="0" fontId="10" fillId="0" borderId="22" xfId="0" applyFont="1" applyBorder="1" applyAlignment="1" applyProtection="1">
      <alignment horizontal="left" vertical="top" wrapText="1"/>
      <protection locked="0"/>
    </xf>
    <xf numFmtId="0" fontId="9" fillId="12" borderId="53" xfId="0" applyFont="1" applyFill="1" applyBorder="1" applyAlignment="1">
      <alignment horizontal="left" vertical="top" wrapText="1"/>
    </xf>
    <xf numFmtId="0" fontId="9" fillId="12" borderId="64" xfId="0" applyFont="1" applyFill="1" applyBorder="1" applyAlignment="1">
      <alignment horizontal="left" vertical="top" wrapText="1"/>
    </xf>
    <xf numFmtId="0" fontId="2" fillId="11" borderId="62" xfId="0" applyFont="1" applyFill="1" applyBorder="1" applyAlignment="1">
      <alignment horizontal="center" vertical="center"/>
    </xf>
    <xf numFmtId="0" fontId="2" fillId="11" borderId="27" xfId="0" applyFont="1" applyFill="1" applyBorder="1" applyAlignment="1">
      <alignment horizontal="center" vertical="center"/>
    </xf>
    <xf numFmtId="0" fontId="9" fillId="21" borderId="43" xfId="0" applyFont="1" applyFill="1" applyBorder="1" applyAlignment="1">
      <alignment horizontal="left" vertical="top" wrapText="1"/>
    </xf>
    <xf numFmtId="0" fontId="9" fillId="21" borderId="36" xfId="0" applyFont="1" applyFill="1" applyBorder="1" applyAlignment="1">
      <alignment horizontal="left" vertical="top" wrapText="1"/>
    </xf>
    <xf numFmtId="0" fontId="9" fillId="21" borderId="65" xfId="0" applyFont="1" applyFill="1" applyBorder="1" applyAlignment="1">
      <alignment horizontal="left" vertical="top" wrapText="1"/>
    </xf>
    <xf numFmtId="0" fontId="9" fillId="21" borderId="66" xfId="0" applyFont="1" applyFill="1" applyBorder="1" applyAlignment="1">
      <alignment horizontal="left" vertical="top" wrapText="1"/>
    </xf>
    <xf numFmtId="0" fontId="10" fillId="0" borderId="73" xfId="0" applyFont="1" applyBorder="1" applyAlignment="1" applyProtection="1">
      <alignment vertical="top" wrapText="1"/>
      <protection locked="0"/>
    </xf>
    <xf numFmtId="0" fontId="10" fillId="0" borderId="51" xfId="0" applyFont="1" applyBorder="1" applyAlignment="1" applyProtection="1">
      <alignment vertical="top" wrapText="1"/>
      <protection locked="0"/>
    </xf>
    <xf numFmtId="0" fontId="10" fillId="0" borderId="72" xfId="0" applyFont="1" applyBorder="1" applyAlignment="1" applyProtection="1">
      <alignment vertical="top" wrapText="1"/>
      <protection locked="0"/>
    </xf>
    <xf numFmtId="0" fontId="9" fillId="7" borderId="47" xfId="0" applyFont="1" applyFill="1" applyBorder="1" applyAlignment="1">
      <alignment vertical="top" wrapText="1"/>
    </xf>
    <xf numFmtId="0" fontId="9" fillId="19" borderId="22" xfId="0" applyFont="1" applyFill="1" applyBorder="1"/>
    <xf numFmtId="0" fontId="2" fillId="19" borderId="25" xfId="0" applyFont="1" applyFill="1" applyBorder="1" applyAlignment="1">
      <alignment horizontal="center" vertical="center"/>
    </xf>
    <xf numFmtId="0" fontId="9" fillId="33" borderId="29" xfId="0" applyFont="1" applyFill="1" applyBorder="1" applyAlignment="1">
      <alignment vertical="top" wrapText="1"/>
    </xf>
    <xf numFmtId="0" fontId="9" fillId="33" borderId="18" xfId="0" applyFont="1" applyFill="1" applyBorder="1" applyAlignment="1">
      <alignment vertical="top" wrapText="1"/>
    </xf>
    <xf numFmtId="0" fontId="10" fillId="0" borderId="43" xfId="0" applyFont="1" applyBorder="1" applyAlignment="1" applyProtection="1">
      <alignment vertical="top" wrapText="1"/>
      <protection locked="0"/>
    </xf>
    <xf numFmtId="0" fontId="0" fillId="0" borderId="47" xfId="0" applyBorder="1" applyAlignment="1">
      <alignment vertical="top" wrapText="1"/>
    </xf>
    <xf numFmtId="0" fontId="10" fillId="0" borderId="65" xfId="0" applyFont="1" applyBorder="1" applyAlignment="1" applyProtection="1">
      <alignment vertical="top" wrapText="1"/>
      <protection locked="0"/>
    </xf>
    <xf numFmtId="0" fontId="0" fillId="0" borderId="69" xfId="0" applyBorder="1" applyAlignment="1">
      <alignment vertical="top" wrapText="1"/>
    </xf>
    <xf numFmtId="0" fontId="10" fillId="5" borderId="65" xfId="0" applyFont="1" applyFill="1" applyBorder="1" applyAlignment="1" applyProtection="1">
      <alignment vertical="top" wrapText="1"/>
      <protection locked="0"/>
    </xf>
    <xf numFmtId="0" fontId="10" fillId="5" borderId="66" xfId="0" applyFont="1" applyFill="1" applyBorder="1" applyAlignment="1" applyProtection="1">
      <alignment vertical="top" wrapText="1"/>
      <protection locked="0"/>
    </xf>
    <xf numFmtId="0" fontId="9" fillId="33" borderId="65" xfId="0" applyFont="1" applyFill="1" applyBorder="1" applyAlignment="1">
      <alignment horizontal="left" vertical="top" wrapText="1"/>
    </xf>
    <xf numFmtId="0" fontId="9" fillId="33" borderId="66" xfId="0" applyFont="1" applyFill="1" applyBorder="1" applyAlignment="1">
      <alignment horizontal="left" vertical="top" wrapText="1"/>
    </xf>
    <xf numFmtId="0" fontId="9" fillId="33" borderId="61" xfId="0" applyFont="1" applyFill="1" applyBorder="1" applyAlignment="1">
      <alignment horizontal="left" vertical="top" wrapText="1"/>
    </xf>
    <xf numFmtId="0" fontId="9" fillId="33" borderId="21" xfId="0" applyFont="1" applyFill="1" applyBorder="1" applyAlignment="1">
      <alignment horizontal="left" vertical="top" wrapText="1"/>
    </xf>
    <xf numFmtId="0" fontId="9" fillId="33" borderId="69" xfId="0" applyFont="1" applyFill="1" applyBorder="1" applyAlignment="1">
      <alignment horizontal="left" vertical="top" wrapText="1"/>
    </xf>
    <xf numFmtId="0" fontId="9" fillId="33" borderId="73" xfId="0" applyFont="1" applyFill="1" applyBorder="1" applyAlignment="1">
      <alignment horizontal="left" vertical="top" wrapText="1"/>
    </xf>
    <xf numFmtId="0" fontId="9" fillId="33" borderId="72" xfId="0" applyFont="1" applyFill="1" applyBorder="1" applyAlignment="1">
      <alignment horizontal="left" vertical="top" wrapText="1"/>
    </xf>
    <xf numFmtId="0" fontId="0" fillId="0" borderId="72" xfId="0" applyBorder="1" applyAlignment="1">
      <alignment vertical="top" wrapText="1"/>
    </xf>
    <xf numFmtId="0" fontId="33" fillId="2" borderId="24" xfId="0" applyFont="1" applyFill="1" applyBorder="1" applyAlignment="1">
      <alignment horizontal="center" vertical="center"/>
    </xf>
    <xf numFmtId="0" fontId="33" fillId="2" borderId="21" xfId="0" applyFont="1" applyFill="1" applyBorder="1" applyAlignment="1">
      <alignment horizontal="center" vertical="center"/>
    </xf>
    <xf numFmtId="0" fontId="5" fillId="31" borderId="23" xfId="0" applyFont="1" applyFill="1" applyBorder="1" applyAlignment="1">
      <alignment horizontal="left" vertical="top"/>
    </xf>
    <xf numFmtId="0" fontId="5" fillId="31" borderId="10" xfId="0" applyFont="1" applyFill="1" applyBorder="1" applyAlignment="1">
      <alignment horizontal="left" vertical="top"/>
    </xf>
    <xf numFmtId="0" fontId="4" fillId="31" borderId="23" xfId="0" applyFont="1" applyFill="1" applyBorder="1" applyAlignment="1">
      <alignment horizontal="left" vertical="top"/>
    </xf>
    <xf numFmtId="0" fontId="4" fillId="31" borderId="10" xfId="0" applyFont="1" applyFill="1" applyBorder="1" applyAlignment="1">
      <alignment horizontal="left" vertical="top"/>
    </xf>
  </cellXfs>
  <cellStyles count="1">
    <cellStyle name="Normal" xfId="0" builtinId="0"/>
  </cellStyles>
  <dxfs count="96">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0000"/>
        </patternFill>
      </fill>
    </dxf>
    <dxf>
      <fill>
        <patternFill>
          <bgColor rgb="FF00B05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s>
  <tableStyles count="0" defaultTableStyle="TableStyleMedium9" defaultPivotStyle="PivotStyleLight16"/>
  <colors>
    <mruColors>
      <color rgb="FF785B97"/>
      <color rgb="FFB1A0C7"/>
      <color rgb="FF7256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0074074074074"/>
          <c:y val="0.19215092592592592"/>
          <c:w val="0.50986481481481483"/>
          <c:h val="0.50986481481481483"/>
        </c:manualLayout>
      </c:layout>
      <c:radarChart>
        <c:radarStyle val="marker"/>
        <c:varyColors val="0"/>
        <c:ser>
          <c:idx val="0"/>
          <c:order val="0"/>
          <c:tx>
            <c:v>Present profile</c:v>
          </c:tx>
          <c:spPr>
            <a:ln>
              <a:solidFill>
                <a:srgbClr val="C00000"/>
              </a:solidFill>
            </a:ln>
          </c:spPr>
          <c:marker>
            <c:symbol val="diamond"/>
            <c:size val="7"/>
            <c:spPr>
              <a:solidFill>
                <a:srgbClr val="C00000"/>
              </a:solidFill>
              <a:ln cmpd="sng">
                <a:solidFill>
                  <a:srgbClr val="C00000"/>
                </a:solidFill>
              </a:ln>
            </c:spPr>
          </c:marker>
          <c:cat>
            <c:strRef>
              <c:f>Profile!$A$14:$B$19</c:f>
              <c:strCache>
                <c:ptCount val="6"/>
                <c:pt idx="0">
                  <c:v>1. WORKING CONDITIONS</c:v>
                </c:pt>
                <c:pt idx="1">
                  <c:v>2. LAND &amp; WATER RIGHTS</c:v>
                </c:pt>
                <c:pt idx="2">
                  <c:v>3. GENDER EQUALITY</c:v>
                </c:pt>
                <c:pt idx="3">
                  <c:v>4. FOOD AND NUTRITION SECURITY</c:v>
                </c:pt>
                <c:pt idx="4">
                  <c:v>5. SOCIAL CAPITAL</c:v>
                </c:pt>
                <c:pt idx="5">
                  <c:v>6. LIVING CONDITIONS</c:v>
                </c:pt>
              </c:strCache>
            </c:strRef>
          </c:cat>
          <c:val>
            <c:numRef>
              <c:f>Profile!$D$14:$D$19</c:f>
              <c:numCache>
                <c:formatCode>0.00</c:formatCode>
                <c:ptCount val="6"/>
                <c:pt idx="0">
                  <c:v>2.7250000000000001</c:v>
                </c:pt>
                <c:pt idx="1">
                  <c:v>2.6111111111111112</c:v>
                </c:pt>
                <c:pt idx="2">
                  <c:v>2.8600000000000003</c:v>
                </c:pt>
                <c:pt idx="3">
                  <c:v>2.75</c:v>
                </c:pt>
                <c:pt idx="4">
                  <c:v>2.9444444444444446</c:v>
                </c:pt>
                <c:pt idx="5">
                  <c:v>2.7222222222222219</c:v>
                </c:pt>
              </c:numCache>
            </c:numRef>
          </c:val>
          <c:extLst>
            <c:ext xmlns:c16="http://schemas.microsoft.com/office/drawing/2014/chart" uri="{C3380CC4-5D6E-409C-BE32-E72D297353CC}">
              <c16:uniqueId val="{00000000-3D45-4F2D-BC1B-AADCE74FB88E}"/>
            </c:ext>
          </c:extLst>
        </c:ser>
        <c:ser>
          <c:idx val="2"/>
          <c:order val="1"/>
          <c:tx>
            <c:strRef>
              <c:f>Profile!$F$12</c:f>
              <c:strCache>
                <c:ptCount val="1"/>
                <c:pt idx="0">
                  <c:v>Previous profile</c:v>
                </c:pt>
              </c:strCache>
            </c:strRef>
          </c:tx>
          <c:marker>
            <c:symbol val="none"/>
          </c:marker>
          <c:cat>
            <c:strRef>
              <c:f>Profile!$A$14:$B$19</c:f>
              <c:strCache>
                <c:ptCount val="6"/>
                <c:pt idx="0">
                  <c:v>1. WORKING CONDITIONS</c:v>
                </c:pt>
                <c:pt idx="1">
                  <c:v>2. LAND &amp; WATER RIGHTS</c:v>
                </c:pt>
                <c:pt idx="2">
                  <c:v>3. GENDER EQUALITY</c:v>
                </c:pt>
                <c:pt idx="3">
                  <c:v>4. FOOD AND NUTRITION SECURITY</c:v>
                </c:pt>
                <c:pt idx="4">
                  <c:v>5. SOCIAL CAPITAL</c:v>
                </c:pt>
                <c:pt idx="5">
                  <c:v>6. LIVING CONDITIONS</c:v>
                </c:pt>
              </c:strCache>
            </c:strRef>
          </c:cat>
          <c:val>
            <c:numRef>
              <c:f>Profile!$G$14:$G$19</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3D45-4F2D-BC1B-AADCE74FB88E}"/>
            </c:ext>
          </c:extLst>
        </c:ser>
        <c:dLbls>
          <c:showLegendKey val="0"/>
          <c:showVal val="0"/>
          <c:showCatName val="0"/>
          <c:showSerName val="0"/>
          <c:showPercent val="0"/>
          <c:showBubbleSize val="0"/>
        </c:dLbls>
        <c:axId val="237896064"/>
        <c:axId val="237897600"/>
      </c:radarChart>
      <c:catAx>
        <c:axId val="237896064"/>
        <c:scaling>
          <c:orientation val="minMax"/>
        </c:scaling>
        <c:delete val="0"/>
        <c:axPos val="b"/>
        <c:majorGridlines/>
        <c:numFmt formatCode="@" sourceLinked="0"/>
        <c:majorTickMark val="none"/>
        <c:minorTickMark val="none"/>
        <c:tickLblPos val="nextTo"/>
        <c:spPr>
          <a:ln w="9525">
            <a:noFill/>
          </a:ln>
        </c:spPr>
        <c:txPr>
          <a:bodyPr rot="0" vert="horz"/>
          <a:lstStyle/>
          <a:p>
            <a:pPr>
              <a:defRPr b="1"/>
            </a:pPr>
            <a:endParaRPr lang="en-US"/>
          </a:p>
        </c:txPr>
        <c:crossAx val="237897600"/>
        <c:crosses val="autoZero"/>
        <c:auto val="0"/>
        <c:lblAlgn val="ctr"/>
        <c:lblOffset val="100"/>
        <c:noMultiLvlLbl val="0"/>
      </c:catAx>
      <c:valAx>
        <c:axId val="237897600"/>
        <c:scaling>
          <c:orientation val="minMax"/>
          <c:max val="4"/>
          <c:min val="0"/>
        </c:scaling>
        <c:delete val="0"/>
        <c:axPos val="l"/>
        <c:majorGridlines/>
        <c:numFmt formatCode="@" sourceLinked="0"/>
        <c:majorTickMark val="out"/>
        <c:minorTickMark val="none"/>
        <c:tickLblPos val="nextTo"/>
        <c:txPr>
          <a:bodyPr rot="0" vert="horz"/>
          <a:lstStyle/>
          <a:p>
            <a:pPr>
              <a:defRPr/>
            </a:pPr>
            <a:endParaRPr lang="en-US"/>
          </a:p>
        </c:txPr>
        <c:crossAx val="237896064"/>
        <c:crosses val="autoZero"/>
        <c:crossBetween val="between"/>
      </c:valAx>
    </c:plotArea>
    <c:legend>
      <c:legendPos val="b"/>
      <c:overlay val="1"/>
    </c:legend>
    <c:plotVisOnly val="1"/>
    <c:dispBlanksAs val="gap"/>
    <c:showDLblsOverMax val="0"/>
  </c:chart>
  <c:spPr>
    <a:solidFill>
      <a:schemeClr val="bg1"/>
    </a:solidFill>
  </c:spPr>
  <c:printSettings>
    <c:headerFooter alignWithMargins="0"/>
    <c:pageMargins b="1" l="0.750000000000003" r="0.750000000000003" t="1" header="0.5" footer="0.5"/>
    <c:pageSetup paperSize="9"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7</xdr:col>
      <xdr:colOff>134992</xdr:colOff>
      <xdr:row>3</xdr:row>
      <xdr:rowOff>99520</xdr:rowOff>
    </xdr:from>
    <xdr:to>
      <xdr:col>15</xdr:col>
      <xdr:colOff>300626</xdr:colOff>
      <xdr:row>21</xdr:row>
      <xdr:rowOff>1241101</xdr:rowOff>
    </xdr:to>
    <xdr:graphicFrame macro="">
      <xdr:nvGraphicFramePr>
        <xdr:cNvPr id="4097" name="Chart 1">
          <a:extLst>
            <a:ext uri="{FF2B5EF4-FFF2-40B4-BE49-F238E27FC236}">
              <a16:creationId xmlns:a16="http://schemas.microsoft.com/office/drawing/2014/main" id="{00000000-0008-0000-0000-0000011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9"/>
  <sheetViews>
    <sheetView view="pageBreakPreview" zoomScaleNormal="100" zoomScaleSheetLayoutView="100" workbookViewId="0">
      <pane ySplit="3" topLeftCell="A4" activePane="bottomLeft" state="frozen"/>
      <selection pane="bottomLeft" activeCell="E2" sqref="E2:G2"/>
    </sheetView>
  </sheetViews>
  <sheetFormatPr defaultColWidth="8.81640625" defaultRowHeight="12.5" x14ac:dyDescent="0.25"/>
  <cols>
    <col min="1" max="1" width="20" customWidth="1"/>
    <col min="2" max="2" width="13.1796875" customWidth="1"/>
    <col min="3" max="3" width="14.1796875" customWidth="1"/>
    <col min="4" max="4" width="10.453125" customWidth="1"/>
    <col min="5" max="5" width="8.453125" customWidth="1"/>
    <col min="6" max="6" width="13.453125" customWidth="1"/>
    <col min="7" max="7" width="11.1796875" customWidth="1"/>
    <col min="9" max="9" width="10.81640625" hidden="1" customWidth="1"/>
  </cols>
  <sheetData>
    <row r="1" spans="1:10" ht="22.5" customHeight="1" thickBot="1" x14ac:dyDescent="0.35">
      <c r="A1" s="453" t="s">
        <v>214</v>
      </c>
      <c r="B1" s="454"/>
      <c r="C1" s="455"/>
      <c r="D1" s="398" t="s">
        <v>28</v>
      </c>
      <c r="E1" s="328"/>
      <c r="F1" s="424" t="s">
        <v>303</v>
      </c>
      <c r="G1" s="425"/>
      <c r="I1" s="218"/>
    </row>
    <row r="2" spans="1:10" ht="16.5" customHeight="1" thickBot="1" x14ac:dyDescent="0.35">
      <c r="A2" s="400"/>
      <c r="B2" s="113"/>
      <c r="C2" s="113"/>
      <c r="D2" s="329" t="s">
        <v>126</v>
      </c>
      <c r="E2" s="426" t="s">
        <v>304</v>
      </c>
      <c r="F2" s="426"/>
      <c r="G2" s="427"/>
    </row>
    <row r="3" spans="1:10" ht="18" customHeight="1" thickBot="1" x14ac:dyDescent="0.35">
      <c r="A3" s="15" t="s">
        <v>25</v>
      </c>
      <c r="B3" s="428" t="s">
        <v>27</v>
      </c>
      <c r="C3" s="429"/>
      <c r="D3" s="16"/>
      <c r="G3" s="14"/>
      <c r="J3" s="285"/>
    </row>
    <row r="4" spans="1:10" ht="13.5" customHeight="1" x14ac:dyDescent="0.25">
      <c r="A4" s="13"/>
      <c r="G4" s="14"/>
    </row>
    <row r="5" spans="1:10" ht="20.25" customHeight="1" x14ac:dyDescent="0.25">
      <c r="G5" s="14"/>
    </row>
    <row r="6" spans="1:10" ht="18" customHeight="1" x14ac:dyDescent="0.25">
      <c r="G6" s="14"/>
    </row>
    <row r="7" spans="1:10" ht="18" customHeight="1" x14ac:dyDescent="0.25">
      <c r="G7" s="14"/>
    </row>
    <row r="8" spans="1:10" ht="18" customHeight="1" x14ac:dyDescent="0.25">
      <c r="G8" s="14"/>
    </row>
    <row r="9" spans="1:10" ht="18" customHeight="1" x14ac:dyDescent="0.25">
      <c r="G9" s="14"/>
    </row>
    <row r="10" spans="1:10" ht="6" customHeight="1" thickBot="1" x14ac:dyDescent="0.3">
      <c r="A10" s="13"/>
      <c r="G10" s="14"/>
    </row>
    <row r="11" spans="1:10" ht="13" hidden="1" thickBot="1" x14ac:dyDescent="0.3">
      <c r="A11" s="13"/>
      <c r="G11" s="14"/>
    </row>
    <row r="12" spans="1:10" ht="13.5" thickBot="1" x14ac:dyDescent="0.35">
      <c r="A12" s="445" t="s">
        <v>84</v>
      </c>
      <c r="B12" s="446"/>
      <c r="C12" s="449" t="s">
        <v>85</v>
      </c>
      <c r="D12" s="450"/>
      <c r="E12" s="430" t="s">
        <v>7</v>
      </c>
      <c r="F12" s="17" t="s">
        <v>86</v>
      </c>
      <c r="G12" s="18" t="str">
        <f>Register!H3</f>
        <v>../../20..</v>
      </c>
    </row>
    <row r="13" spans="1:10" ht="13.5" thickBot="1" x14ac:dyDescent="0.35">
      <c r="A13" s="447"/>
      <c r="B13" s="448"/>
      <c r="C13" s="86" t="s">
        <v>88</v>
      </c>
      <c r="D13" s="87" t="s">
        <v>89</v>
      </c>
      <c r="E13" s="431"/>
      <c r="F13" s="19" t="s">
        <v>88</v>
      </c>
      <c r="G13" s="20" t="s">
        <v>89</v>
      </c>
      <c r="I13" s="219" t="s">
        <v>15</v>
      </c>
    </row>
    <row r="14" spans="1:10" ht="14" x14ac:dyDescent="0.25">
      <c r="A14" s="435" t="str">
        <f>Register!A5</f>
        <v>1. WORKING CONDITIONS</v>
      </c>
      <c r="B14" s="436"/>
      <c r="C14" s="330" t="str">
        <f>Register!C10</f>
        <v>Substantial</v>
      </c>
      <c r="D14" s="314">
        <f>Register!B10</f>
        <v>2.7250000000000001</v>
      </c>
      <c r="E14" s="315" t="str">
        <f>Register!D10</f>
        <v>↑</v>
      </c>
      <c r="F14" s="21" t="str">
        <f>Register!I10</f>
        <v>Not at all</v>
      </c>
      <c r="G14" s="321">
        <f>Register!H10</f>
        <v>0</v>
      </c>
      <c r="I14" s="220" t="e">
        <f>Register!#REF!</f>
        <v>#REF!</v>
      </c>
    </row>
    <row r="15" spans="1:10" ht="14" x14ac:dyDescent="0.25">
      <c r="A15" s="437" t="str">
        <f>Register!A11</f>
        <v>2. LAND &amp; WATER RIGHTS</v>
      </c>
      <c r="B15" s="438"/>
      <c r="C15" s="331" t="str">
        <f>Register!C15</f>
        <v>Substantial</v>
      </c>
      <c r="D15" s="316">
        <f>Register!B15</f>
        <v>2.6111111111111112</v>
      </c>
      <c r="E15" s="317" t="str">
        <f>Register!D15</f>
        <v>↑</v>
      </c>
      <c r="F15" s="22" t="str">
        <f>Register!I15</f>
        <v>Not at all</v>
      </c>
      <c r="G15" s="322">
        <f>Register!H15</f>
        <v>0</v>
      </c>
      <c r="I15" s="221" t="e">
        <f>Register!#REF!</f>
        <v>#REF!</v>
      </c>
    </row>
    <row r="16" spans="1:10" ht="14" x14ac:dyDescent="0.25">
      <c r="A16" s="439" t="str">
        <f>Register!A16</f>
        <v>3. GENDER EQUALITY</v>
      </c>
      <c r="B16" s="440"/>
      <c r="C16" s="331" t="str">
        <f>Register!C22</f>
        <v>Substantial</v>
      </c>
      <c r="D16" s="316">
        <f>Register!B22</f>
        <v>2.8600000000000003</v>
      </c>
      <c r="E16" s="317" t="str">
        <f>Register!D22</f>
        <v>↑</v>
      </c>
      <c r="F16" s="22" t="str">
        <f>Register!I22</f>
        <v>Not at all</v>
      </c>
      <c r="G16" s="322">
        <f>Register!H22</f>
        <v>0</v>
      </c>
      <c r="I16" s="221" t="e">
        <f>Register!#REF!</f>
        <v>#REF!</v>
      </c>
    </row>
    <row r="17" spans="1:9" ht="14" x14ac:dyDescent="0.25">
      <c r="A17" s="441" t="str">
        <f>Register!A23</f>
        <v>4. FOOD AND NUTRITION SECURITY</v>
      </c>
      <c r="B17" s="442"/>
      <c r="C17" s="331" t="str">
        <f>Register!C28</f>
        <v>Substantial</v>
      </c>
      <c r="D17" s="316">
        <f>Register!B28</f>
        <v>2.75</v>
      </c>
      <c r="E17" s="317" t="str">
        <f>Register!D28</f>
        <v>↑</v>
      </c>
      <c r="F17" s="22" t="str">
        <f>Register!I28</f>
        <v>Not at all</v>
      </c>
      <c r="G17" s="322">
        <f>Register!H28</f>
        <v>0</v>
      </c>
      <c r="I17" s="221" t="e">
        <f>Register!#REF!</f>
        <v>#REF!</v>
      </c>
    </row>
    <row r="18" spans="1:9" ht="14" x14ac:dyDescent="0.25">
      <c r="A18" s="451" t="str">
        <f>Register!A29</f>
        <v>5. SOCIAL CAPITAL</v>
      </c>
      <c r="B18" s="452"/>
      <c r="C18" s="331" t="str">
        <f>Register!C33</f>
        <v>Substantial</v>
      </c>
      <c r="D18" s="318">
        <f>Register!B33</f>
        <v>2.9444444444444446</v>
      </c>
      <c r="E18" s="317" t="str">
        <f>Register!D33</f>
        <v>↑</v>
      </c>
      <c r="F18" s="308" t="str">
        <f>Register!I33</f>
        <v>Not at all</v>
      </c>
      <c r="G18" s="322">
        <f>Register!H33</f>
        <v>0</v>
      </c>
      <c r="I18" s="307"/>
    </row>
    <row r="19" spans="1:9" ht="14.5" thickBot="1" x14ac:dyDescent="0.3">
      <c r="A19" s="443" t="str">
        <f>Register!A34</f>
        <v>6. LIVING CONDITIONS</v>
      </c>
      <c r="B19" s="444"/>
      <c r="C19" s="332" t="str">
        <f>Register!C39</f>
        <v>Substantial</v>
      </c>
      <c r="D19" s="319">
        <f>Register!B39</f>
        <v>2.7222222222222219</v>
      </c>
      <c r="E19" s="320" t="str">
        <f>Register!D39</f>
        <v>↑</v>
      </c>
      <c r="F19" s="23" t="str">
        <f>Register!I39</f>
        <v>Not at all</v>
      </c>
      <c r="G19" s="323">
        <f>Register!H39</f>
        <v>0</v>
      </c>
      <c r="I19" s="222" t="e">
        <f>Register!#REF!</f>
        <v>#REF!</v>
      </c>
    </row>
    <row r="20" spans="1:9" s="25" customFormat="1" ht="9" customHeight="1" thickBot="1" x14ac:dyDescent="0.3">
      <c r="A20" s="24"/>
      <c r="E20"/>
      <c r="F20"/>
      <c r="G20" s="14"/>
      <c r="I20" s="223" t="e">
        <f>AVERAGE(I14:I19)</f>
        <v>#REF!</v>
      </c>
    </row>
    <row r="21" spans="1:9" ht="13.5" thickBot="1" x14ac:dyDescent="0.35">
      <c r="A21" s="432" t="s">
        <v>8</v>
      </c>
      <c r="B21" s="433"/>
      <c r="C21" s="433"/>
      <c r="D21" s="433"/>
      <c r="E21" s="433"/>
      <c r="F21" s="433"/>
      <c r="G21" s="434"/>
    </row>
    <row r="22" spans="1:9" ht="107.25" customHeight="1" thickBot="1" x14ac:dyDescent="0.3">
      <c r="A22" s="411"/>
      <c r="B22" s="412"/>
      <c r="C22" s="412"/>
      <c r="D22" s="412"/>
      <c r="E22" s="412"/>
      <c r="F22" s="412"/>
      <c r="G22" s="413"/>
    </row>
    <row r="23" spans="1:9" ht="7.5" customHeight="1" thickBot="1" x14ac:dyDescent="0.3">
      <c r="A23" s="13"/>
      <c r="G23" s="14"/>
    </row>
    <row r="24" spans="1:9" ht="13.5" thickBot="1" x14ac:dyDescent="0.35">
      <c r="A24" s="414" t="s">
        <v>90</v>
      </c>
      <c r="B24" s="415"/>
      <c r="C24" s="415"/>
      <c r="D24" s="422"/>
      <c r="E24" s="422"/>
      <c r="F24" s="422"/>
      <c r="G24" s="423"/>
    </row>
    <row r="25" spans="1:9" ht="105.75" customHeight="1" thickBot="1" x14ac:dyDescent="0.3">
      <c r="A25" s="411"/>
      <c r="B25" s="417"/>
      <c r="C25" s="417"/>
      <c r="D25" s="417"/>
      <c r="E25" s="417"/>
      <c r="F25" s="417"/>
      <c r="G25" s="418"/>
    </row>
    <row r="26" spans="1:9" ht="13.5" thickBot="1" x14ac:dyDescent="0.35">
      <c r="A26" s="414" t="s">
        <v>91</v>
      </c>
      <c r="B26" s="415"/>
      <c r="C26" s="415"/>
      <c r="D26" s="415"/>
      <c r="E26" s="415"/>
      <c r="F26" s="415"/>
      <c r="G26" s="416"/>
    </row>
    <row r="27" spans="1:9" ht="83.25" customHeight="1" thickBot="1" x14ac:dyDescent="0.3">
      <c r="A27" s="419"/>
      <c r="B27" s="420"/>
      <c r="C27" s="420"/>
      <c r="D27" s="420"/>
      <c r="E27" s="420"/>
      <c r="F27" s="420"/>
      <c r="G27" s="421"/>
    </row>
    <row r="28" spans="1:9" ht="13.5" thickBot="1" x14ac:dyDescent="0.35">
      <c r="A28" s="414" t="s">
        <v>17</v>
      </c>
      <c r="B28" s="415"/>
      <c r="C28" s="415"/>
      <c r="D28" s="415"/>
      <c r="E28" s="415"/>
      <c r="F28" s="415"/>
      <c r="G28" s="416"/>
    </row>
    <row r="29" spans="1:9" ht="83.25" customHeight="1" thickBot="1" x14ac:dyDescent="0.3">
      <c r="A29" s="411"/>
      <c r="B29" s="412"/>
      <c r="C29" s="412"/>
      <c r="D29" s="412"/>
      <c r="E29" s="412"/>
      <c r="F29" s="412"/>
      <c r="G29" s="413"/>
    </row>
  </sheetData>
  <sheetProtection password="CC15" sheet="1" objects="1" scenarios="1" formatRows="0"/>
  <mergeCells count="21">
    <mergeCell ref="F1:G1"/>
    <mergeCell ref="E2:G2"/>
    <mergeCell ref="B3:C3"/>
    <mergeCell ref="E12:E13"/>
    <mergeCell ref="A21:G21"/>
    <mergeCell ref="A14:B14"/>
    <mergeCell ref="A15:B15"/>
    <mergeCell ref="A16:B16"/>
    <mergeCell ref="A17:B17"/>
    <mergeCell ref="A19:B19"/>
    <mergeCell ref="A12:B13"/>
    <mergeCell ref="C12:D12"/>
    <mergeCell ref="A18:B18"/>
    <mergeCell ref="A1:C1"/>
    <mergeCell ref="A29:G29"/>
    <mergeCell ref="A28:G28"/>
    <mergeCell ref="A22:G22"/>
    <mergeCell ref="A25:G25"/>
    <mergeCell ref="A26:G26"/>
    <mergeCell ref="A27:G27"/>
    <mergeCell ref="A24:G24"/>
  </mergeCells>
  <phoneticPr fontId="1" type="noConversion"/>
  <conditionalFormatting sqref="A8:G9">
    <cfRule type="cellIs" dxfId="91" priority="1" operator="equal">
      <formula>"High"</formula>
    </cfRule>
    <cfRule type="cellIs" dxfId="90" priority="2" operator="equal">
      <formula>"Substantial"</formula>
    </cfRule>
    <cfRule type="cellIs" dxfId="89" priority="3" operator="equal">
      <formula>"Moderate"</formula>
    </cfRule>
    <cfRule type="cellIs" dxfId="88" priority="4" operator="equal">
      <formula>"Low"</formula>
    </cfRule>
  </conditionalFormatting>
  <pageMargins left="0.70866141732283472" right="0.70866141732283472" top="0.74803149606299213" bottom="0.74803149606299213" header="0.31496062992125984" footer="0.31496062992125984"/>
  <pageSetup paperSize="9" scale="97" orientation="portrait" r:id="rId1"/>
  <headerFooter alignWithMargins="0"/>
  <colBreaks count="1" manualBreakCount="1">
    <brk id="7" max="1048575" man="1"/>
  </colBreaks>
  <drawing r:id="rId2"/>
  <extLst>
    <ext xmlns:x14="http://schemas.microsoft.com/office/spreadsheetml/2009/9/main" uri="{78C0D931-6437-407d-A8EE-F0AAD7539E65}">
      <x14:conditionalFormattings>
        <x14:conditionalFormatting xmlns:xm="http://schemas.microsoft.com/office/excel/2006/main">
          <x14:cfRule type="cellIs" priority="9" operator="equal" id="{34BB3A6B-5693-4104-B882-7EC3C2744687}">
            <xm:f>Register!$L$6</xm:f>
            <x14:dxf>
              <fill>
                <patternFill>
                  <bgColor rgb="FFFF0000"/>
                </patternFill>
              </fill>
            </x14:dxf>
          </x14:cfRule>
          <x14:cfRule type="cellIs" priority="10" operator="equal" id="{92867827-A734-4EBD-859A-FC93914BAC5D}">
            <xm:f>Register!$L$5</xm:f>
            <x14:dxf>
              <fill>
                <patternFill>
                  <bgColor rgb="FFFFC000"/>
                </patternFill>
              </fill>
            </x14:dxf>
          </x14:cfRule>
          <x14:cfRule type="cellIs" priority="11" operator="equal" id="{F24A8D15-038A-4A74-8DFE-EBD1E2C1A6B6}">
            <xm:f>Register!$L$4</xm:f>
            <x14:dxf>
              <fill>
                <patternFill>
                  <bgColor rgb="FF92D050"/>
                </patternFill>
              </fill>
            </x14:dxf>
          </x14:cfRule>
          <x14:cfRule type="cellIs" priority="12" operator="equal" id="{4E30DD93-1A47-4844-9856-E0E8EBD88FFA}">
            <xm:f>Register!$L$3</xm:f>
            <x14:dxf>
              <fill>
                <patternFill>
                  <bgColor rgb="FF00B050"/>
                </patternFill>
              </fill>
            </x14:dxf>
          </x14:cfRule>
          <xm:sqref>A5:G17 A18 C18:G18 A19:G19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32B2E-680E-47A3-8996-BB87C61A8BB1}">
  <dimension ref="G9:J16"/>
  <sheetViews>
    <sheetView workbookViewId="0">
      <selection activeCell="G22" sqref="G22"/>
    </sheetView>
  </sheetViews>
  <sheetFormatPr defaultRowHeight="12.5" x14ac:dyDescent="0.25"/>
  <cols>
    <col min="10" max="10" width="25.36328125" customWidth="1"/>
  </cols>
  <sheetData>
    <row r="9" spans="7:10" x14ac:dyDescent="0.25">
      <c r="G9" t="s">
        <v>84</v>
      </c>
      <c r="I9" t="s">
        <v>85</v>
      </c>
    </row>
    <row r="10" spans="7:10" x14ac:dyDescent="0.25">
      <c r="I10" t="s">
        <v>88</v>
      </c>
      <c r="J10" t="s">
        <v>89</v>
      </c>
    </row>
    <row r="11" spans="7:10" x14ac:dyDescent="0.25">
      <c r="G11" t="s">
        <v>217</v>
      </c>
      <c r="I11" t="s">
        <v>5</v>
      </c>
      <c r="J11">
        <v>2.9249999999999998</v>
      </c>
    </row>
    <row r="12" spans="7:10" x14ac:dyDescent="0.25">
      <c r="G12" t="s">
        <v>218</v>
      </c>
      <c r="I12" t="s">
        <v>5</v>
      </c>
      <c r="J12">
        <v>2.7222222222222219</v>
      </c>
    </row>
    <row r="13" spans="7:10" x14ac:dyDescent="0.25">
      <c r="G13" t="s">
        <v>219</v>
      </c>
      <c r="I13" t="s">
        <v>5</v>
      </c>
      <c r="J13">
        <v>2.7800000000000002</v>
      </c>
    </row>
    <row r="14" spans="7:10" x14ac:dyDescent="0.25">
      <c r="G14" t="s">
        <v>220</v>
      </c>
      <c r="I14" t="s">
        <v>5</v>
      </c>
      <c r="J14">
        <v>3.4583333333333335</v>
      </c>
    </row>
    <row r="15" spans="7:10" x14ac:dyDescent="0.25">
      <c r="G15" t="s">
        <v>221</v>
      </c>
      <c r="I15" t="s">
        <v>5</v>
      </c>
      <c r="J15">
        <v>3.1388888888888888</v>
      </c>
    </row>
    <row r="16" spans="7:10" x14ac:dyDescent="0.25">
      <c r="G16" t="s">
        <v>222</v>
      </c>
      <c r="I16" t="s">
        <v>5</v>
      </c>
      <c r="J16">
        <v>3.3333333333333335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46"/>
  <sheetViews>
    <sheetView zoomScaleNormal="100" zoomScaleSheetLayoutView="100" workbookViewId="0">
      <pane ySplit="4" topLeftCell="A5" activePane="bottomLeft" state="frozen"/>
      <selection pane="bottomLeft" activeCell="E43" sqref="E43"/>
    </sheetView>
  </sheetViews>
  <sheetFormatPr defaultColWidth="8.81640625" defaultRowHeight="12.5" x14ac:dyDescent="0.25"/>
  <cols>
    <col min="1" max="1" width="36.81640625" customWidth="1"/>
    <col min="2" max="2" width="10.1796875" style="275" customWidth="1"/>
    <col min="3" max="3" width="15.1796875" style="25" customWidth="1"/>
    <col min="4" max="4" width="6.1796875" style="25" customWidth="1"/>
    <col min="5" max="5" width="66.453125" customWidth="1"/>
    <col min="6" max="7" width="39.1796875" customWidth="1"/>
    <col min="8" max="8" width="6" style="275" customWidth="1"/>
    <col min="9" max="9" width="14.1796875" style="25" customWidth="1"/>
    <col min="10" max="10" width="8.81640625" hidden="1" customWidth="1"/>
    <col min="11" max="11" width="9.1796875" hidden="1" customWidth="1"/>
    <col min="12" max="12" width="14.81640625" hidden="1" customWidth="1"/>
    <col min="13" max="13" width="9.1796875" hidden="1" customWidth="1"/>
    <col min="14" max="14" width="9.1796875" customWidth="1"/>
  </cols>
  <sheetData>
    <row r="1" spans="1:15" s="105" customFormat="1" ht="27.75" customHeight="1" thickBot="1" x14ac:dyDescent="0.4">
      <c r="A1" s="460" t="str">
        <f>Profile!F1</f>
        <v>Maize</v>
      </c>
      <c r="B1" s="461"/>
      <c r="C1" s="367" t="s">
        <v>22</v>
      </c>
      <c r="D1" s="456" t="str">
        <f>Profile!E2</f>
        <v>Georgia</v>
      </c>
      <c r="E1" s="457"/>
      <c r="F1" s="365" t="s">
        <v>26</v>
      </c>
      <c r="G1" s="366" t="str">
        <f>Profile!B3</f>
        <v xml:space="preserve"> . . / . . / 20 . .</v>
      </c>
      <c r="H1" s="458" t="s">
        <v>81</v>
      </c>
      <c r="I1" s="459"/>
      <c r="M1" s="106"/>
    </row>
    <row r="2" spans="1:15" s="105" customFormat="1" ht="10.5" customHeight="1" x14ac:dyDescent="0.25">
      <c r="A2" s="464" t="s">
        <v>9</v>
      </c>
      <c r="B2" s="476" t="s">
        <v>89</v>
      </c>
      <c r="C2" s="479" t="s">
        <v>88</v>
      </c>
      <c r="D2" s="467" t="s">
        <v>7</v>
      </c>
      <c r="E2" s="473" t="s">
        <v>10</v>
      </c>
      <c r="F2" s="467" t="s">
        <v>18</v>
      </c>
      <c r="G2" s="470" t="s">
        <v>87</v>
      </c>
      <c r="H2" s="458" t="s">
        <v>83</v>
      </c>
      <c r="I2" s="459"/>
      <c r="M2" s="106"/>
    </row>
    <row r="3" spans="1:15" s="106" customFormat="1" ht="13.5" customHeight="1" thickBot="1" x14ac:dyDescent="0.3">
      <c r="A3" s="465"/>
      <c r="B3" s="477"/>
      <c r="C3" s="480"/>
      <c r="D3" s="468"/>
      <c r="E3" s="474"/>
      <c r="F3" s="468"/>
      <c r="G3" s="471"/>
      <c r="H3" s="462" t="s">
        <v>82</v>
      </c>
      <c r="I3" s="463"/>
      <c r="L3" s="107" t="str">
        <f>Questionnaire!$N$3</f>
        <v>High</v>
      </c>
      <c r="M3" s="106" t="s">
        <v>20</v>
      </c>
    </row>
    <row r="4" spans="1:15" s="108" customFormat="1" ht="13.5" thickBot="1" x14ac:dyDescent="0.3">
      <c r="A4" s="466"/>
      <c r="B4" s="478"/>
      <c r="C4" s="481"/>
      <c r="D4" s="469"/>
      <c r="E4" s="475"/>
      <c r="F4" s="469"/>
      <c r="G4" s="472"/>
      <c r="H4" s="84" t="s">
        <v>1</v>
      </c>
      <c r="I4" s="85" t="s">
        <v>6</v>
      </c>
      <c r="L4" s="107" t="str">
        <f>Questionnaire!$N$4</f>
        <v>Substantial</v>
      </c>
      <c r="M4" s="106" t="s">
        <v>3</v>
      </c>
    </row>
    <row r="5" spans="1:15" s="106" customFormat="1" ht="15" customHeight="1" thickBot="1" x14ac:dyDescent="0.3">
      <c r="A5" s="53" t="str">
        <f>Questionnaire!$A$3</f>
        <v>1. WORKING CONDITIONS</v>
      </c>
      <c r="B5" s="54"/>
      <c r="C5" s="54"/>
      <c r="D5" s="54"/>
      <c r="E5" s="55"/>
      <c r="F5" s="55"/>
      <c r="G5" s="55"/>
      <c r="H5" s="55"/>
      <c r="I5" s="279"/>
      <c r="L5" s="107" t="str">
        <f>Questionnaire!$N$5</f>
        <v>Moderate/Low</v>
      </c>
      <c r="M5" s="106" t="s">
        <v>21</v>
      </c>
    </row>
    <row r="6" spans="1:15" s="109" customFormat="1" ht="14" x14ac:dyDescent="0.25">
      <c r="A6" s="56" t="str">
        <f>Questionnaire!$A$4</f>
        <v>1.1 Respect of labour rights</v>
      </c>
      <c r="B6" s="333">
        <f>Questionnaire!J10</f>
        <v>2.4</v>
      </c>
      <c r="C6" s="334" t="str">
        <f>IF(B6&lt;1.5,$L$6,IF(B6&lt;2.5,$L$5,IF(B6&lt;3.5,$L$4,IF(B6&lt;4.5,$L$3,"n/a"))))</f>
        <v>Moderate/Low</v>
      </c>
      <c r="D6" s="335" t="str">
        <f>IF(H6&lt;B6,"↑",IF(H6&gt;B6,"↓","↔"))</f>
        <v>↑</v>
      </c>
      <c r="E6" s="2" t="s">
        <v>124</v>
      </c>
      <c r="F6" s="1"/>
      <c r="G6" s="1"/>
      <c r="H6" s="236">
        <v>0</v>
      </c>
      <c r="I6" s="278" t="str">
        <f>IF(H6&lt;1.5,$L$6,IF(H6&lt;2.5,$L$5,IF(H6&lt;3.5,$L$4,IF(H6&lt;4.5,$L$3,"n/a"))))</f>
        <v>Not at all</v>
      </c>
      <c r="K6" s="109" t="s">
        <v>11</v>
      </c>
      <c r="L6" s="107" t="str">
        <f>Questionnaire!$N$6</f>
        <v>Not at all</v>
      </c>
      <c r="M6" s="109" t="s">
        <v>4</v>
      </c>
    </row>
    <row r="7" spans="1:15" s="109" customFormat="1" ht="14" x14ac:dyDescent="0.25">
      <c r="A7" s="57" t="str">
        <f>Questionnaire!$A$11</f>
        <v>1.2 Child Labour</v>
      </c>
      <c r="B7" s="336">
        <f>Questionnaire!J14</f>
        <v>4</v>
      </c>
      <c r="C7" s="337" t="str">
        <f>IF(B7&lt;1.5,$L$6,IF(B7&lt;2.5,$L$5,IF(B7&lt;3.5,$L$4,IF(B7&lt;4.5,$L$3,"n/a"))))</f>
        <v>High</v>
      </c>
      <c r="D7" s="338" t="str">
        <f>IF(H7&lt;B7,"↑",IF(H7&gt;B7,"↓","↔"))</f>
        <v>↑</v>
      </c>
      <c r="E7" s="3"/>
      <c r="F7" s="3"/>
      <c r="G7" s="3"/>
      <c r="H7" s="237">
        <v>0</v>
      </c>
      <c r="I7" s="278" t="str">
        <f>IF(H7&lt;1.5,$L$6,IF(H7&lt;2.5,$L$5,IF(H7&lt;3.5,$L$4,IF(H7&lt;4.5,$L$3,"n/a"))))</f>
        <v>Not at all</v>
      </c>
      <c r="K7" s="109" t="s">
        <v>12</v>
      </c>
      <c r="L7" s="107" t="str">
        <f>Questionnaire!$N$7</f>
        <v>n/a</v>
      </c>
    </row>
    <row r="8" spans="1:15" s="109" customFormat="1" ht="14" x14ac:dyDescent="0.25">
      <c r="A8" s="57" t="str">
        <f>Questionnaire!$A$15</f>
        <v>1.3 Job safety</v>
      </c>
      <c r="B8" s="336">
        <f>Questionnaire!J17</f>
        <v>2</v>
      </c>
      <c r="C8" s="339" t="str">
        <f>IF(B8&lt;1.5,$L$6,IF(B8&lt;2.5,$L$5,IF(B8&lt;3.5,$L$4,IF(B8&lt;4.5,$L$3,"n/a"))))</f>
        <v>Moderate/Low</v>
      </c>
      <c r="D8" s="338" t="str">
        <f>IF(H8&lt;B8,"↑",IF(H8&gt;B8,"↓","↔"))</f>
        <v>↑</v>
      </c>
      <c r="E8" s="3"/>
      <c r="F8" s="3"/>
      <c r="G8" s="3"/>
      <c r="H8" s="237">
        <v>0</v>
      </c>
      <c r="I8" s="278" t="str">
        <f>IF(H8&lt;1.5,$L$6,IF(H8&lt;2.5,$L$5,IF(H8&lt;3.5,$L$4,IF(H8&lt;4.5,$L$3,"n/a"))))</f>
        <v>Not at all</v>
      </c>
      <c r="K8" s="109" t="s">
        <v>13</v>
      </c>
      <c r="L8" s="107"/>
    </row>
    <row r="9" spans="1:15" s="109" customFormat="1" ht="14.5" thickBot="1" x14ac:dyDescent="0.3">
      <c r="A9" s="58" t="str">
        <f>Questionnaire!$A$18</f>
        <v>1.4 Attractiveness</v>
      </c>
      <c r="B9" s="340">
        <f>Questionnaire!J21</f>
        <v>2.5</v>
      </c>
      <c r="C9" s="337" t="str">
        <f>IF(B9&lt;1.5,$L$6,IF(B9&lt;2.5,$L$5,IF(B9&lt;3.5,$L$4,IF(B9&lt;4.5,$L$3,"n/a"))))</f>
        <v>Substantial</v>
      </c>
      <c r="D9" s="341" t="str">
        <f>IF(H9&lt;B9,"↑",IF(H9&gt;B9,"↓","↔"))</f>
        <v>↑</v>
      </c>
      <c r="E9" s="4"/>
      <c r="F9" s="4"/>
      <c r="G9" s="4"/>
      <c r="H9" s="238">
        <v>0</v>
      </c>
      <c r="I9" s="249" t="str">
        <f>IF(H9&lt;1.5,$L$6,IF(H9&lt;2.5,$L$5,IF(H9&lt;3.5,$L$4,IF(H9&lt;4.5,$L$3,"n/a"))))</f>
        <v>Not at all</v>
      </c>
      <c r="L9" s="107"/>
    </row>
    <row r="10" spans="1:15" s="109" customFormat="1" ht="18" customHeight="1" thickTop="1" thickBot="1" x14ac:dyDescent="0.35">
      <c r="A10" s="59" t="s">
        <v>14</v>
      </c>
      <c r="B10" s="342">
        <f>IF(COUNT(B6:B9)=0,"n/a",(AVERAGE(B6:B9)))</f>
        <v>2.7250000000000001</v>
      </c>
      <c r="C10" s="399" t="str">
        <f>IF(B10&lt;1.5,$L$6,IF(B10&lt;2.5,$L$5,IF(B10&lt;3.5,$L$4,IF(B10&lt;4.5,$L$3,"n/a"))))</f>
        <v>Substantial</v>
      </c>
      <c r="D10" s="343" t="str">
        <f>IF(H10&lt;B10,"↑",IF(H10&gt;B10,"↓","↔"))</f>
        <v>↑</v>
      </c>
      <c r="E10" s="11"/>
      <c r="F10" s="110"/>
      <c r="G10" s="110"/>
      <c r="H10" s="12">
        <f>AVERAGE(H6:H9)</f>
        <v>0</v>
      </c>
      <c r="I10" s="277" t="str">
        <f>IF(H10&lt;1.5,$L$6,IF(H10&lt;2.5,$L$5,IF(H10&lt;3.5,$L$4,IF(H10&lt;4.5,$L$3,"n/a"))))</f>
        <v>Not at all</v>
      </c>
      <c r="O10" s="285"/>
    </row>
    <row r="11" spans="1:15" s="109" customFormat="1" ht="15" customHeight="1" thickBot="1" x14ac:dyDescent="0.3">
      <c r="A11" s="60" t="str">
        <f>Questionnaire!$A$22</f>
        <v>2. LAND &amp; WATER RIGHTS</v>
      </c>
      <c r="B11" s="344"/>
      <c r="C11" s="344"/>
      <c r="D11" s="345"/>
      <c r="E11" s="61"/>
      <c r="F11" s="61"/>
      <c r="G11" s="61"/>
      <c r="H11" s="61"/>
      <c r="I11" s="280"/>
    </row>
    <row r="12" spans="1:15" s="109" customFormat="1" ht="18" customHeight="1" x14ac:dyDescent="0.25">
      <c r="A12" s="62" t="str">
        <f>Questionnaire!$A$23</f>
        <v xml:space="preserve">2.1 Adherence to VGGT </v>
      </c>
      <c r="B12" s="346">
        <f>Questionnaire!J26</f>
        <v>2.5</v>
      </c>
      <c r="C12" s="347" t="str">
        <f>IF(B12&lt;1.5,$L$6,IF(B12&lt;2.5,$L$5,IF(B12&lt;3.5,$L$4,IF(B12&lt;4.5,$L$3,"n/a"))))</f>
        <v>Substantial</v>
      </c>
      <c r="D12" s="338" t="str">
        <f>IF(H12&lt;B12,"↑",IF(H12&gt;B12,"↓","↔"))</f>
        <v>↑</v>
      </c>
      <c r="E12" s="5"/>
      <c r="F12" s="1"/>
      <c r="G12" s="1"/>
      <c r="H12" s="236">
        <v>0</v>
      </c>
      <c r="I12" s="278" t="str">
        <f>IF(H12&lt;1.5,$L$6,IF(H12&lt;2.5,$L$5,IF(H12&lt;3.5,$L$4,IF(H12&lt;4.5,$L$3,"n/a"))))</f>
        <v>Not at all</v>
      </c>
    </row>
    <row r="13" spans="1:15" s="109" customFormat="1" ht="16.5" customHeight="1" x14ac:dyDescent="0.25">
      <c r="A13" s="63" t="str">
        <f>Questionnaire!$A$27</f>
        <v>2.2 Transparency, participation and consultation</v>
      </c>
      <c r="B13" s="348">
        <f>Questionnaire!J32</f>
        <v>2.3333333333333335</v>
      </c>
      <c r="C13" s="339" t="str">
        <f>IF(B13&lt;1.5,$L$6,IF(B13&lt;2.5,$L$5,IF(B13&lt;3.5,$L$4,IF(B13&lt;4.5,$L$3,"n/a"))))</f>
        <v>Moderate/Low</v>
      </c>
      <c r="D13" s="338" t="str">
        <f>IF(H13&lt;B13,"↑",IF(H13&gt;B13,"↓","↔"))</f>
        <v>↑</v>
      </c>
      <c r="E13" s="6"/>
      <c r="F13" s="3"/>
      <c r="G13" s="3"/>
      <c r="H13" s="237">
        <v>0</v>
      </c>
      <c r="I13" s="278" t="str">
        <f>IF(H13&lt;1.5,$L$6,IF(H13&lt;2.5,$L$5,IF(H13&lt;3.5,$L$4,IF(H13&lt;4.5,$L$3,"n/a"))))</f>
        <v>Not at all</v>
      </c>
    </row>
    <row r="14" spans="1:15" s="109" customFormat="1" ht="18.75" customHeight="1" thickBot="1" x14ac:dyDescent="0.3">
      <c r="A14" s="64" t="str">
        <f>Questionnaire!$A$33</f>
        <v>2.3  Equity,compensation and justice</v>
      </c>
      <c r="B14" s="349">
        <f>Questionnaire!J38</f>
        <v>3</v>
      </c>
      <c r="C14" s="337" t="str">
        <f>IF(B14&lt;1.5,$L$6,IF(B14&lt;2.5,$L$5,IF(B14&lt;3.5,$L$4,IF(B14&lt;4.5,$L$3,"n/a"))))</f>
        <v>Substantial</v>
      </c>
      <c r="D14" s="341" t="str">
        <f>IF(H14&lt;B14,"↑",IF(H14&gt;B14,"↓","↔"))</f>
        <v>↑</v>
      </c>
      <c r="E14" s="7"/>
      <c r="F14" s="4"/>
      <c r="G14" s="4"/>
      <c r="H14" s="238">
        <v>0</v>
      </c>
      <c r="I14" s="249" t="str">
        <f>IF(H14&lt;1.5,$L$6,IF(H14&lt;2.5,$L$5,IF(H14&lt;3.5,$L$4,IF(H14&lt;4.5,$L$3,"n/a"))))</f>
        <v>Not at all</v>
      </c>
    </row>
    <row r="15" spans="1:15" s="106" customFormat="1" ht="13.5" thickTop="1" thickBot="1" x14ac:dyDescent="0.3">
      <c r="A15" s="65" t="s">
        <v>14</v>
      </c>
      <c r="B15" s="350">
        <f>IF(COUNT(B12:B14)=0,"n/a",(AVERAGE(B12:B14)))</f>
        <v>2.6111111111111112</v>
      </c>
      <c r="C15" s="351" t="str">
        <f>IF(B15&lt;1.5,$L$6,IF(B15&lt;2.5,$L$5,IF(B15&lt;3.5,$L$4,IF(B15&lt;4.5,$L$3,"n/a"))))</f>
        <v>Substantial</v>
      </c>
      <c r="D15" s="343" t="str">
        <f>IF(H15&lt;B15,"↑",IF(H15&gt;B15,"↓","↔"))</f>
        <v>↑</v>
      </c>
      <c r="E15" s="110"/>
      <c r="F15" s="110"/>
      <c r="G15" s="110"/>
      <c r="H15" s="10">
        <f>AVERAGE(H12:H14)</f>
        <v>0</v>
      </c>
      <c r="I15" s="277" t="str">
        <f>IF(H15&lt;1.5,$L$6,IF(H15&lt;2.5,$L$5,IF(H15&lt;3.5,$L$4,IF(H15&lt;4.5,$L$3,"n/a"))))</f>
        <v>Not at all</v>
      </c>
    </row>
    <row r="16" spans="1:15" s="109" customFormat="1" ht="15" customHeight="1" thickBot="1" x14ac:dyDescent="0.3">
      <c r="A16" s="66" t="str">
        <f>Questionnaire!$A$39</f>
        <v>3. GENDER EQUALITY</v>
      </c>
      <c r="B16" s="344"/>
      <c r="C16" s="344"/>
      <c r="D16" s="344"/>
      <c r="E16" s="67"/>
      <c r="F16" s="67"/>
      <c r="G16" s="67"/>
      <c r="H16" s="67"/>
      <c r="I16" s="281"/>
    </row>
    <row r="17" spans="1:9" s="109" customFormat="1" ht="14" x14ac:dyDescent="0.25">
      <c r="A17" s="68" t="str">
        <f>Questionnaire!$A$40</f>
        <v>3.1 Economic activities</v>
      </c>
      <c r="B17" s="346">
        <f>Questionnaire!J43</f>
        <v>3</v>
      </c>
      <c r="C17" s="347" t="str">
        <f t="shared" ref="C17:C22" si="0">IF(B17&lt;1.5,$L$6,IF(B17&lt;2.5,$L$5,IF(B17&lt;3.5,$L$4,IF(B17&lt;4.5,$L$3,"n/a"))))</f>
        <v>Substantial</v>
      </c>
      <c r="D17" s="338" t="str">
        <f t="shared" ref="D17:D22" si="1">IF(H17&lt;B17,"↑",IF(H17&gt;B17,"↓","↔"))</f>
        <v>↑</v>
      </c>
      <c r="E17" s="5"/>
      <c r="F17" s="1"/>
      <c r="G17" s="1"/>
      <c r="H17" s="236">
        <v>0</v>
      </c>
      <c r="I17" s="278" t="str">
        <f t="shared" ref="I17:I22" si="2">IF(H17&lt;1.5,$L$6,IF(H17&lt;2.5,$L$5,IF(H17&lt;3.5,$L$4,IF(H17&lt;4.5,$L$3,"n/a"))))</f>
        <v>Not at all</v>
      </c>
    </row>
    <row r="18" spans="1:9" s="109" customFormat="1" ht="14" x14ac:dyDescent="0.25">
      <c r="A18" s="68" t="str">
        <f>Questionnaire!$A$44</f>
        <v>3.2 Access to resources and services</v>
      </c>
      <c r="B18" s="348">
        <f>Questionnaire!J49</f>
        <v>2.5</v>
      </c>
      <c r="C18" s="352" t="str">
        <f t="shared" si="0"/>
        <v>Substantial</v>
      </c>
      <c r="D18" s="338" t="str">
        <f t="shared" si="1"/>
        <v>↑</v>
      </c>
      <c r="E18" s="6"/>
      <c r="F18" s="3"/>
      <c r="G18" s="3"/>
      <c r="H18" s="237">
        <v>0</v>
      </c>
      <c r="I18" s="278" t="str">
        <f t="shared" si="2"/>
        <v>Not at all</v>
      </c>
    </row>
    <row r="19" spans="1:9" s="109" customFormat="1" ht="14" x14ac:dyDescent="0.25">
      <c r="A19" s="68" t="str">
        <f>Questionnaire!$A$50</f>
        <v>3.3 Decision making</v>
      </c>
      <c r="B19" s="348">
        <f>Questionnaire!J56</f>
        <v>2.8</v>
      </c>
      <c r="C19" s="339" t="str">
        <f t="shared" si="0"/>
        <v>Substantial</v>
      </c>
      <c r="D19" s="353" t="str">
        <f t="shared" si="1"/>
        <v>↑</v>
      </c>
      <c r="E19" s="241"/>
      <c r="F19" s="3"/>
      <c r="G19" s="242"/>
      <c r="H19" s="240">
        <v>0</v>
      </c>
      <c r="I19" s="278" t="str">
        <f t="shared" si="2"/>
        <v>Not at all</v>
      </c>
    </row>
    <row r="20" spans="1:9" s="109" customFormat="1" ht="14" x14ac:dyDescent="0.25">
      <c r="A20" s="68" t="str">
        <f>Questionnaire!$A$57</f>
        <v>3.4 Leadership and empowerment</v>
      </c>
      <c r="B20" s="348">
        <f>Questionnaire!J62</f>
        <v>3</v>
      </c>
      <c r="C20" s="337" t="str">
        <f t="shared" si="0"/>
        <v>Substantial</v>
      </c>
      <c r="D20" s="338" t="str">
        <f t="shared" si="1"/>
        <v>↑</v>
      </c>
      <c r="E20" s="82"/>
      <c r="F20" s="83"/>
      <c r="G20" s="83"/>
      <c r="H20" s="237">
        <v>0</v>
      </c>
      <c r="I20" s="278" t="str">
        <f t="shared" si="2"/>
        <v>Not at all</v>
      </c>
    </row>
    <row r="21" spans="1:9" s="109" customFormat="1" ht="14.5" thickBot="1" x14ac:dyDescent="0.3">
      <c r="A21" s="69" t="str">
        <f>Questionnaire!$A$63</f>
        <v>3.5 Hardship and division of labour</v>
      </c>
      <c r="B21" s="349">
        <f>Questionnaire!J66</f>
        <v>3</v>
      </c>
      <c r="C21" s="354" t="str">
        <f t="shared" si="0"/>
        <v>Substantial</v>
      </c>
      <c r="D21" s="341" t="str">
        <f t="shared" si="1"/>
        <v>↑</v>
      </c>
      <c r="E21" s="7"/>
      <c r="F21" s="4"/>
      <c r="G21" s="4"/>
      <c r="H21" s="238">
        <v>0</v>
      </c>
      <c r="I21" s="249" t="str">
        <f t="shared" si="2"/>
        <v>Not at all</v>
      </c>
    </row>
    <row r="22" spans="1:9" s="106" customFormat="1" ht="13.5" thickTop="1" thickBot="1" x14ac:dyDescent="0.3">
      <c r="A22" s="81" t="s">
        <v>14</v>
      </c>
      <c r="B22" s="350">
        <f>IF(COUNT(B17:B21)=0,"n/a",(AVERAGE(B17:B21)))</f>
        <v>2.8600000000000003</v>
      </c>
      <c r="C22" s="355" t="str">
        <f t="shared" si="0"/>
        <v>Substantial</v>
      </c>
      <c r="D22" s="343" t="str">
        <f t="shared" si="1"/>
        <v>↑</v>
      </c>
      <c r="E22" s="110"/>
      <c r="F22" s="110"/>
      <c r="G22" s="110"/>
      <c r="H22" s="10">
        <f>AVERAGE(H17:H21)</f>
        <v>0</v>
      </c>
      <c r="I22" s="277" t="str">
        <f t="shared" si="2"/>
        <v>Not at all</v>
      </c>
    </row>
    <row r="23" spans="1:9" s="109" customFormat="1" ht="15" customHeight="1" thickBot="1" x14ac:dyDescent="0.3">
      <c r="A23" s="52" t="str">
        <f>Questionnaire!$A$67</f>
        <v>4. FOOD AND NUTRITION SECURITY</v>
      </c>
      <c r="B23" s="344"/>
      <c r="C23" s="344"/>
      <c r="D23" s="344"/>
      <c r="E23" s="70"/>
      <c r="F23" s="70"/>
      <c r="G23" s="70"/>
      <c r="H23" s="70"/>
      <c r="I23" s="282"/>
    </row>
    <row r="24" spans="1:9" s="109" customFormat="1" ht="18.75" customHeight="1" x14ac:dyDescent="0.25">
      <c r="A24" s="71" t="str">
        <f>Questionnaire!$A$68</f>
        <v xml:space="preserve">4.1 Availability of food </v>
      </c>
      <c r="B24" s="346">
        <f>Questionnaire!J71</f>
        <v>3</v>
      </c>
      <c r="C24" s="347" t="str">
        <f>IF(B24&lt;1.5,$L$6,IF(B24&lt;2.5,$L$5,IF(B24&lt;3.5,$L$4,IF(B24&lt;4.5,$L$3,"n/a"))))</f>
        <v>Substantial</v>
      </c>
      <c r="D24" s="335" t="str">
        <f>IF(H24&lt;B24,"↑",IF(H24&gt;B24,"↓","↔"))</f>
        <v>↑</v>
      </c>
      <c r="E24" s="5"/>
      <c r="F24" s="1"/>
      <c r="G24" s="1"/>
      <c r="H24" s="236">
        <v>0</v>
      </c>
      <c r="I24" s="278" t="str">
        <f>IF(H24&lt;1.5,$L$6,IF(H24&lt;2.5,$L$5,IF(H24&lt;3.5,$L$4,IF(H24&lt;4.5,$L$3,"n/a"))))</f>
        <v>Not at all</v>
      </c>
    </row>
    <row r="25" spans="1:9" s="109" customFormat="1" ht="16.5" customHeight="1" x14ac:dyDescent="0.25">
      <c r="A25" s="72" t="str">
        <f>Questionnaire!$A$72</f>
        <v xml:space="preserve">4.2 Accessibility of food </v>
      </c>
      <c r="B25" s="348">
        <f>Questionnaire!J75</f>
        <v>2.5</v>
      </c>
      <c r="C25" s="339" t="str">
        <f>IF(B25&lt;1.5,$L$6,IF(B25&lt;2.5,$L$5,IF(B25&lt;3.5,$L$4,IF(B25&lt;4.5,$L$3,"n/a"))))</f>
        <v>Substantial</v>
      </c>
      <c r="D25" s="338" t="str">
        <f>IF(H25&lt;B25,"↑",IF(H25&gt;B25,"↓","↔"))</f>
        <v>↑</v>
      </c>
      <c r="E25" s="6"/>
      <c r="F25" s="3"/>
      <c r="G25" s="3"/>
      <c r="H25" s="237">
        <v>0</v>
      </c>
      <c r="I25" s="278" t="str">
        <f>IF(H25&lt;1.5,$L$6,IF(H25&lt;2.5,$L$5,IF(H25&lt;3.5,$L$4,IF(H25&lt;4.5,$L$3,"n/a"))))</f>
        <v>Not at all</v>
      </c>
    </row>
    <row r="26" spans="1:9" s="109" customFormat="1" ht="14" x14ac:dyDescent="0.25">
      <c r="A26" s="73" t="str">
        <f>Questionnaire!$A$76</f>
        <v xml:space="preserve">4.3 Utilisation and nutritional adequacy </v>
      </c>
      <c r="B26" s="348">
        <f>Questionnaire!J80</f>
        <v>3</v>
      </c>
      <c r="C26" s="339" t="str">
        <f>IF(B26&lt;1.5,$L$6,IF(B26&lt;2.5,$L$5,IF(B26&lt;3.5,$L$4,IF(B26&lt;4.5,$L$3,"n/a"))))</f>
        <v>Substantial</v>
      </c>
      <c r="D26" s="338" t="str">
        <f>IF(H26&lt;B26,"↑",IF(H26&gt;B26,"↓","↔"))</f>
        <v>↑</v>
      </c>
      <c r="E26" s="6"/>
      <c r="F26" s="3"/>
      <c r="G26" s="3"/>
      <c r="H26" s="237">
        <v>0</v>
      </c>
      <c r="I26" s="278" t="str">
        <f>IF(H26&lt;1.5,$L$6,IF(H26&lt;2.5,$L$5,IF(H26&lt;3.5,$L$4,IF(H26&lt;4.5,$L$3,"n/a"))))</f>
        <v>Not at all</v>
      </c>
    </row>
    <row r="27" spans="1:9" s="109" customFormat="1" ht="14.5" thickBot="1" x14ac:dyDescent="0.3">
      <c r="A27" s="74" t="str">
        <f>Questionnaire!$A$81</f>
        <v xml:space="preserve">4.4 Stability </v>
      </c>
      <c r="B27" s="349">
        <f>Questionnaire!J84</f>
        <v>2.5</v>
      </c>
      <c r="C27" s="337" t="str">
        <f>IF(B27&lt;1.5,$L$6,IF(B27&lt;2.5,$L$5,IF(B27&lt;3.5,$L$4,IF(B27&lt;4.5,$L$3,"n/a"))))</f>
        <v>Substantial</v>
      </c>
      <c r="D27" s="341" t="str">
        <f>IF(H27&lt;B27,"↑",IF(H27&gt;B27,"↓","↔"))</f>
        <v>↑</v>
      </c>
      <c r="E27" s="7"/>
      <c r="F27" s="4"/>
      <c r="G27" s="4"/>
      <c r="H27" s="238">
        <v>0</v>
      </c>
      <c r="I27" s="249" t="str">
        <f>IF(H27&lt;1.5,$L$6,IF(H27&lt;2.5,$L$5,IF(H27&lt;3.5,$L$4,IF(H27&lt;4.5,$L$3,"n/a"))))</f>
        <v>Not at all</v>
      </c>
    </row>
    <row r="28" spans="1:9" s="106" customFormat="1" ht="13.5" thickTop="1" thickBot="1" x14ac:dyDescent="0.3">
      <c r="A28" s="75" t="s">
        <v>14</v>
      </c>
      <c r="B28" s="350">
        <f>IF(COUNT(B24:B27)=0,"n/a",(AVERAGE(B24:B27)))</f>
        <v>2.75</v>
      </c>
      <c r="C28" s="351" t="str">
        <f>IF(B28&lt;1.5,$L$6,IF(B28&lt;2.5,$L$5,IF(B28&lt;3.5,$L$4,IF(B28&lt;4.5,$L$3,"n/a"))))</f>
        <v>Substantial</v>
      </c>
      <c r="D28" s="343" t="str">
        <f>IF(H28&lt;B28,"↑",IF(H28&gt;B28,"↓","↔"))</f>
        <v>↑</v>
      </c>
      <c r="E28" s="110"/>
      <c r="F28" s="110"/>
      <c r="G28" s="110"/>
      <c r="H28" s="10">
        <f>AVERAGE(H24:H27)</f>
        <v>0</v>
      </c>
      <c r="I28" s="277" t="str">
        <f>IF(H28&lt;1.5,$L$6,IF(H28&lt;2.5,$L$5,IF(H28&lt;3.5,$L$4,IF(H28&lt;4.5,$L$3,"n/a"))))</f>
        <v>Not at all</v>
      </c>
    </row>
    <row r="29" spans="1:9" s="106" customFormat="1" ht="13.5" thickBot="1" x14ac:dyDescent="0.3">
      <c r="A29" s="306" t="str">
        <f>Questionnaire!$A$85</f>
        <v>5. SOCIAL CAPITAL</v>
      </c>
      <c r="B29" s="356"/>
      <c r="C29" s="357"/>
      <c r="D29" s="357"/>
      <c r="E29" s="298"/>
      <c r="F29" s="298"/>
      <c r="G29" s="298"/>
      <c r="H29" s="299"/>
      <c r="I29" s="300"/>
    </row>
    <row r="30" spans="1:9" s="106" customFormat="1" x14ac:dyDescent="0.25">
      <c r="A30" s="303" t="str">
        <f>Questionnaire!$A$86</f>
        <v>5.1 Strength of producer organisations</v>
      </c>
      <c r="B30" s="358">
        <f>Questionnaire!J91</f>
        <v>2.5</v>
      </c>
      <c r="C30" s="334" t="str">
        <f>IF(B30&lt;1.5,$L$6,IF(B30&lt;2.5,$L$5,IF(B30&lt;3.5,$L$4,IF(B30&lt;4.5,$L$3,"n/a"))))</f>
        <v>Substantial</v>
      </c>
      <c r="D30" s="335" t="str">
        <f>IF(H30&lt;B30,"↑",IF(H30&gt;B30,"↓","↔"))</f>
        <v>↑</v>
      </c>
      <c r="E30" s="401"/>
      <c r="F30" s="402"/>
      <c r="G30" s="403"/>
      <c r="H30" s="236">
        <v>0</v>
      </c>
      <c r="I30" s="278" t="str">
        <f>IF(H30&lt;1.5,$L$6,IF(H30&lt;2.5,$L$5,IF(H30&lt;3.5,$L$4,IF(H30&lt;4.5,$L$3,"n/a"))))</f>
        <v>Not at all</v>
      </c>
    </row>
    <row r="31" spans="1:9" s="106" customFormat="1" x14ac:dyDescent="0.25">
      <c r="A31" s="304" t="str">
        <f>Questionnaire!$A$92</f>
        <v>5.2 Information and confidence</v>
      </c>
      <c r="B31" s="359">
        <f>Questionnaire!J95</f>
        <v>3</v>
      </c>
      <c r="C31" s="339" t="str">
        <f>IF(B31&lt;1.5,$L$6,IF(B31&lt;2.5,$L$5,IF(B31&lt;3.5,$L$4,IF(B31&lt;4.5,$L$3,"n/a"))))</f>
        <v>Substantial</v>
      </c>
      <c r="D31" s="352" t="str">
        <f>IF(H31&lt;B31,"↑",IF(H31&gt;B31,"↓","↔"))</f>
        <v>↑</v>
      </c>
      <c r="E31" s="404"/>
      <c r="F31" s="405"/>
      <c r="G31" s="406"/>
      <c r="H31" s="236">
        <v>0</v>
      </c>
      <c r="I31" s="278" t="str">
        <f>IF(H31&lt;1.5,$L$6,IF(H31&lt;2.5,$L$5,IF(H31&lt;3.5,$L$4,IF(H31&lt;4.5,$L$3,"n/a"))))</f>
        <v>Not at all</v>
      </c>
    </row>
    <row r="32" spans="1:9" s="106" customFormat="1" ht="13" thickBot="1" x14ac:dyDescent="0.3">
      <c r="A32" s="305" t="str">
        <f>Questionnaire!$A$96</f>
        <v>5.3 Social involvement</v>
      </c>
      <c r="B32" s="360">
        <f>Questionnaire!J100</f>
        <v>3.3333333333333335</v>
      </c>
      <c r="C32" s="337" t="str">
        <f>IF(B32&lt;1.5,$L$6,IF(B32&lt;2.5,$L$5,IF(B32&lt;3.5,$L$4,IF(B32&lt;4.5,$L$3,"n/a"))))</f>
        <v>Substantial</v>
      </c>
      <c r="D32" s="354" t="str">
        <f>IF(H32&lt;B32,"↑",IF(H32&gt;B32,"↓","↔"))</f>
        <v>↑</v>
      </c>
      <c r="E32" s="407"/>
      <c r="F32" s="408"/>
      <c r="G32" s="409"/>
      <c r="H32" s="238">
        <v>0</v>
      </c>
      <c r="I32" s="245" t="str">
        <f>IF(H32&lt;1.5,$L$6,IF(H32&lt;2.5,$L$5,IF(H32&lt;3.5,$L$4,IF(H32&lt;4.5,$L$3,"n/a"))))</f>
        <v>Not at all</v>
      </c>
    </row>
    <row r="33" spans="1:9" s="106" customFormat="1" ht="13.5" thickTop="1" thickBot="1" x14ac:dyDescent="0.3">
      <c r="A33" s="301" t="s">
        <v>14</v>
      </c>
      <c r="B33" s="350">
        <f>IF(COUNT(B30:B32)=0,"n/a",(AVERAGE(B30:B32)))</f>
        <v>2.9444444444444446</v>
      </c>
      <c r="C33" s="351" t="str">
        <f>IF(B33&lt;1.5,$L$6,IF(B33&lt;2.5,$L$5,IF(B33&lt;3.5,$L$4,IF(B33&lt;4.5,$L$3,"n/a"))))</f>
        <v>Substantial</v>
      </c>
      <c r="D33" s="343" t="str">
        <f>IF(H33&lt;B33,"↑",IF(H33&gt;B33,"↓","↔"))</f>
        <v>↑</v>
      </c>
      <c r="E33" s="110"/>
      <c r="F33" s="302"/>
      <c r="G33" s="110"/>
      <c r="H33" s="10">
        <f>AVERAGE(H30:H32)</f>
        <v>0</v>
      </c>
      <c r="I33" s="286" t="str">
        <f>IF(H33&lt;1.5,$L$6,IF(H33&lt;2.5,$L$5,IF(H33&lt;3.5,$L$4,IF(H33&lt;4.5,$L$3,"n/a"))))</f>
        <v>Not at all</v>
      </c>
    </row>
    <row r="34" spans="1:9" s="109" customFormat="1" ht="15" customHeight="1" thickBot="1" x14ac:dyDescent="0.3">
      <c r="A34" s="76" t="str">
        <f>Questionnaire!$A$101</f>
        <v>6. LIVING CONDITIONS</v>
      </c>
      <c r="B34" s="361"/>
      <c r="C34" s="362"/>
      <c r="D34" s="362"/>
      <c r="E34" s="78"/>
      <c r="F34" s="78"/>
      <c r="G34" s="78"/>
      <c r="H34" s="77"/>
      <c r="I34" s="283"/>
    </row>
    <row r="35" spans="1:9" s="109" customFormat="1" ht="15" customHeight="1" thickBot="1" x14ac:dyDescent="0.3">
      <c r="A35" s="246" t="str">
        <f>Questionnaire!$A$102</f>
        <v>6.1 Health services</v>
      </c>
      <c r="B35" s="363">
        <f>Questionnaire!J106</f>
        <v>2.6666666666666665</v>
      </c>
      <c r="C35" s="347" t="str">
        <f>IF(B35&lt;1.5,$L$6,IF(B35&lt;2.5,$L$5,IF(B35&lt;3.5,$L$4,IF(B35&lt;4.5,$L$3,"n/a"))))</f>
        <v>Substantial</v>
      </c>
      <c r="D35" s="364" t="str">
        <f>IF(H35&lt;B35,"↑",IF(H35&gt;B35,"↓","↔"))</f>
        <v>↑</v>
      </c>
      <c r="E35" s="5"/>
      <c r="F35" s="243"/>
      <c r="G35" s="5"/>
      <c r="H35" s="239">
        <v>0</v>
      </c>
      <c r="I35" s="278" t="str">
        <f>IF(H35&lt;1.5,$L$6,IF(H35&lt;2.5,$L$5,IF(H35&lt;3.5,$L$4,IF(H35&lt;4.5,$L$3,"n/a"))))</f>
        <v>Not at all</v>
      </c>
    </row>
    <row r="36" spans="1:9" s="109" customFormat="1" ht="15" customHeight="1" thickTop="1" thickBot="1" x14ac:dyDescent="0.3">
      <c r="A36" s="79" t="str">
        <f>Questionnaire!$A$107</f>
        <v>6.2 Housing</v>
      </c>
      <c r="B36" s="348">
        <f>Questionnaire!J110</f>
        <v>2.5</v>
      </c>
      <c r="C36" s="339" t="str">
        <f>IF(B36&lt;1.5,$L$6,IF(B36&lt;2.5,$L$5,IF(B36&lt;3.5,$L$4,IF(B36&lt;4.5,$L$3,"n/a"))))</f>
        <v>Substantial</v>
      </c>
      <c r="D36" s="339" t="str">
        <f>IF(H36&lt;B36,"↑",IF(H36&gt;B36,"↓","↔"))</f>
        <v>↑</v>
      </c>
      <c r="E36" s="6"/>
      <c r="F36" s="244"/>
      <c r="G36" s="6"/>
      <c r="H36" s="239">
        <v>0</v>
      </c>
      <c r="I36" s="278" t="str">
        <f>IF(H36&lt;1.5,$L$6,IF(H36&lt;2.5,$L$5,IF(H36&lt;3.5,$L$4,IF(H36&lt;4.5,$L$3,"n/a"))))</f>
        <v>Not at all</v>
      </c>
    </row>
    <row r="37" spans="1:9" s="109" customFormat="1" ht="15" customHeight="1" thickTop="1" thickBot="1" x14ac:dyDescent="0.3">
      <c r="A37" s="247" t="str">
        <f>Questionnaire!$A$111</f>
        <v>6.3 Education and training</v>
      </c>
      <c r="B37" s="363">
        <f>Questionnaire!J115</f>
        <v>3</v>
      </c>
      <c r="C37" s="339" t="str">
        <f>IF(B37&lt;1.5,$L$6,IF(B37&lt;2.5,$L$5,IF(B37&lt;3.5,$L$4,IF(B37&lt;4.5,$L$3,"n/a"))))</f>
        <v>Substantial</v>
      </c>
      <c r="D37" s="364" t="str">
        <f>IF(H37&lt;B37,"↑",IF(H37&gt;B37,"↓","↔"))</f>
        <v>↑</v>
      </c>
      <c r="E37" s="6"/>
      <c r="F37" s="244"/>
      <c r="G37" s="6"/>
      <c r="H37" s="239">
        <v>0</v>
      </c>
      <c r="I37" s="278" t="str">
        <f>IF(H37&lt;1.5,$L$6,IF(H37&lt;2.5,$L$5,IF(H37&lt;3.5,$L$4,IF(H37&lt;4.5,$L$3,"n/a"))))</f>
        <v>Not at all</v>
      </c>
    </row>
    <row r="38" spans="1:9" s="109" customFormat="1" ht="15" customHeight="1" thickTop="1" thickBot="1" x14ac:dyDescent="0.3">
      <c r="A38" s="248" t="str">
        <f>Questionnaire!$A$116</f>
        <v>6.4 Mobility ??????</v>
      </c>
      <c r="B38" s="349" t="str">
        <f>Questionnaire!J120</f>
        <v>n/a</v>
      </c>
      <c r="C38" s="337" t="str">
        <f>IF(B38&lt;1.5,$L$6,IF(B38&lt;2.5,$L$5,IF(B38&lt;3.5,$L$4,IF(B38&lt;4.5,$L$3,"n/a"))))</f>
        <v>n/a</v>
      </c>
      <c r="D38" s="354" t="str">
        <f>IF(H38&lt;B38,"↑",IF(H38&gt;B38,"↓","↔"))</f>
        <v>↑</v>
      </c>
      <c r="E38" s="8"/>
      <c r="F38" s="9"/>
      <c r="G38" s="9"/>
      <c r="H38" s="239">
        <v>0</v>
      </c>
      <c r="I38" s="249" t="str">
        <f>IF(H38&lt;1.5,$L$6,IF(H38&lt;2.5,$L$5,IF(H38&lt;3.5,$L$4,IF(H38&lt;4.5,$L$3,"n/a"))))</f>
        <v>Not at all</v>
      </c>
    </row>
    <row r="39" spans="1:9" s="106" customFormat="1" ht="13.5" thickTop="1" thickBot="1" x14ac:dyDescent="0.3">
      <c r="A39" s="80" t="s">
        <v>14</v>
      </c>
      <c r="B39" s="342">
        <f>IF(COUNT(B35:B38)=0,"n/a",(AVERAGE(B35:B38)))</f>
        <v>2.7222222222222219</v>
      </c>
      <c r="C39" s="351" t="str">
        <f>IF(B39&lt;1.5,$L$6,IF(B39&lt;2.5,$L$5,IF(B39&lt;3.5,$L$4,IF(B39&lt;4.5,$L$3,"n/a"))))</f>
        <v>Substantial</v>
      </c>
      <c r="D39" s="343" t="str">
        <f>IF(H39&lt;B39,"↑",IF(H39&gt;B39,"↓","↔"))</f>
        <v>↑</v>
      </c>
      <c r="E39" s="110"/>
      <c r="F39" s="110"/>
      <c r="G39" s="110"/>
      <c r="H39" s="10">
        <f>AVERAGE(H35:H38)</f>
        <v>0</v>
      </c>
      <c r="I39" s="284" t="str">
        <f>IF(H39&lt;1.5,$L$6,IF(H39&lt;2.5,$L$5,IF(H39&lt;3.5,$L$4,IF(H39&lt;4.5,$L$3,"n/a"))))</f>
        <v>Not at all</v>
      </c>
    </row>
    <row r="40" spans="1:9" x14ac:dyDescent="0.25">
      <c r="B40" s="274"/>
      <c r="C40" s="276"/>
      <c r="I40" s="276"/>
    </row>
    <row r="41" spans="1:9" x14ac:dyDescent="0.25">
      <c r="C41" s="111"/>
    </row>
    <row r="44" spans="1:9" x14ac:dyDescent="0.25">
      <c r="D44"/>
      <c r="I44"/>
    </row>
    <row r="45" spans="1:9" x14ac:dyDescent="0.25">
      <c r="F45" s="112"/>
    </row>
    <row r="46" spans="1:9" x14ac:dyDescent="0.25">
      <c r="B46" s="273"/>
    </row>
  </sheetData>
  <sheetProtection password="CC15" sheet="1" objects="1" scenarios="1" formatRows="0"/>
  <mergeCells count="12">
    <mergeCell ref="D1:E1"/>
    <mergeCell ref="H1:I1"/>
    <mergeCell ref="A1:B1"/>
    <mergeCell ref="H3:I3"/>
    <mergeCell ref="A2:A4"/>
    <mergeCell ref="D2:D4"/>
    <mergeCell ref="G2:G4"/>
    <mergeCell ref="H2:I2"/>
    <mergeCell ref="F2:F4"/>
    <mergeCell ref="E2:E4"/>
    <mergeCell ref="B2:B4"/>
    <mergeCell ref="C2:C4"/>
  </mergeCells>
  <phoneticPr fontId="1" type="noConversion"/>
  <conditionalFormatting sqref="A28:A33 C28:I33">
    <cfRule type="cellIs" dxfId="87" priority="6" operator="equal">
      <formula>$L$4</formula>
    </cfRule>
    <cfRule type="cellIs" dxfId="86" priority="7" operator="equal">
      <formula>$L$3</formula>
    </cfRule>
    <cfRule type="cellIs" dxfId="85" priority="8" operator="equal">
      <formula>$L$6</formula>
    </cfRule>
  </conditionalFormatting>
  <conditionalFormatting sqref="A5:I9 A10 C10:I10 A11:I14 A15 C15:I15 A16:I21 A22 C22:I22 A23:I27 A34:I38 A39 C39:I39">
    <cfRule type="cellIs" dxfId="84" priority="47" operator="equal">
      <formula>$L$4</formula>
    </cfRule>
    <cfRule type="cellIs" dxfId="83" priority="48" operator="equal">
      <formula>$L$3</formula>
    </cfRule>
    <cfRule type="cellIs" dxfId="82" priority="57" operator="equal">
      <formula>$L$6</formula>
    </cfRule>
  </conditionalFormatting>
  <conditionalFormatting sqref="A5:I9 C10:I10 A11:I14 C15:I15 A16:I21 C22:I22 A23:I27 A34:I38 C39:I39 A10 A15 A22 A39">
    <cfRule type="cellIs" dxfId="81" priority="46" operator="equal">
      <formula>$L$5</formula>
    </cfRule>
  </conditionalFormatting>
  <conditionalFormatting sqref="C1">
    <cfRule type="cellIs" dxfId="80" priority="21" operator="equal">
      <formula>"High"</formula>
    </cfRule>
    <cfRule type="cellIs" dxfId="79" priority="22" operator="equal">
      <formula>"Substantial"</formula>
    </cfRule>
    <cfRule type="cellIs" dxfId="78" priority="23" operator="equal">
      <formula>"Moderate"</formula>
    </cfRule>
    <cfRule type="cellIs" dxfId="77" priority="24" operator="equal">
      <formula>"Low"</formula>
    </cfRule>
  </conditionalFormatting>
  <conditionalFormatting sqref="C28:I33 A28:A33">
    <cfRule type="cellIs" dxfId="76" priority="5" operator="equal">
      <formula>$L$5</formula>
    </cfRule>
  </conditionalFormatting>
  <conditionalFormatting sqref="F1">
    <cfRule type="cellIs" dxfId="75" priority="17" operator="equal">
      <formula>"High"</formula>
    </cfRule>
    <cfRule type="cellIs" dxfId="74" priority="18" operator="equal">
      <formula>"Substantial"</formula>
    </cfRule>
    <cfRule type="cellIs" dxfId="73" priority="19" operator="equal">
      <formula>"Moderate"</formula>
    </cfRule>
    <cfRule type="cellIs" dxfId="72" priority="20" operator="equal">
      <formula>"Low"</formula>
    </cfRule>
  </conditionalFormatting>
  <conditionalFormatting sqref="G2 G5 G10:G11 G15:G16 G22:G23">
    <cfRule type="cellIs" dxfId="71" priority="41" operator="equal">
      <formula>"High"</formula>
    </cfRule>
    <cfRule type="cellIs" dxfId="70" priority="42" operator="equal">
      <formula>"Substantial"</formula>
    </cfRule>
    <cfRule type="cellIs" dxfId="69" priority="43" operator="equal">
      <formula>"Moderate"</formula>
    </cfRule>
    <cfRule type="containsText" dxfId="68" priority="44" operator="containsText" text="Low">
      <formula>NOT(ISERROR(SEARCH("Low",G2)))</formula>
    </cfRule>
  </conditionalFormatting>
  <conditionalFormatting sqref="G28:G34">
    <cfRule type="cellIs" dxfId="67" priority="1" operator="equal">
      <formula>"High"</formula>
    </cfRule>
    <cfRule type="cellIs" dxfId="66" priority="2" operator="equal">
      <formula>"Substantial"</formula>
    </cfRule>
    <cfRule type="cellIs" dxfId="65" priority="3" operator="equal">
      <formula>"Moderate"</formula>
    </cfRule>
    <cfRule type="containsText" dxfId="64" priority="4" operator="containsText" text="Low">
      <formula>NOT(ISERROR(SEARCH("Low",G28)))</formula>
    </cfRule>
  </conditionalFormatting>
  <conditionalFormatting sqref="G39:H39">
    <cfRule type="cellIs" dxfId="63" priority="29" operator="equal">
      <formula>"High"</formula>
    </cfRule>
    <cfRule type="cellIs" dxfId="62" priority="30" operator="equal">
      <formula>"Substantial"</formula>
    </cfRule>
    <cfRule type="cellIs" dxfId="61" priority="31" operator="equal">
      <formula>"Moderate"</formula>
    </cfRule>
    <cfRule type="containsText" dxfId="60" priority="32" operator="containsText" text="Low">
      <formula>NOT(ISERROR(SEARCH("Low",G39)))</formula>
    </cfRule>
  </conditionalFormatting>
  <conditionalFormatting sqref="H35:I38">
    <cfRule type="cellIs" dxfId="59" priority="33" operator="equal">
      <formula>"High"</formula>
    </cfRule>
    <cfRule type="cellIs" dxfId="58" priority="34" operator="equal">
      <formula>"Substantial"</formula>
    </cfRule>
    <cfRule type="cellIs" dxfId="57" priority="35" operator="equal">
      <formula>"Moderate"</formula>
    </cfRule>
    <cfRule type="containsText" dxfId="56" priority="36" operator="containsText" text="Low">
      <formula>NOT(ISERROR(SEARCH("Low",H35)))</formula>
    </cfRule>
  </conditionalFormatting>
  <pageMargins left="0.70866141732283472" right="0.70866141732283472" top="0.74803149606299213" bottom="0.74803149606299213" header="0.31496062992125984" footer="0.31496062992125984"/>
  <pageSetup paperSize="9" scale="61"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S120"/>
  <sheetViews>
    <sheetView tabSelected="1" zoomScale="85" zoomScaleNormal="85" zoomScaleSheetLayoutView="100" workbookViewId="0">
      <pane ySplit="2" topLeftCell="A58" activePane="bottomLeft" state="frozen"/>
      <selection pane="bottomLeft" activeCell="A116" sqref="A116"/>
    </sheetView>
  </sheetViews>
  <sheetFormatPr defaultColWidth="8.81640625" defaultRowHeight="12.5" x14ac:dyDescent="0.25"/>
  <cols>
    <col min="1" max="1" width="18" customWidth="1"/>
    <col min="2" max="2" width="29" customWidth="1"/>
    <col min="3" max="3" width="30.54296875" style="160" customWidth="1"/>
    <col min="4" max="4" width="14.453125" style="161" customWidth="1"/>
    <col min="5" max="6" width="7.453125" style="25" customWidth="1"/>
    <col min="7" max="7" width="1.1796875" style="25" customWidth="1"/>
    <col min="8" max="8" width="7.453125" style="25" customWidth="1"/>
    <col min="9" max="9" width="12.54296875" style="25" customWidth="1"/>
    <col min="10" max="10" width="12.1796875" style="25" customWidth="1"/>
    <col min="11" max="11" width="65.81640625" customWidth="1"/>
    <col min="12" max="12" width="15.54296875" style="160" customWidth="1"/>
    <col min="13" max="13" width="13.453125" hidden="1" customWidth="1"/>
    <col min="14" max="14" width="14.81640625" hidden="1" customWidth="1"/>
    <col min="15" max="15" width="11.1796875" hidden="1" customWidth="1"/>
    <col min="16" max="16" width="13.81640625" customWidth="1"/>
  </cols>
  <sheetData>
    <row r="1" spans="1:15" ht="21" customHeight="1" thickBot="1" x14ac:dyDescent="0.4">
      <c r="A1" s="368" t="s">
        <v>28</v>
      </c>
      <c r="B1" s="369" t="str">
        <f>Profile!F1</f>
        <v>Maize</v>
      </c>
      <c r="C1" s="367" t="s">
        <v>22</v>
      </c>
      <c r="D1" s="456" t="str">
        <f>Profile!E2</f>
        <v>Georgia</v>
      </c>
      <c r="E1" s="457"/>
      <c r="F1" s="365" t="s">
        <v>26</v>
      </c>
      <c r="G1" s="370"/>
      <c r="H1" s="371"/>
      <c r="I1" s="372"/>
      <c r="J1" s="366" t="str">
        <f>Profile!B3</f>
        <v xml:space="preserve"> . . / . . / 20 . .</v>
      </c>
      <c r="K1" s="113"/>
      <c r="L1" s="373" t="s">
        <v>181</v>
      </c>
    </row>
    <row r="2" spans="1:15" s="105" customFormat="1" ht="15" customHeight="1" thickBot="1" x14ac:dyDescent="0.3">
      <c r="A2" s="568" t="s">
        <v>0</v>
      </c>
      <c r="B2" s="569"/>
      <c r="C2" s="374" t="s">
        <v>2</v>
      </c>
      <c r="D2" s="374" t="s">
        <v>88</v>
      </c>
      <c r="E2" s="374" t="s">
        <v>89</v>
      </c>
      <c r="F2" s="568" t="s">
        <v>87</v>
      </c>
      <c r="G2" s="569"/>
      <c r="H2" s="569"/>
      <c r="I2" s="569"/>
      <c r="J2" s="569"/>
      <c r="K2" s="569"/>
      <c r="L2" s="375"/>
      <c r="M2" s="107"/>
    </row>
    <row r="3" spans="1:15" s="105" customFormat="1" ht="24.75" customHeight="1" thickBot="1" x14ac:dyDescent="0.35">
      <c r="A3" s="114" t="s">
        <v>217</v>
      </c>
      <c r="B3" s="115"/>
      <c r="C3" s="115"/>
      <c r="D3" s="115"/>
      <c r="E3" s="115"/>
      <c r="F3" s="115"/>
      <c r="G3" s="115"/>
      <c r="H3" s="115"/>
      <c r="I3" s="115"/>
      <c r="J3" s="115"/>
      <c r="K3" s="115"/>
      <c r="L3" s="376"/>
      <c r="N3" s="16" t="s">
        <v>4</v>
      </c>
      <c r="O3" s="105">
        <v>4.5</v>
      </c>
    </row>
    <row r="4" spans="1:15" s="105" customFormat="1" ht="21" customHeight="1" x14ac:dyDescent="0.3">
      <c r="A4" s="116" t="s">
        <v>30</v>
      </c>
      <c r="B4" s="117"/>
      <c r="C4" s="117"/>
      <c r="D4" s="117"/>
      <c r="E4" s="117"/>
      <c r="F4" s="117"/>
      <c r="G4" s="117"/>
      <c r="H4" s="117"/>
      <c r="I4" s="117"/>
      <c r="J4" s="117"/>
      <c r="K4" s="117"/>
      <c r="L4" s="376"/>
      <c r="N4" s="16" t="s">
        <v>5</v>
      </c>
      <c r="O4" s="105">
        <v>3.5</v>
      </c>
    </row>
    <row r="5" spans="1:15" s="105" customFormat="1" ht="60.75" customHeight="1" x14ac:dyDescent="0.25">
      <c r="A5" s="547" t="s">
        <v>72</v>
      </c>
      <c r="B5" s="547"/>
      <c r="C5" s="37" t="s">
        <v>289</v>
      </c>
      <c r="D5" s="48" t="s">
        <v>43</v>
      </c>
      <c r="E5" s="118">
        <f>IF(D5=$N$6,1,IF(D5=$N$5,2,IF(D5=$N$4,3,IF(D5=$N$3,4,"n/a"))))</f>
        <v>2</v>
      </c>
      <c r="F5" s="576" t="s">
        <v>290</v>
      </c>
      <c r="G5" s="576"/>
      <c r="H5" s="576"/>
      <c r="I5" s="576"/>
      <c r="J5" s="576"/>
      <c r="K5" s="576"/>
      <c r="L5" s="376"/>
      <c r="N5" s="107" t="s">
        <v>43</v>
      </c>
      <c r="O5" s="106">
        <v>2.5</v>
      </c>
    </row>
    <row r="6" spans="1:15" s="105" customFormat="1" ht="57" customHeight="1" x14ac:dyDescent="0.25">
      <c r="A6" s="547" t="s">
        <v>31</v>
      </c>
      <c r="B6" s="547"/>
      <c r="C6" s="37" t="s">
        <v>291</v>
      </c>
      <c r="D6" s="48" t="s">
        <v>43</v>
      </c>
      <c r="E6" s="118">
        <f>IF(D6=$N$6,1,IF(D6=$N$5,2,IF(D6=$N$4,3,IF(D6=$N$3,4,"n/a"))))</f>
        <v>2</v>
      </c>
      <c r="F6" s="576" t="s">
        <v>292</v>
      </c>
      <c r="G6" s="576"/>
      <c r="H6" s="576"/>
      <c r="I6" s="576"/>
      <c r="J6" s="576"/>
      <c r="K6" s="576"/>
      <c r="L6" s="376"/>
      <c r="N6" s="107" t="s">
        <v>80</v>
      </c>
      <c r="O6" s="106">
        <v>1.5</v>
      </c>
    </row>
    <row r="7" spans="1:15" s="105" customFormat="1" ht="60.65" customHeight="1" x14ac:dyDescent="0.3">
      <c r="A7" s="547" t="s">
        <v>190</v>
      </c>
      <c r="B7" s="547"/>
      <c r="C7" s="37" t="s">
        <v>291</v>
      </c>
      <c r="D7" s="48" t="s">
        <v>43</v>
      </c>
      <c r="E7" s="118">
        <f>IF(D7=$N$6,1,IF(D7=$N$5,2,IF(D7=$N$4,3,IF(D7=$N$3,4,"n/a"))))</f>
        <v>2</v>
      </c>
      <c r="F7" s="576" t="s">
        <v>293</v>
      </c>
      <c r="G7" s="576"/>
      <c r="H7" s="576"/>
      <c r="I7" s="576"/>
      <c r="J7" s="576"/>
      <c r="K7" s="576"/>
      <c r="L7" s="376"/>
      <c r="N7" s="16" t="s">
        <v>19</v>
      </c>
    </row>
    <row r="8" spans="1:15" s="105" customFormat="1" ht="30" customHeight="1" x14ac:dyDescent="0.25">
      <c r="A8" s="547" t="s">
        <v>41</v>
      </c>
      <c r="B8" s="547"/>
      <c r="C8" s="37" t="s">
        <v>291</v>
      </c>
      <c r="D8" s="48" t="s">
        <v>5</v>
      </c>
      <c r="E8" s="118">
        <f>IF(D8=$N$6,1,IF(D8=$N$5,2,IF(D8=$N$4,3,IF(D8=$N$3,4,"n/a"))))</f>
        <v>3</v>
      </c>
      <c r="F8" s="576" t="s">
        <v>241</v>
      </c>
      <c r="G8" s="576"/>
      <c r="H8" s="576"/>
      <c r="I8" s="576"/>
      <c r="J8" s="576"/>
      <c r="K8" s="576"/>
      <c r="L8" s="376"/>
      <c r="N8" s="107"/>
    </row>
    <row r="9" spans="1:15" s="105" customFormat="1" ht="45.75" customHeight="1" thickBot="1" x14ac:dyDescent="0.3">
      <c r="A9" s="546" t="s">
        <v>60</v>
      </c>
      <c r="B9" s="546"/>
      <c r="C9" s="179" t="s">
        <v>291</v>
      </c>
      <c r="D9" s="167" t="s">
        <v>5</v>
      </c>
      <c r="E9" s="175">
        <f>IF(D9=$N$6,1,IF(D9=$N$5,2,IF(D9=$N$4,3,IF(D9=$N$3,4,"n/a"))))</f>
        <v>3</v>
      </c>
      <c r="F9" s="532" t="s">
        <v>242</v>
      </c>
      <c r="G9" s="533"/>
      <c r="H9" s="532"/>
      <c r="I9" s="532"/>
      <c r="J9" s="532"/>
      <c r="K9" s="532"/>
      <c r="L9" s="376"/>
      <c r="N9" s="119"/>
    </row>
    <row r="10" spans="1:15" s="105" customFormat="1" ht="28.5" customHeight="1" thickBot="1" x14ac:dyDescent="0.35">
      <c r="A10" s="556"/>
      <c r="B10" s="572"/>
      <c r="C10" s="183" t="s">
        <v>24</v>
      </c>
      <c r="D10" s="90" t="str">
        <f>IF(E10&lt;1.5,$N$6,IF(E10&lt;2.5,$N$5,IF(E10&lt;3.5,$N$4,IF(E10&lt;4.5,$N$3,"n/a"))))</f>
        <v>Moderate/Low</v>
      </c>
      <c r="E10" s="250">
        <f>IF(COUNT(E5:E9)=0,"n/a",AVERAGE(E5:E9))</f>
        <v>2.4</v>
      </c>
      <c r="F10" s="49">
        <f>E10</f>
        <v>2.4</v>
      </c>
      <c r="G10" s="216"/>
      <c r="H10" s="50" t="s">
        <v>23</v>
      </c>
      <c r="I10" s="26" t="str">
        <f>D10</f>
        <v>Moderate/Low</v>
      </c>
      <c r="J10" s="91">
        <f>IF(I10=$N$7,"n/a",IF(AND(I10=$N$5,D10=$N$6),1.5,IF(AND(I10=$N$4,D10=$N$5),2.5,IF(AND(I10=$N$3,D10=$N$4),3.5,IF(AND(I10=$N$6,D10=$N$5),1.49,IF(AND(I10=$N$5,D10=$N$4),2.49,IF(AND(I10=$N$4,D10=$N$3),3.49,E10)))))))</f>
        <v>2.4</v>
      </c>
      <c r="K10" s="92" t="s">
        <v>92</v>
      </c>
      <c r="L10" s="377"/>
      <c r="N10" s="16"/>
    </row>
    <row r="11" spans="1:15" s="105" customFormat="1" ht="20.25" customHeight="1" thickBot="1" x14ac:dyDescent="0.35">
      <c r="A11" s="121" t="s">
        <v>29</v>
      </c>
      <c r="B11" s="122"/>
      <c r="C11" s="180"/>
      <c r="D11" s="123"/>
      <c r="E11" s="123"/>
      <c r="F11" s="123"/>
      <c r="G11" s="123"/>
      <c r="H11" s="123"/>
      <c r="I11" s="123"/>
      <c r="J11" s="123"/>
      <c r="K11" s="123"/>
      <c r="L11" s="376"/>
      <c r="N11" s="16"/>
    </row>
    <row r="12" spans="1:15" ht="45.75" customHeight="1" x14ac:dyDescent="0.3">
      <c r="A12" s="547" t="s">
        <v>191</v>
      </c>
      <c r="B12" s="547"/>
      <c r="C12" s="37" t="s">
        <v>294</v>
      </c>
      <c r="D12" s="166" t="s">
        <v>4</v>
      </c>
      <c r="E12" s="177">
        <f>IF(D12=$N$6,1,IF(D12=$N$5,2,IF(D12=$N$4,3,IF(D12=$N$3,4,"n/a"))))</f>
        <v>4</v>
      </c>
      <c r="F12" s="558" t="s">
        <v>295</v>
      </c>
      <c r="G12" s="558"/>
      <c r="H12" s="558"/>
      <c r="I12" s="558"/>
      <c r="J12" s="558"/>
      <c r="K12" s="558"/>
      <c r="L12" s="378" t="s">
        <v>97</v>
      </c>
      <c r="N12" s="16"/>
    </row>
    <row r="13" spans="1:15" ht="43.5" customHeight="1" thickBot="1" x14ac:dyDescent="0.3">
      <c r="A13" s="534" t="s">
        <v>192</v>
      </c>
      <c r="B13" s="534"/>
      <c r="C13" s="184" t="s">
        <v>298</v>
      </c>
      <c r="D13" s="182" t="s">
        <v>4</v>
      </c>
      <c r="E13" s="178">
        <f>IF(D13=$N$6,1,IF(D13=$N$5,2,IF(D13=$N$4,3,IF(D13=$N$3,4,"n/a"))))</f>
        <v>4</v>
      </c>
      <c r="F13" s="553" t="s">
        <v>296</v>
      </c>
      <c r="G13" s="499"/>
      <c r="H13" s="499"/>
      <c r="I13" s="499"/>
      <c r="J13" s="499"/>
      <c r="K13" s="537"/>
      <c r="L13" s="378" t="s">
        <v>97</v>
      </c>
    </row>
    <row r="14" spans="1:15" s="108" customFormat="1" ht="28.5" customHeight="1" thickBot="1" x14ac:dyDescent="0.35">
      <c r="A14" s="556"/>
      <c r="B14" s="557"/>
      <c r="C14" s="183" t="s">
        <v>24</v>
      </c>
      <c r="D14" s="27" t="str">
        <f>IF(E14&lt;1.5,$N$6,IF(E14&lt;2.5,$N$5,IF(E14&lt;3.5,$N$4,IF(E14&lt;4.5,$N$3,"n/a"))))</f>
        <v>High</v>
      </c>
      <c r="E14" s="145">
        <f>IF(COUNT(E12:E13)=0,"n/a",AVERAGE(E12:E13))</f>
        <v>4</v>
      </c>
      <c r="F14" s="28">
        <f>E14</f>
        <v>4</v>
      </c>
      <c r="G14" s="216"/>
      <c r="H14" s="29" t="s">
        <v>23</v>
      </c>
      <c r="I14" s="26" t="str">
        <f>D14</f>
        <v>High</v>
      </c>
      <c r="J14" s="30">
        <f>IF(I14=$N$7,"n/a",IF(AND(I14=$N$5,D14=$N$6),1.5,IF(AND(I14=$N$4,D14=$N$5),2.5,IF(AND(I14=$N$3,D14=$N$4),3.5,IF(AND(I14=$N$6,D14=$N$5),1.49,IF(AND(I14=$N$5,D14=$N$4),2.49,IF(AND(I14=$N$4,D14=$N$3),3.49,E14)))))))</f>
        <v>4</v>
      </c>
      <c r="K14" s="181" t="s">
        <v>92</v>
      </c>
      <c r="L14" s="379"/>
      <c r="N14" s="16"/>
    </row>
    <row r="15" spans="1:15" ht="21.75" customHeight="1" x14ac:dyDescent="0.3">
      <c r="A15" s="397" t="s">
        <v>32</v>
      </c>
      <c r="B15" s="121"/>
      <c r="C15" s="121"/>
      <c r="D15" s="121"/>
      <c r="E15" s="121"/>
      <c r="F15" s="121"/>
      <c r="G15" s="121"/>
      <c r="H15" s="121"/>
      <c r="I15" s="121"/>
      <c r="J15" s="121"/>
      <c r="K15" s="121"/>
      <c r="L15" s="380"/>
      <c r="N15" s="16"/>
    </row>
    <row r="16" spans="1:15" ht="46.5" customHeight="1" thickBot="1" x14ac:dyDescent="0.3">
      <c r="A16" s="546" t="s">
        <v>193</v>
      </c>
      <c r="B16" s="546"/>
      <c r="C16" s="184" t="s">
        <v>298</v>
      </c>
      <c r="D16" s="167" t="s">
        <v>43</v>
      </c>
      <c r="E16" s="171">
        <f>IF(D16=$N$6,1,IF(D16=$N$5,2,IF(D16=$N$4,3,IF(D16=$N$3,4,"n/a"))))</f>
        <v>2</v>
      </c>
      <c r="F16" s="535" t="s">
        <v>297</v>
      </c>
      <c r="G16" s="499"/>
      <c r="H16" s="536"/>
      <c r="I16" s="536"/>
      <c r="J16" s="499"/>
      <c r="K16" s="537"/>
      <c r="L16" s="380"/>
    </row>
    <row r="17" spans="1:14" s="105" customFormat="1" ht="24.75" customHeight="1" thickBot="1" x14ac:dyDescent="0.3">
      <c r="A17" s="579"/>
      <c r="B17" s="580"/>
      <c r="C17" s="183" t="s">
        <v>24</v>
      </c>
      <c r="D17" s="27" t="str">
        <f>IF(E17&lt;1.5,$N$6,IF(E17&lt;2.5,$N$5,IF(E17&lt;3.5,$N$4,IF(E17&lt;4.5,$N$3,"n/a"))))</f>
        <v>Moderate/Low</v>
      </c>
      <c r="E17" s="145">
        <f>IF(COUNT(E16)=0,"n/a",AVERAGE(E16))</f>
        <v>2</v>
      </c>
      <c r="F17" s="28">
        <f>E17</f>
        <v>2</v>
      </c>
      <c r="G17" s="216"/>
      <c r="H17" s="29" t="s">
        <v>23</v>
      </c>
      <c r="I17" s="26" t="str">
        <f>D17</f>
        <v>Moderate/Low</v>
      </c>
      <c r="J17" s="30">
        <f>IF(I17=$N$7,"n/a",IF(AND(I17=$N$5,D17=$N$6),1.5,IF(AND(I17=$N$4,D17=$N$5),2.5,IF(AND(I17=$N$3,D17=$N$4),3.5,IF(AND(I17=$N$6,D17=$N$5),1.49,IF(AND(I17=$N$5,D17=$N$4),2.49,IF(AND(I17=$N$4,D17=$N$3),3.49,E17)))))))</f>
        <v>2</v>
      </c>
      <c r="K17" s="181" t="s">
        <v>92</v>
      </c>
      <c r="L17" s="376"/>
      <c r="N17" s="107"/>
    </row>
    <row r="18" spans="1:14" s="124" customFormat="1" ht="21" customHeight="1" x14ac:dyDescent="0.3">
      <c r="A18" s="121" t="s">
        <v>70</v>
      </c>
      <c r="B18" s="121"/>
      <c r="C18" s="121"/>
      <c r="D18" s="121"/>
      <c r="E18" s="121"/>
      <c r="F18" s="121"/>
      <c r="G18" s="121"/>
      <c r="H18" s="121"/>
      <c r="I18" s="121"/>
      <c r="J18" s="121"/>
      <c r="K18" s="121"/>
      <c r="L18" s="380"/>
      <c r="N18" s="16"/>
    </row>
    <row r="19" spans="1:14" s="124" customFormat="1" ht="45.5" customHeight="1" x14ac:dyDescent="0.3">
      <c r="A19" s="547" t="s">
        <v>74</v>
      </c>
      <c r="B19" s="547"/>
      <c r="C19" s="37" t="s">
        <v>298</v>
      </c>
      <c r="D19" s="48" t="s">
        <v>5</v>
      </c>
      <c r="E19" s="163">
        <f>IF(D19=$N$6,1,IF(D19=$N$5,2,IF(D19=$N$4,3,IF(D19=$N$3,4,"n/a"))))</f>
        <v>3</v>
      </c>
      <c r="F19" s="535" t="s">
        <v>299</v>
      </c>
      <c r="G19" s="536"/>
      <c r="H19" s="536"/>
      <c r="I19" s="536"/>
      <c r="J19" s="536"/>
      <c r="K19" s="537"/>
      <c r="L19" s="378" t="s">
        <v>97</v>
      </c>
      <c r="N19" s="16"/>
    </row>
    <row r="20" spans="1:14" s="124" customFormat="1" ht="33" customHeight="1" thickBot="1" x14ac:dyDescent="0.35">
      <c r="A20" s="534" t="s">
        <v>71</v>
      </c>
      <c r="B20" s="534"/>
      <c r="C20" s="184" t="s">
        <v>298</v>
      </c>
      <c r="D20" s="176" t="s">
        <v>43</v>
      </c>
      <c r="E20" s="175">
        <f>IF(D20=$N$6,1,IF(D20=$N$5,2,IF(D20=$N$4,3,IF(D20=$N$3,4,"n/a"))))</f>
        <v>2</v>
      </c>
      <c r="F20" s="483" t="s">
        <v>300</v>
      </c>
      <c r="G20" s="499"/>
      <c r="H20" s="484"/>
      <c r="I20" s="484"/>
      <c r="J20" s="484"/>
      <c r="K20" s="485"/>
      <c r="L20" s="381"/>
      <c r="N20" s="16"/>
    </row>
    <row r="21" spans="1:14" s="105" customFormat="1" ht="29.25" customHeight="1" thickBot="1" x14ac:dyDescent="0.3">
      <c r="A21" s="556"/>
      <c r="B21" s="557"/>
      <c r="C21" s="183" t="s">
        <v>24</v>
      </c>
      <c r="D21" s="27" t="str">
        <f>IF(E21&lt;1.5,$N$6,IF(E21&lt;2.5,$N$5,IF(E21&lt;3.5,$N$4,IF(E21&lt;4.5,$N$3,"n/a"))))</f>
        <v>Substantial</v>
      </c>
      <c r="E21" s="145">
        <f>IF(COUNT(E19:E20)=0,"n/a",AVERAGE(E19:E20))</f>
        <v>2.5</v>
      </c>
      <c r="F21" s="28">
        <f>E21</f>
        <v>2.5</v>
      </c>
      <c r="G21" s="216"/>
      <c r="H21" s="29" t="s">
        <v>23</v>
      </c>
      <c r="I21" s="26" t="str">
        <f>D21</f>
        <v>Substantial</v>
      </c>
      <c r="J21" s="91">
        <f>IF(I21=$N$7,"n/a",IF(AND(I21=$N$5,D21=$N$6),1.5,IF(AND(I21=$N$4,D21=$N$5),2.5,IF(AND(I21=$N$3,D21=$N$4),3.5,IF(AND(I21=$N$6,D21=$N$5),1.49,IF(AND(I21=$N$5,D21=$N$4),2.49,IF(AND(I21=$N$4,D21=$N$3),3.49,E21)))))))</f>
        <v>2.5</v>
      </c>
      <c r="K21" s="89" t="s">
        <v>92</v>
      </c>
      <c r="L21" s="382"/>
    </row>
    <row r="22" spans="1:14" s="105" customFormat="1" ht="22.5" customHeight="1" thickBot="1" x14ac:dyDescent="0.3">
      <c r="A22" s="125" t="s">
        <v>218</v>
      </c>
      <c r="B22" s="126"/>
      <c r="C22" s="126"/>
      <c r="D22" s="127"/>
      <c r="E22" s="127"/>
      <c r="F22" s="127"/>
      <c r="G22" s="127"/>
      <c r="H22" s="127"/>
      <c r="I22" s="127"/>
      <c r="J22" s="127"/>
      <c r="K22" s="127"/>
      <c r="L22" s="376"/>
    </row>
    <row r="23" spans="1:14" ht="21.75" customHeight="1" thickBot="1" x14ac:dyDescent="0.3">
      <c r="A23" s="128" t="s">
        <v>45</v>
      </c>
      <c r="B23" s="129"/>
      <c r="C23" s="129"/>
      <c r="D23" s="129"/>
      <c r="E23" s="129"/>
      <c r="F23" s="129"/>
      <c r="G23" s="129"/>
      <c r="H23" s="129"/>
      <c r="I23" s="129"/>
      <c r="J23" s="129"/>
      <c r="K23" s="129"/>
      <c r="L23" s="378" t="s">
        <v>97</v>
      </c>
    </row>
    <row r="24" spans="1:14" ht="54" customHeight="1" x14ac:dyDescent="0.25">
      <c r="A24" s="570" t="s">
        <v>46</v>
      </c>
      <c r="B24" s="571"/>
      <c r="C24" s="173" t="s">
        <v>223</v>
      </c>
      <c r="D24" s="164" t="s">
        <v>43</v>
      </c>
      <c r="E24" s="174">
        <f>IF(D24=$N$6,1,IF(D24=$N$5,2,IF(D24=$N$4,3,IF(D24=$N$3,4,"n/a"))))</f>
        <v>2</v>
      </c>
      <c r="F24" s="558" t="s">
        <v>301</v>
      </c>
      <c r="G24" s="558"/>
      <c r="H24" s="558"/>
      <c r="I24" s="558"/>
      <c r="J24" s="558"/>
      <c r="K24" s="558"/>
      <c r="L24" s="378" t="s">
        <v>97</v>
      </c>
    </row>
    <row r="25" spans="1:14" ht="73.5" customHeight="1" thickBot="1" x14ac:dyDescent="0.3">
      <c r="A25" s="577" t="s">
        <v>63</v>
      </c>
      <c r="B25" s="578"/>
      <c r="C25" s="185" t="s">
        <v>223</v>
      </c>
      <c r="D25" s="165" t="s">
        <v>5</v>
      </c>
      <c r="E25" s="175">
        <f>IF(D25=$N$6,1,IF(D25=$N$5,2,IF(D25=$N$4,3,IF(D25=$N$3,4,"n/a"))))</f>
        <v>3</v>
      </c>
      <c r="F25" s="483" t="s">
        <v>302</v>
      </c>
      <c r="G25" s="484"/>
      <c r="H25" s="484"/>
      <c r="I25" s="484"/>
      <c r="J25" s="484"/>
      <c r="K25" s="485"/>
      <c r="L25" s="380"/>
    </row>
    <row r="26" spans="1:14" ht="35.25" customHeight="1" thickBot="1" x14ac:dyDescent="0.3">
      <c r="A26" s="544"/>
      <c r="B26" s="545"/>
      <c r="C26" s="40" t="s">
        <v>24</v>
      </c>
      <c r="D26" s="27" t="str">
        <f>IF(E26&lt;1.5,"Low",IF(E26&lt;2.5,"Moderate",IF(E26&lt;3.5,"Substantial",IF(E26&lt;4.5,"High","n/a"))))</f>
        <v>Substantial</v>
      </c>
      <c r="E26" s="145">
        <f>IF(COUNT(E24:E25)=0,"n/a",AVERAGE(E24:E25))</f>
        <v>2.5</v>
      </c>
      <c r="F26" s="49">
        <f>E26</f>
        <v>2.5</v>
      </c>
      <c r="G26" s="216"/>
      <c r="H26" s="50" t="s">
        <v>23</v>
      </c>
      <c r="I26" s="26" t="str">
        <f>D26</f>
        <v>Substantial</v>
      </c>
      <c r="J26" s="91">
        <f>IF(I26=$N$7,"n/a",IF(AND(I26=$N$5,D26=$N$6),1.5,IF(AND(I26=$N$4,D26=$N$5),2.5,IF(AND(I26=$N$3,D26=$N$4),3.5,IF(AND(I26=$N$6,D26=$N$5),1.49,IF(AND(I26=$N$5,D26=$N$4),2.49,IF(AND(I26=$N$4,D26=$N$3),3.49,E26)))))))</f>
        <v>2.5</v>
      </c>
      <c r="K26" s="326" t="s">
        <v>92</v>
      </c>
      <c r="L26" s="380"/>
    </row>
    <row r="27" spans="1:14" ht="20.25" customHeight="1" thickBot="1" x14ac:dyDescent="0.3">
      <c r="A27" s="130" t="s">
        <v>49</v>
      </c>
      <c r="B27" s="131"/>
      <c r="C27" s="132"/>
      <c r="D27" s="133"/>
      <c r="E27" s="133"/>
      <c r="F27" s="133"/>
      <c r="G27" s="133"/>
      <c r="H27" s="133"/>
      <c r="I27" s="133"/>
      <c r="J27" s="133"/>
      <c r="K27" s="133"/>
      <c r="L27" s="380"/>
    </row>
    <row r="28" spans="1:14" ht="30.75" customHeight="1" x14ac:dyDescent="0.25">
      <c r="A28" s="488" t="s">
        <v>66</v>
      </c>
      <c r="B28" s="489"/>
      <c r="C28" s="41" t="s">
        <v>223</v>
      </c>
      <c r="D28" s="166" t="s">
        <v>43</v>
      </c>
      <c r="E28" s="177">
        <f>IF(D28=$N$6,1,IF(D28=$N$5,2,IF(D28=$N$4,3,IF(D28=$N$3,4,"n/a"))))</f>
        <v>2</v>
      </c>
      <c r="F28" s="538" t="s">
        <v>243</v>
      </c>
      <c r="G28" s="539"/>
      <c r="H28" s="539"/>
      <c r="I28" s="539"/>
      <c r="J28" s="539"/>
      <c r="K28" s="540"/>
      <c r="L28" s="380"/>
    </row>
    <row r="29" spans="1:14" ht="50.25" customHeight="1" x14ac:dyDescent="0.25">
      <c r="A29" s="488" t="s">
        <v>47</v>
      </c>
      <c r="B29" s="489"/>
      <c r="C29" s="41" t="s">
        <v>224</v>
      </c>
      <c r="D29" s="48" t="s">
        <v>5</v>
      </c>
      <c r="E29" s="163">
        <f>IF(D29=$N$6,1,IF(D29=$N$5,2,IF(D29=$N$4,3,IF(D29=$N$3,4,"n/a"))))</f>
        <v>3</v>
      </c>
      <c r="F29" s="535" t="s">
        <v>244</v>
      </c>
      <c r="G29" s="536"/>
      <c r="H29" s="536"/>
      <c r="I29" s="536"/>
      <c r="J29" s="536"/>
      <c r="K29" s="537"/>
      <c r="L29" s="380"/>
    </row>
    <row r="30" spans="1:14" s="134" customFormat="1" ht="56.25" customHeight="1" x14ac:dyDescent="0.25">
      <c r="A30" s="488" t="s">
        <v>61</v>
      </c>
      <c r="B30" s="489"/>
      <c r="C30" s="41" t="s">
        <v>224</v>
      </c>
      <c r="D30" s="48" t="s">
        <v>43</v>
      </c>
      <c r="E30" s="163">
        <f>IF(D30=$N$6,1,IF(D30=$N$5,2,IF(D30=$N$4,3,IF(D30=$N$3,4,"n/a"))))</f>
        <v>2</v>
      </c>
      <c r="F30" s="482" t="s">
        <v>245</v>
      </c>
      <c r="G30" s="482"/>
      <c r="H30" s="482"/>
      <c r="I30" s="482"/>
      <c r="J30" s="482"/>
      <c r="K30" s="482"/>
      <c r="L30" s="376"/>
    </row>
    <row r="31" spans="1:14" s="105" customFormat="1" ht="36" customHeight="1" thickBot="1" x14ac:dyDescent="0.3">
      <c r="A31" s="551" t="s">
        <v>62</v>
      </c>
      <c r="B31" s="552"/>
      <c r="C31" s="185"/>
      <c r="D31" s="167" t="s">
        <v>19</v>
      </c>
      <c r="E31" s="172" t="str">
        <f>IF(D31=$N$6,1,IF(D31=$N$5,2,IF(D31=$N$4,3,IF(D31=$N$3,4,"n/a"))))</f>
        <v>n/a</v>
      </c>
      <c r="F31" s="553"/>
      <c r="G31" s="499"/>
      <c r="H31" s="499"/>
      <c r="I31" s="499"/>
      <c r="J31" s="499"/>
      <c r="K31" s="500"/>
      <c r="L31" s="378" t="s">
        <v>97</v>
      </c>
    </row>
    <row r="32" spans="1:14" s="105" customFormat="1" ht="25.5" customHeight="1" thickBot="1" x14ac:dyDescent="0.3">
      <c r="A32" s="188"/>
      <c r="B32" s="189"/>
      <c r="C32" s="40" t="s">
        <v>24</v>
      </c>
      <c r="D32" s="27" t="str">
        <f>IF(E32&lt;1.5,"Low",IF(E32&lt;2.5,"Moderate",IF(E32&lt;3.5,"Substantial",IF(E32&lt;4.5,"High","n/a"))))</f>
        <v>Moderate</v>
      </c>
      <c r="E32" s="145">
        <f>IF(COUNT(E28:E31)=0,"n/a",AVERAGE(E28:E31))</f>
        <v>2.3333333333333335</v>
      </c>
      <c r="F32" s="28">
        <f>E32</f>
        <v>2.3333333333333335</v>
      </c>
      <c r="G32" s="216"/>
      <c r="H32" s="29" t="s">
        <v>23</v>
      </c>
      <c r="I32" s="26" t="str">
        <f>D32</f>
        <v>Moderate</v>
      </c>
      <c r="J32" s="30">
        <f>IF(I32=$N$7,"n/a",IF(AND(I32=$N$5,D32=$N$6),1.5,IF(AND(I32=$N$4,D32=$N$5),2.5,IF(AND(I32=$N$3,D32=$N$4),3.5,IF(AND(I32=$N$6,D32=$N$5),1.49,IF(AND(I32=$N$5,D32=$N$4),2.49,IF(AND(I32=$N$4,D32=$N$3),3.49,E32)))))))</f>
        <v>2.3333333333333335</v>
      </c>
      <c r="K32" s="181" t="s">
        <v>92</v>
      </c>
      <c r="L32" s="376"/>
    </row>
    <row r="33" spans="1:12" s="105" customFormat="1" ht="25.5" customHeight="1" thickBot="1" x14ac:dyDescent="0.3">
      <c r="A33" s="186" t="s">
        <v>50</v>
      </c>
      <c r="B33" s="187"/>
      <c r="C33" s="187"/>
      <c r="D33" s="187"/>
      <c r="E33" s="187"/>
      <c r="F33" s="187"/>
      <c r="G33" s="187"/>
      <c r="H33" s="187"/>
      <c r="I33" s="187"/>
      <c r="J33" s="187"/>
      <c r="K33" s="187"/>
      <c r="L33" s="376"/>
    </row>
    <row r="34" spans="1:12" s="105" customFormat="1" ht="45.75" customHeight="1" x14ac:dyDescent="0.25">
      <c r="A34" s="573" t="s">
        <v>51</v>
      </c>
      <c r="B34" s="574"/>
      <c r="C34" s="47" t="s">
        <v>225</v>
      </c>
      <c r="D34" s="48" t="s">
        <v>5</v>
      </c>
      <c r="E34" s="118">
        <f>IF(D34=$N$6,1,IF(D34=$N$5,2,IF(D34=$N$4,3,IF(D34=$N$3,4,"n/a"))))</f>
        <v>3</v>
      </c>
      <c r="F34" s="558" t="s">
        <v>246</v>
      </c>
      <c r="G34" s="558"/>
      <c r="H34" s="558"/>
      <c r="I34" s="558"/>
      <c r="J34" s="558"/>
      <c r="K34" s="558"/>
      <c r="L34" s="378" t="s">
        <v>97</v>
      </c>
    </row>
    <row r="35" spans="1:12" s="105" customFormat="1" ht="33" customHeight="1" x14ac:dyDescent="0.25">
      <c r="A35" s="575" t="s">
        <v>52</v>
      </c>
      <c r="B35" s="489"/>
      <c r="C35" s="47"/>
      <c r="D35" s="168" t="s">
        <v>5</v>
      </c>
      <c r="E35" s="118">
        <f>IF(D35=$N$6,1,IF(D35=$N$5,2,IF(D35=$N$4,3,IF(D35=$N$3,4,"n/a"))))</f>
        <v>3</v>
      </c>
      <c r="F35" s="535" t="s">
        <v>247</v>
      </c>
      <c r="G35" s="536"/>
      <c r="H35" s="536"/>
      <c r="I35" s="536"/>
      <c r="J35" s="536"/>
      <c r="K35" s="537"/>
      <c r="L35" s="376"/>
    </row>
    <row r="36" spans="1:12" s="105" customFormat="1" ht="60.75" customHeight="1" x14ac:dyDescent="0.25">
      <c r="A36" s="573" t="s">
        <v>68</v>
      </c>
      <c r="B36" s="574"/>
      <c r="C36" s="47"/>
      <c r="D36" s="168" t="s">
        <v>19</v>
      </c>
      <c r="E36" s="118" t="str">
        <f>IF(D36=$N$6,1,IF(D36=$N$5,2,IF(D36=$N$4,3,IF(D36=$N$3,4,"n/a"))))</f>
        <v>n/a</v>
      </c>
      <c r="F36" s="535" t="s">
        <v>248</v>
      </c>
      <c r="G36" s="536"/>
      <c r="H36" s="536"/>
      <c r="I36" s="536"/>
      <c r="J36" s="536"/>
      <c r="K36" s="537"/>
      <c r="L36" s="376"/>
    </row>
    <row r="37" spans="1:12" s="105" customFormat="1" ht="60.75" customHeight="1" thickBot="1" x14ac:dyDescent="0.3">
      <c r="A37" s="564" t="s">
        <v>69</v>
      </c>
      <c r="B37" s="565"/>
      <c r="C37" s="190" t="s">
        <v>225</v>
      </c>
      <c r="D37" s="167" t="s">
        <v>5</v>
      </c>
      <c r="E37" s="171">
        <f>IF(D37=$N$6,1,IF(D37=$N$5,2,IF(D37=$N$4,3,IF(D37=$N$3,4,"n/a"))))</f>
        <v>3</v>
      </c>
      <c r="F37" s="566" t="s">
        <v>249</v>
      </c>
      <c r="G37" s="482"/>
      <c r="H37" s="482"/>
      <c r="I37" s="482"/>
      <c r="J37" s="482"/>
      <c r="K37" s="567"/>
      <c r="L37" s="376"/>
    </row>
    <row r="38" spans="1:12" s="105" customFormat="1" ht="25.5" customHeight="1" thickBot="1" x14ac:dyDescent="0.3">
      <c r="A38" s="42"/>
      <c r="B38" s="43"/>
      <c r="C38" s="44" t="s">
        <v>24</v>
      </c>
      <c r="D38" s="27" t="str">
        <f>IF(E38&lt;1.5,"Low",IF(E38&lt;2.5,"Moderate",IF(E38&lt;3.5,"Substantial",IF(E38&lt;4.5,"High","n/a"))))</f>
        <v>Substantial</v>
      </c>
      <c r="E38" s="145">
        <f>IF(COUNT(E34:E37)=0,"n/a",AVERAGE(E34:E37))</f>
        <v>3</v>
      </c>
      <c r="F38" s="28">
        <f>E38</f>
        <v>3</v>
      </c>
      <c r="G38" s="216"/>
      <c r="H38" s="29" t="s">
        <v>23</v>
      </c>
      <c r="I38" s="26" t="str">
        <f>D38</f>
        <v>Substantial</v>
      </c>
      <c r="J38" s="30">
        <f>IF(I38=$N$7,"n/a",IF(AND(I38=$N$5,D38=$N$6),1.5,IF(AND(I38=$N$4,D38=$N$5),2.5,IF(AND(I38=$N$3,D38=$N$4),3.5,IF(AND(I38=$N$6,D38=$N$5),1.49,IF(AND(I38=$N$5,D38=$N$4),2.49,IF(AND(I38=$N$4,D38=$N$3),3.49,E38)))))))</f>
        <v>3</v>
      </c>
      <c r="K38" s="181" t="s">
        <v>92</v>
      </c>
      <c r="L38" s="376"/>
    </row>
    <row r="39" spans="1:12" s="124" customFormat="1" ht="22.5" customHeight="1" thickBot="1" x14ac:dyDescent="0.35">
      <c r="A39" s="31" t="s">
        <v>219</v>
      </c>
      <c r="B39" s="32"/>
      <c r="C39" s="33"/>
      <c r="D39" s="35"/>
      <c r="E39" s="35"/>
      <c r="F39" s="34"/>
      <c r="G39" s="135"/>
      <c r="H39" s="35"/>
      <c r="I39" s="35"/>
      <c r="J39" s="34"/>
      <c r="K39" s="136"/>
      <c r="L39" s="380"/>
    </row>
    <row r="40" spans="1:12" s="124" customFormat="1" ht="22.5" customHeight="1" x14ac:dyDescent="0.3">
      <c r="A40" s="137" t="s">
        <v>34</v>
      </c>
      <c r="B40" s="138"/>
      <c r="C40" s="138"/>
      <c r="D40" s="138"/>
      <c r="E40" s="138"/>
      <c r="F40" s="138"/>
      <c r="G40" s="138"/>
      <c r="H40" s="138"/>
      <c r="I40" s="138"/>
      <c r="J40" s="138"/>
      <c r="K40" s="138"/>
      <c r="L40" s="380"/>
    </row>
    <row r="41" spans="1:12" s="105" customFormat="1" ht="33.75" customHeight="1" x14ac:dyDescent="0.25">
      <c r="A41" s="494" t="s">
        <v>42</v>
      </c>
      <c r="B41" s="494"/>
      <c r="C41" s="38" t="s">
        <v>226</v>
      </c>
      <c r="D41" s="48" t="s">
        <v>5</v>
      </c>
      <c r="E41" s="163">
        <f>IF(D41=$N$6,1,IF(D41=$N$5,2,IF(D41=$N$4,3,IF(D41=$N$3,4,"n/a"))))</f>
        <v>3</v>
      </c>
      <c r="F41" s="499" t="s">
        <v>250</v>
      </c>
      <c r="G41" s="499"/>
      <c r="H41" s="499"/>
      <c r="I41" s="499"/>
      <c r="J41" s="499"/>
      <c r="K41" s="499"/>
      <c r="L41" s="378" t="s">
        <v>97</v>
      </c>
    </row>
    <row r="42" spans="1:12" s="105" customFormat="1" ht="44.25" customHeight="1" thickBot="1" x14ac:dyDescent="0.3">
      <c r="A42" s="561" t="s">
        <v>141</v>
      </c>
      <c r="B42" s="562"/>
      <c r="C42" s="191" t="s">
        <v>226</v>
      </c>
      <c r="D42" s="48" t="s">
        <v>5</v>
      </c>
      <c r="E42" s="163">
        <f>IF(D42=$N$6,1,IF(D42=$N$5,2,IF(D42=$N$4,3,IF(D42=$N$3,4,"n/a"))))</f>
        <v>3</v>
      </c>
      <c r="F42" s="499" t="s">
        <v>227</v>
      </c>
      <c r="G42" s="499"/>
      <c r="H42" s="499"/>
      <c r="I42" s="499"/>
      <c r="J42" s="499"/>
      <c r="K42" s="500"/>
      <c r="L42" s="376"/>
    </row>
    <row r="43" spans="1:12" s="124" customFormat="1" ht="30" customHeight="1" thickBot="1" x14ac:dyDescent="0.35">
      <c r="A43" s="559"/>
      <c r="B43" s="560"/>
      <c r="C43" s="36" t="s">
        <v>24</v>
      </c>
      <c r="D43" s="27" t="str">
        <f>IF(E43&lt;1.5,"Low",IF(E43&lt;2.5,"Moderate",IF(E43&lt;3.5,"Substantial",IF(E43&lt;4.5,"High","n/a"))))</f>
        <v>Substantial</v>
      </c>
      <c r="E43" s="145">
        <f>IF(COUNT(E41:E42)=0,"n/a",AVERAGE(E41:E42))</f>
        <v>3</v>
      </c>
      <c r="F43" s="28">
        <f>E43</f>
        <v>3</v>
      </c>
      <c r="G43" s="216"/>
      <c r="H43" s="29" t="s">
        <v>23</v>
      </c>
      <c r="I43" s="26" t="str">
        <f>D43</f>
        <v>Substantial</v>
      </c>
      <c r="J43" s="30">
        <f>IF(I43=$N$7,"n/a",IF(AND(I43=$N$5,D43=$N$6),1.5,IF(AND(I43=$N$4,D43=$N$5),2.5,IF(AND(I43=$N$3,D43=$N$4),3.5,IF(AND(I43=$N$6,D43=$N$5),1.49,IF(AND(I43=$N$5,D43=$N$4),2.49,IF(AND(I43=$N$4,D43=$N$3),3.49,E43)))))))</f>
        <v>3</v>
      </c>
      <c r="K43" s="192" t="s">
        <v>92</v>
      </c>
      <c r="L43" s="383"/>
    </row>
    <row r="44" spans="1:12" s="124" customFormat="1" ht="18" customHeight="1" thickBot="1" x14ac:dyDescent="0.35">
      <c r="A44" s="139" t="s">
        <v>35</v>
      </c>
      <c r="B44" s="140"/>
      <c r="C44" s="140"/>
      <c r="D44" s="141"/>
      <c r="E44" s="141"/>
      <c r="F44" s="141"/>
      <c r="G44" s="141"/>
      <c r="H44" s="141"/>
      <c r="I44" s="141"/>
      <c r="J44" s="141"/>
      <c r="K44" s="141"/>
      <c r="L44" s="380"/>
    </row>
    <row r="45" spans="1:12" s="105" customFormat="1" ht="30.75" customHeight="1" x14ac:dyDescent="0.3">
      <c r="A45" s="494" t="s">
        <v>142</v>
      </c>
      <c r="B45" s="589"/>
      <c r="C45" s="38" t="s">
        <v>229</v>
      </c>
      <c r="D45" s="48" t="s">
        <v>43</v>
      </c>
      <c r="E45" s="163">
        <f>IF(D45=$N$6,1,IF(D45=$N$5,2,IF(D45=$N$4,3,IF(D45=$N$3,4,"n/a"))))</f>
        <v>2</v>
      </c>
      <c r="F45" s="538" t="s">
        <v>251</v>
      </c>
      <c r="G45" s="539"/>
      <c r="H45" s="539"/>
      <c r="I45" s="539"/>
      <c r="J45" s="539"/>
      <c r="K45" s="540"/>
      <c r="L45" s="376"/>
    </row>
    <row r="46" spans="1:12" s="105" customFormat="1" ht="30" customHeight="1" x14ac:dyDescent="0.25">
      <c r="A46" s="563" t="s">
        <v>40</v>
      </c>
      <c r="B46" s="491"/>
      <c r="C46" s="38" t="s">
        <v>229</v>
      </c>
      <c r="D46" s="48" t="s">
        <v>5</v>
      </c>
      <c r="E46" s="163">
        <f>IF(D46=$N$6,1,IF(D46=$N$5,2,IF(D46=$N$4,3,IF(D46=$N$3,4,"n/a"))))</f>
        <v>3</v>
      </c>
      <c r="F46" s="542" t="s">
        <v>252</v>
      </c>
      <c r="G46" s="542"/>
      <c r="H46" s="542"/>
      <c r="I46" s="542"/>
      <c r="J46" s="542"/>
      <c r="K46" s="542"/>
      <c r="L46" s="376"/>
    </row>
    <row r="47" spans="1:12" s="105" customFormat="1" ht="26" customHeight="1" x14ac:dyDescent="0.25">
      <c r="A47" s="563" t="s">
        <v>144</v>
      </c>
      <c r="B47" s="491"/>
      <c r="C47" s="38" t="s">
        <v>229</v>
      </c>
      <c r="D47" s="48" t="s">
        <v>43</v>
      </c>
      <c r="E47" s="163">
        <f>IF(D47=$N$6,1,IF(D47=$N$5,2,IF(D47=$N$4,3,IF(D47=$N$3,4,"n/a"))))</f>
        <v>2</v>
      </c>
      <c r="F47" s="536" t="s">
        <v>253</v>
      </c>
      <c r="G47" s="536"/>
      <c r="H47" s="536"/>
      <c r="I47" s="536"/>
      <c r="J47" s="536"/>
      <c r="K47" s="536"/>
      <c r="L47" s="376"/>
    </row>
    <row r="48" spans="1:12" s="105" customFormat="1" ht="31.5" customHeight="1" thickBot="1" x14ac:dyDescent="0.3">
      <c r="A48" s="561" t="s">
        <v>145</v>
      </c>
      <c r="B48" s="562"/>
      <c r="C48" s="193" t="s">
        <v>229</v>
      </c>
      <c r="D48" s="167" t="s">
        <v>5</v>
      </c>
      <c r="E48" s="163">
        <f>IF(D48=$N$6,1,IF(D48=$N$5,2,IF(D48=$N$4,3,IF(D48=$N$3,4,"n/a"))))</f>
        <v>3</v>
      </c>
      <c r="F48" s="483" t="s">
        <v>254</v>
      </c>
      <c r="G48" s="484"/>
      <c r="H48" s="484"/>
      <c r="I48" s="484"/>
      <c r="J48" s="484"/>
      <c r="K48" s="485"/>
      <c r="L48" s="376"/>
    </row>
    <row r="49" spans="1:19" s="124" customFormat="1" ht="32.25" customHeight="1" thickBot="1" x14ac:dyDescent="0.35">
      <c r="A49" s="560"/>
      <c r="B49" s="590"/>
      <c r="C49" s="36" t="s">
        <v>24</v>
      </c>
      <c r="D49" s="27" t="str">
        <f>IF(E49&lt;1.5,"Low",IF(E49&lt;2.5,"Moderate",IF(E49&lt;3.5,"Substantial",IF(E49&lt;4.5,"High","n/a"))))</f>
        <v>Substantial</v>
      </c>
      <c r="E49" s="145">
        <f>IF(COUNT(E45:E48)=0,"n/a",AVERAGE(E45:E48))</f>
        <v>2.5</v>
      </c>
      <c r="F49" s="49">
        <f>E49</f>
        <v>2.5</v>
      </c>
      <c r="G49" s="216"/>
      <c r="H49" s="50" t="s">
        <v>23</v>
      </c>
      <c r="I49" s="325" t="str">
        <f>D49</f>
        <v>Substantial</v>
      </c>
      <c r="J49" s="91">
        <f>IF(I49=$N$7,"n/a",IF(AND(I49=$N$5,D49=$N$6),1.5,IF(AND(I49=$N$4,D49=$N$5),2.5,IF(AND(I49=$N$3,D49=$N$4),3.5,IF(AND(I49=$N$6,D49=$N$5),1.49,IF(AND(I49=$N$5,D49=$N$4),2.49,IF(AND(I49=$N$4,D49=$N$3),3.49,E49)))))))</f>
        <v>2.5</v>
      </c>
      <c r="K49" s="92" t="s">
        <v>92</v>
      </c>
      <c r="L49" s="380"/>
    </row>
    <row r="50" spans="1:19" s="124" customFormat="1" ht="22.5" customHeight="1" thickBot="1" x14ac:dyDescent="0.35">
      <c r="A50" s="142" t="s">
        <v>148</v>
      </c>
      <c r="B50" s="143"/>
      <c r="C50" s="169"/>
      <c r="D50" s="169"/>
      <c r="E50" s="170"/>
      <c r="F50" s="144"/>
      <c r="G50" s="144"/>
      <c r="H50" s="144"/>
      <c r="I50" s="144"/>
      <c r="J50" s="144"/>
      <c r="K50" s="144"/>
      <c r="L50" s="380"/>
    </row>
    <row r="51" spans="1:19" s="124" customFormat="1" ht="34.5" customHeight="1" x14ac:dyDescent="0.3">
      <c r="A51" s="503" t="s">
        <v>147</v>
      </c>
      <c r="B51" s="503"/>
      <c r="C51" s="193" t="s">
        <v>229</v>
      </c>
      <c r="D51" s="168" t="s">
        <v>43</v>
      </c>
      <c r="E51" s="162">
        <f>IF(D51=$N$6,1,IF(D51=$N$5,2,IF(D51=$N$4,3,IF(D51=$N$3,4,"n/a"))))</f>
        <v>2</v>
      </c>
      <c r="F51" s="538" t="s">
        <v>255</v>
      </c>
      <c r="G51" s="539"/>
      <c r="H51" s="539"/>
      <c r="I51" s="539"/>
      <c r="J51" s="539"/>
      <c r="K51" s="540"/>
      <c r="L51" s="380"/>
    </row>
    <row r="52" spans="1:19" s="124" customFormat="1" ht="34.5" customHeight="1" x14ac:dyDescent="0.3">
      <c r="A52" s="503" t="s">
        <v>143</v>
      </c>
      <c r="B52" s="503"/>
      <c r="C52" s="193" t="s">
        <v>229</v>
      </c>
      <c r="D52" s="168" t="s">
        <v>5</v>
      </c>
      <c r="E52" s="162">
        <f>IF(D52=$N$6,1,IF(D52=$N$5,2,IF(D52=$N$4,3,IF(D52=$N$3,4,"n/a"))))</f>
        <v>3</v>
      </c>
      <c r="F52" s="535" t="s">
        <v>256</v>
      </c>
      <c r="G52" s="536"/>
      <c r="H52" s="536"/>
      <c r="I52" s="536"/>
      <c r="J52" s="536"/>
      <c r="K52" s="537"/>
      <c r="L52" s="380"/>
    </row>
    <row r="53" spans="1:19" s="124" customFormat="1" ht="24.75" customHeight="1" x14ac:dyDescent="0.3">
      <c r="A53" s="494" t="s">
        <v>146</v>
      </c>
      <c r="B53" s="494"/>
      <c r="C53" s="38" t="s">
        <v>229</v>
      </c>
      <c r="D53" s="168" t="s">
        <v>5</v>
      </c>
      <c r="E53" s="162">
        <f>IF(D53=$N$6,1,IF(D53=$N$5,2,IF(D53=$N$4,3,IF(D53=$N$3,4,"n/a"))))</f>
        <v>3</v>
      </c>
      <c r="F53" s="541" t="s">
        <v>257</v>
      </c>
      <c r="G53" s="542"/>
      <c r="H53" s="542"/>
      <c r="I53" s="542"/>
      <c r="J53" s="542"/>
      <c r="K53" s="543"/>
      <c r="L53" s="380"/>
    </row>
    <row r="54" spans="1:19" s="124" customFormat="1" ht="32" customHeight="1" x14ac:dyDescent="0.3">
      <c r="A54" s="503" t="s">
        <v>149</v>
      </c>
      <c r="B54" s="503"/>
      <c r="C54" s="193" t="s">
        <v>228</v>
      </c>
      <c r="D54" s="48" t="s">
        <v>4</v>
      </c>
      <c r="E54" s="171">
        <f>IF(D54=$N$6,1,IF(D54=$N$5,2,IF(D54=$N$4,3,IF(D54=$N$3,4,"n/a"))))</f>
        <v>4</v>
      </c>
      <c r="F54" s="535" t="s">
        <v>258</v>
      </c>
      <c r="G54" s="499"/>
      <c r="H54" s="536"/>
      <c r="I54" s="536"/>
      <c r="J54" s="536"/>
      <c r="K54" s="537"/>
      <c r="L54" s="380"/>
    </row>
    <row r="55" spans="1:19" s="124" customFormat="1" ht="32" customHeight="1" thickBot="1" x14ac:dyDescent="0.35">
      <c r="A55" s="494" t="s">
        <v>150</v>
      </c>
      <c r="B55" s="494"/>
      <c r="C55" s="38" t="s">
        <v>229</v>
      </c>
      <c r="D55" s="168" t="s">
        <v>43</v>
      </c>
      <c r="E55" s="163">
        <f>IF(D55=$N$6,1,IF(D55=$N$5,2,IF(D55=$N$4,3,IF(D55=$N$3,4,"n/a"))))</f>
        <v>2</v>
      </c>
      <c r="F55" s="536" t="s">
        <v>259</v>
      </c>
      <c r="G55" s="536"/>
      <c r="H55" s="536"/>
      <c r="I55" s="536"/>
      <c r="J55" s="499"/>
      <c r="K55" s="536"/>
      <c r="L55" s="380"/>
    </row>
    <row r="56" spans="1:19" s="105" customFormat="1" ht="28.5" customHeight="1" thickBot="1" x14ac:dyDescent="0.3">
      <c r="A56" s="554"/>
      <c r="B56" s="555"/>
      <c r="C56" s="36" t="s">
        <v>24</v>
      </c>
      <c r="D56" s="27" t="str">
        <f>IF(E56&lt;1.5,"Low",IF(E56&lt;2.5,"Moderate",IF(E56&lt;3.5,"Substantial",IF(E56&lt;4.5,"High","n/a"))))</f>
        <v>Substantial</v>
      </c>
      <c r="E56" s="145">
        <f>IF(COUNT(E51:E55)=0,"n/a",AVERAGE(E51:E55))</f>
        <v>2.8</v>
      </c>
      <c r="F56" s="28">
        <f>E56</f>
        <v>2.8</v>
      </c>
      <c r="G56" s="216"/>
      <c r="H56" s="29" t="s">
        <v>23</v>
      </c>
      <c r="I56" s="26" t="str">
        <f>D56</f>
        <v>Substantial</v>
      </c>
      <c r="J56" s="30">
        <f>IF(I56=$N$7,"n/a",IF(AND(I56=$N$5,D56=$N$6),1.5,IF(AND(I56=$N$4,D56=$N$5),2.5,IF(AND(I56=$N$3,D56=$N$4),3.5,IF(AND(I56=$N$6,D56=$N$5),1.49,IF(AND(I56=$N$5,D56=$N$4),2.49,IF(AND(I56=$N$4,D56=$N$3),3.49,E56)))))))</f>
        <v>2.8</v>
      </c>
      <c r="K56" s="89" t="s">
        <v>92</v>
      </c>
      <c r="L56" s="376"/>
    </row>
    <row r="57" spans="1:19" s="105" customFormat="1" ht="19.5" customHeight="1" thickBot="1" x14ac:dyDescent="0.3">
      <c r="A57" s="139" t="s">
        <v>151</v>
      </c>
      <c r="B57" s="146"/>
      <c r="C57" s="194"/>
      <c r="D57" s="147"/>
      <c r="E57" s="147"/>
      <c r="F57" s="147"/>
      <c r="G57" s="147"/>
      <c r="H57" s="147"/>
      <c r="I57" s="147"/>
      <c r="J57" s="147"/>
      <c r="K57" s="147"/>
      <c r="L57" s="376"/>
    </row>
    <row r="58" spans="1:19" s="124" customFormat="1" ht="32.25" customHeight="1" x14ac:dyDescent="0.3">
      <c r="A58" s="494" t="s">
        <v>39</v>
      </c>
      <c r="B58" s="494"/>
      <c r="C58" s="38" t="s">
        <v>230</v>
      </c>
      <c r="D58" s="166" t="s">
        <v>5</v>
      </c>
      <c r="E58" s="171">
        <f>IF(D58=$N$6,1,IF(D58=$N$5,2,IF(D58=$N$4,3,IF(D58=$N$3,4,"n/a"))))</f>
        <v>3</v>
      </c>
      <c r="F58" s="548" t="s">
        <v>260</v>
      </c>
      <c r="G58" s="549"/>
      <c r="H58" s="549"/>
      <c r="I58" s="549"/>
      <c r="J58" s="549"/>
      <c r="K58" s="550"/>
      <c r="L58" s="380"/>
    </row>
    <row r="59" spans="1:19" s="124" customFormat="1" ht="32.25" customHeight="1" x14ac:dyDescent="0.3">
      <c r="A59" s="494" t="s">
        <v>36</v>
      </c>
      <c r="B59" s="494"/>
      <c r="C59" s="38" t="s">
        <v>230</v>
      </c>
      <c r="D59" s="48" t="s">
        <v>5</v>
      </c>
      <c r="E59" s="118">
        <f>IF(D59=$N$6,1,IF(D59=$N$5,2,IF(D59=$N$4,3,IF(D59=$N$3,4,"n/a"))))</f>
        <v>3</v>
      </c>
      <c r="F59" s="535" t="s">
        <v>261</v>
      </c>
      <c r="G59" s="536"/>
      <c r="H59" s="536"/>
      <c r="I59" s="536"/>
      <c r="J59" s="536"/>
      <c r="K59" s="537"/>
      <c r="L59" s="380"/>
    </row>
    <row r="60" spans="1:19" s="124" customFormat="1" ht="48.75" customHeight="1" x14ac:dyDescent="0.3">
      <c r="A60" s="494" t="s">
        <v>37</v>
      </c>
      <c r="B60" s="494"/>
      <c r="C60" s="38" t="s">
        <v>230</v>
      </c>
      <c r="D60" s="48" t="s">
        <v>43</v>
      </c>
      <c r="E60" s="118">
        <f>IF(D60=$N$6,1,IF(D60=$N$5,2,IF(D60=$N$4,3,IF(D60=$N$3,4,"n/a"))))</f>
        <v>2</v>
      </c>
      <c r="F60" s="535" t="s">
        <v>231</v>
      </c>
      <c r="G60" s="536"/>
      <c r="H60" s="536"/>
      <c r="I60" s="536"/>
      <c r="J60" s="536"/>
      <c r="K60" s="537"/>
      <c r="L60" s="384"/>
    </row>
    <row r="61" spans="1:19" s="124" customFormat="1" ht="21" customHeight="1" thickBot="1" x14ac:dyDescent="0.35">
      <c r="A61" s="503" t="s">
        <v>38</v>
      </c>
      <c r="B61" s="503"/>
      <c r="C61" s="193" t="s">
        <v>232</v>
      </c>
      <c r="D61" s="176" t="s">
        <v>4</v>
      </c>
      <c r="E61" s="175">
        <f>IF(D61=$N$6,1,IF(D61=$N$5,2,IF(D61=$N$4,3,IF(D61=$N$3,4,"n/a"))))</f>
        <v>4</v>
      </c>
      <c r="F61" s="483" t="s">
        <v>262</v>
      </c>
      <c r="G61" s="484"/>
      <c r="H61" s="484"/>
      <c r="I61" s="484"/>
      <c r="J61" s="484"/>
      <c r="K61" s="485"/>
      <c r="L61" s="380"/>
    </row>
    <row r="62" spans="1:19" s="105" customFormat="1" ht="28.5" customHeight="1" thickBot="1" x14ac:dyDescent="0.3">
      <c r="A62" s="504"/>
      <c r="B62" s="505"/>
      <c r="C62" s="36" t="s">
        <v>24</v>
      </c>
      <c r="D62" s="27" t="str">
        <f>IF(E62&lt;1.5,"Low",IF(E62&lt;2.5,"Moderate",IF(E62&lt;3.5,"Substantial",IF(E62&lt;4.5,"High","n/a"))))</f>
        <v>Substantial</v>
      </c>
      <c r="E62" s="145">
        <f>IF(COUNT(E58:E61)=0,"n/a",AVERAGE(E58:E61))</f>
        <v>3</v>
      </c>
      <c r="F62" s="49">
        <f>E62</f>
        <v>3</v>
      </c>
      <c r="G62" s="120"/>
      <c r="H62" s="50" t="s">
        <v>23</v>
      </c>
      <c r="I62" s="325" t="str">
        <f>D62</f>
        <v>Substantial</v>
      </c>
      <c r="J62" s="91">
        <f>IF(I62=$N$7,"n/a",IF(AND(I62=$N$5,D62=$N$6),1.5,IF(AND(I62=$N$4,D62=$N$5),2.5,IF(AND(I62=$N$3,D62=$N$4),3.5,IF(AND(I62=$N$6,D62=$N$5),1.49,IF(AND(I62=$N$5,D62=$N$4),2.49,IF(AND(I62=$N$4,D62=$N$3),3.49,E62)))))))</f>
        <v>3</v>
      </c>
      <c r="K62" s="326" t="s">
        <v>92</v>
      </c>
      <c r="L62" s="376"/>
    </row>
    <row r="63" spans="1:19" s="105" customFormat="1" ht="21.75" customHeight="1" x14ac:dyDescent="0.25">
      <c r="A63" s="198" t="s">
        <v>152</v>
      </c>
      <c r="B63" s="138"/>
      <c r="C63" s="146"/>
      <c r="D63" s="138"/>
      <c r="E63" s="194"/>
      <c r="F63" s="194"/>
      <c r="G63" s="194"/>
      <c r="H63" s="194"/>
      <c r="I63" s="194"/>
      <c r="J63" s="194"/>
      <c r="K63" s="197"/>
      <c r="L63" s="376"/>
    </row>
    <row r="64" spans="1:19" s="148" customFormat="1" ht="47.25" customHeight="1" x14ac:dyDescent="0.25">
      <c r="A64" s="490" t="s">
        <v>153</v>
      </c>
      <c r="B64" s="491"/>
      <c r="C64" s="38" t="s">
        <v>232</v>
      </c>
      <c r="D64" s="195" t="s">
        <v>5</v>
      </c>
      <c r="E64" s="196">
        <f>IF(D64=$N$6,1,IF(D64=$N$5,2,IF(D64=$N$4,3,IF(D64=$N$3,4,"n/a"))))</f>
        <v>3</v>
      </c>
      <c r="F64" s="482" t="s">
        <v>263</v>
      </c>
      <c r="G64" s="482"/>
      <c r="H64" s="482"/>
      <c r="I64" s="482"/>
      <c r="J64" s="482"/>
      <c r="K64" s="482"/>
      <c r="L64" s="385"/>
      <c r="S64" s="149"/>
    </row>
    <row r="65" spans="1:19" s="148" customFormat="1" ht="48.75" customHeight="1" thickBot="1" x14ac:dyDescent="0.3">
      <c r="A65" s="495" t="s">
        <v>154</v>
      </c>
      <c r="B65" s="496"/>
      <c r="C65" s="191" t="s">
        <v>233</v>
      </c>
      <c r="D65" s="165" t="s">
        <v>5</v>
      </c>
      <c r="E65" s="163">
        <f>IF(D65=$N$6,1,IF(D65=$N$5,2,IF(D65=$N$4,3,IF(D65=$N$3,4,"n/a"))))</f>
        <v>3</v>
      </c>
      <c r="F65" s="483" t="s">
        <v>264</v>
      </c>
      <c r="G65" s="484"/>
      <c r="H65" s="484"/>
      <c r="I65" s="484"/>
      <c r="J65" s="484"/>
      <c r="K65" s="485"/>
      <c r="L65" s="385"/>
      <c r="S65" s="149"/>
    </row>
    <row r="66" spans="1:19" s="148" customFormat="1" ht="30" customHeight="1" thickBot="1" x14ac:dyDescent="0.3">
      <c r="A66" s="492"/>
      <c r="B66" s="493"/>
      <c r="C66" s="36" t="s">
        <v>24</v>
      </c>
      <c r="D66" s="27" t="str">
        <f>IF(E66&lt;1.5,"Low",IF(E66&lt;2.5,"Moderate",IF(E66&lt;3.5,"Substantial",IF(E66&lt;4.5,"High","n/a"))))</f>
        <v>Substantial</v>
      </c>
      <c r="E66" s="145">
        <f>IF(COUNT(E64:E65)=0,"n/a",AVERAGE(E64:E65))</f>
        <v>3</v>
      </c>
      <c r="F66" s="49">
        <f>E66</f>
        <v>3</v>
      </c>
      <c r="G66" s="216"/>
      <c r="H66" s="50" t="s">
        <v>23</v>
      </c>
      <c r="I66" s="325" t="str">
        <f>D66</f>
        <v>Substantial</v>
      </c>
      <c r="J66" s="91">
        <f>IF(I66=$N$7,"n/a",IF(AND(I66=$N$5,D66=$N$6),1.5,IF(AND(I66=$N$4,D66=$N$5),2.5,IF(AND(I66=$N$3,D66=$N$4),3.5,IF(AND(I66=$N$6,D66=$N$5),1.49,IF(AND(I66=$N$5,D66=$N$4),2.49,IF(AND(I66=$N$4,D66=$N$3),3.49,E66)))))))</f>
        <v>3</v>
      </c>
      <c r="K66" s="327" t="s">
        <v>92</v>
      </c>
      <c r="L66" s="386"/>
      <c r="S66" s="149"/>
    </row>
    <row r="67" spans="1:19" s="152" customFormat="1" ht="24.75" customHeight="1" thickBot="1" x14ac:dyDescent="0.3">
      <c r="A67" s="150" t="s">
        <v>220</v>
      </c>
      <c r="B67" s="151"/>
      <c r="C67" s="208"/>
      <c r="D67" s="208"/>
      <c r="E67" s="208"/>
      <c r="F67" s="208"/>
      <c r="G67" s="208"/>
      <c r="H67" s="208"/>
      <c r="I67" s="208"/>
      <c r="J67" s="208"/>
      <c r="K67" s="209"/>
      <c r="L67" s="378" t="s">
        <v>97</v>
      </c>
      <c r="Q67" s="153"/>
    </row>
    <row r="68" spans="1:19" s="152" customFormat="1" ht="23.25" customHeight="1" x14ac:dyDescent="0.25">
      <c r="A68" s="202" t="s">
        <v>213</v>
      </c>
      <c r="B68" s="203"/>
      <c r="C68" s="205"/>
      <c r="D68" s="206"/>
      <c r="E68" s="206"/>
      <c r="F68" s="206"/>
      <c r="G68" s="206"/>
      <c r="H68" s="206"/>
      <c r="I68" s="206"/>
      <c r="J68" s="206"/>
      <c r="K68" s="207"/>
      <c r="L68" s="385"/>
    </row>
    <row r="69" spans="1:19" s="152" customFormat="1" ht="31.75" customHeight="1" x14ac:dyDescent="0.25">
      <c r="A69" s="517" t="s">
        <v>53</v>
      </c>
      <c r="B69" s="588"/>
      <c r="C69" s="224" t="s">
        <v>234</v>
      </c>
      <c r="D69" s="225" t="s">
        <v>5</v>
      </c>
      <c r="E69" s="118">
        <f>IF(D69=$N$6,1,IF(D69=$N$5,2,IF(D69=$N$4,3,IF(D69=$N$3,4,"n/a"))))</f>
        <v>3</v>
      </c>
      <c r="F69" s="512" t="s">
        <v>265</v>
      </c>
      <c r="G69" s="512"/>
      <c r="H69" s="512"/>
      <c r="I69" s="512"/>
      <c r="J69" s="512"/>
      <c r="K69" s="512"/>
      <c r="L69" s="378" t="s">
        <v>97</v>
      </c>
    </row>
    <row r="70" spans="1:19" s="152" customFormat="1" ht="33.75" customHeight="1" thickBot="1" x14ac:dyDescent="0.3">
      <c r="A70" s="497" t="s">
        <v>54</v>
      </c>
      <c r="B70" s="498"/>
      <c r="C70" s="226" t="s">
        <v>234</v>
      </c>
      <c r="D70" s="165" t="s">
        <v>5</v>
      </c>
      <c r="E70" s="175">
        <f>IF(D70=$N$6,1,IF(D70=$N$5,2,IF(D70=$N$4,3,IF(D70=$N$3,4,"n/a"))))</f>
        <v>3</v>
      </c>
      <c r="F70" s="506" t="s">
        <v>266</v>
      </c>
      <c r="G70" s="507"/>
      <c r="H70" s="506"/>
      <c r="I70" s="506"/>
      <c r="J70" s="507"/>
      <c r="K70" s="506"/>
      <c r="L70" s="378" t="s">
        <v>97</v>
      </c>
    </row>
    <row r="71" spans="1:19" s="152" customFormat="1" ht="27" customHeight="1" thickBot="1" x14ac:dyDescent="0.3">
      <c r="A71" s="501"/>
      <c r="B71" s="502"/>
      <c r="C71" s="212" t="s">
        <v>24</v>
      </c>
      <c r="D71" s="46" t="str">
        <f>IF(E71&lt;1.5,"Low",IF(E71&lt;2.5,"Moderate",IF(E71&lt;3.5,"Substantial",IF(E71&lt;4.5,"High","n/a"))))</f>
        <v>Substantial</v>
      </c>
      <c r="E71" s="145">
        <f>IF(COUNT(E69:E70)=0,"n/a",AVERAGE(E69:E70))</f>
        <v>3</v>
      </c>
      <c r="F71" s="28">
        <f>E71</f>
        <v>3</v>
      </c>
      <c r="G71" s="216"/>
      <c r="H71" s="29" t="s">
        <v>23</v>
      </c>
      <c r="I71" s="26" t="str">
        <f>D71</f>
        <v>Substantial</v>
      </c>
      <c r="J71" s="30">
        <f>IF(I71=$N$7,"n/a",IF(AND(I71=$N$5,D71=$N$6),1.5,IF(AND(I71=$N$4,D71=$N$5),2.5,IF(AND(I71=$N$3,D71=$N$4),3.5,IF(AND(I71=$N$6,D71=$N$5),1.49,IF(AND(I71=$N$5,D71=$N$4),2.49,IF(AND(I71=$N$4,D71=$N$3),3.49,E71)))))))</f>
        <v>3</v>
      </c>
      <c r="K71" s="181" t="s">
        <v>92</v>
      </c>
      <c r="L71" s="385"/>
    </row>
    <row r="72" spans="1:19" s="152" customFormat="1" ht="20.25" customHeight="1" x14ac:dyDescent="0.25">
      <c r="A72" s="313" t="s">
        <v>44</v>
      </c>
      <c r="B72" s="205"/>
      <c r="C72" s="206"/>
      <c r="D72" s="199"/>
      <c r="E72" s="200"/>
      <c r="F72" s="206"/>
      <c r="G72" s="206"/>
      <c r="H72" s="206"/>
      <c r="I72" s="206"/>
      <c r="J72" s="206"/>
      <c r="K72" s="207"/>
      <c r="L72" s="385"/>
    </row>
    <row r="73" spans="1:19" s="152" customFormat="1" ht="36" customHeight="1" x14ac:dyDescent="0.25">
      <c r="A73" s="486" t="s">
        <v>75</v>
      </c>
      <c r="B73" s="487"/>
      <c r="C73" s="227" t="s">
        <v>235</v>
      </c>
      <c r="D73" s="168" t="s">
        <v>5</v>
      </c>
      <c r="E73" s="118">
        <f>IF(D73=$N$6,1,IF(D73=$N$5,2,IF(D73=$N$4,3,IF(D73=$N$3,4,"n/a"))))</f>
        <v>3</v>
      </c>
      <c r="F73" s="593" t="s">
        <v>267</v>
      </c>
      <c r="G73" s="506"/>
      <c r="H73" s="506"/>
      <c r="I73" s="506"/>
      <c r="J73" s="506"/>
      <c r="K73" s="594"/>
      <c r="L73" s="378"/>
    </row>
    <row r="74" spans="1:19" s="152" customFormat="1" ht="33.75" customHeight="1" thickBot="1" x14ac:dyDescent="0.3">
      <c r="A74" s="497" t="s">
        <v>58</v>
      </c>
      <c r="B74" s="498"/>
      <c r="C74" s="228" t="s">
        <v>234</v>
      </c>
      <c r="D74" s="167" t="s">
        <v>43</v>
      </c>
      <c r="E74" s="175">
        <f>IF(D74=$N$6,1,IF(D74=$N$5,2,IF(D74=$N$4,3,IF(D74=$N$3,4,"n/a"))))</f>
        <v>2</v>
      </c>
      <c r="F74" s="585" t="s">
        <v>268</v>
      </c>
      <c r="G74" s="586"/>
      <c r="H74" s="586"/>
      <c r="I74" s="586"/>
      <c r="J74" s="586"/>
      <c r="K74" s="606"/>
      <c r="L74" s="378" t="s">
        <v>97</v>
      </c>
    </row>
    <row r="75" spans="1:19" s="152" customFormat="1" ht="25.5" customHeight="1" thickBot="1" x14ac:dyDescent="0.3">
      <c r="A75" s="513"/>
      <c r="B75" s="514"/>
      <c r="C75" s="45" t="s">
        <v>24</v>
      </c>
      <c r="D75" s="27" t="str">
        <f>IF(E75&lt;1.5,"Low",IF(E75&lt;2.5,"Moderate",IF(E75&lt;3.5,"Substantial",IF(E75&lt;4.5,"High","n/a"))))</f>
        <v>Substantial</v>
      </c>
      <c r="E75" s="145">
        <f>IF(COUNT(E73:E74)=0,"n/a",AVERAGE(E73:E74))</f>
        <v>2.5</v>
      </c>
      <c r="F75" s="49">
        <f>E75</f>
        <v>2.5</v>
      </c>
      <c r="G75" s="216"/>
      <c r="H75" s="50" t="s">
        <v>23</v>
      </c>
      <c r="I75" s="325" t="str">
        <f>D75</f>
        <v>Substantial</v>
      </c>
      <c r="J75" s="91">
        <f>IF(I75=$N$7,"n/a",IF(AND(I75=$N$5,D75=$N$6),1.5,IF(AND(I75=$N$4,D75=$N$5),2.5,IF(AND(I75=$N$3,D75=$N$4),3.5,IF(AND(I75=$N$6,D75=$N$5),1.49,IF(AND(I75=$N$5,D75=$N$4),2.49,IF(AND(I75=$N$4,D75=$N$3),3.49,E75)))))))</f>
        <v>2.5</v>
      </c>
      <c r="K75" s="92" t="s">
        <v>92</v>
      </c>
      <c r="L75" s="385"/>
    </row>
    <row r="76" spans="1:19" s="152" customFormat="1" ht="21" customHeight="1" x14ac:dyDescent="0.25">
      <c r="A76" s="202" t="s">
        <v>55</v>
      </c>
      <c r="B76" s="203"/>
      <c r="C76" s="199"/>
      <c r="D76" s="199"/>
      <c r="E76" s="199"/>
      <c r="F76" s="199"/>
      <c r="G76" s="199"/>
      <c r="H76" s="199"/>
      <c r="I76" s="199"/>
      <c r="J76" s="199"/>
      <c r="K76" s="201"/>
      <c r="L76" s="385"/>
    </row>
    <row r="77" spans="1:19" s="152" customFormat="1" ht="35.25" customHeight="1" x14ac:dyDescent="0.25">
      <c r="A77" s="517" t="s">
        <v>56</v>
      </c>
      <c r="B77" s="588"/>
      <c r="C77" s="229" t="s">
        <v>234</v>
      </c>
      <c r="D77" s="168" t="s">
        <v>5</v>
      </c>
      <c r="E77" s="118">
        <f>IF(D77=$N$6,1,IF(D77=$N$5,2,IF(D77=$N$4,3,IF(D77=$N$3,4,"n/a"))))</f>
        <v>3</v>
      </c>
      <c r="F77" s="512" t="s">
        <v>269</v>
      </c>
      <c r="G77" s="512"/>
      <c r="H77" s="512"/>
      <c r="I77" s="512"/>
      <c r="J77" s="512"/>
      <c r="K77" s="512"/>
      <c r="L77" s="385"/>
    </row>
    <row r="78" spans="1:19" s="152" customFormat="1" ht="26.25" customHeight="1" x14ac:dyDescent="0.25">
      <c r="A78" s="517" t="s">
        <v>57</v>
      </c>
      <c r="B78" s="518"/>
      <c r="C78" s="227" t="s">
        <v>234</v>
      </c>
      <c r="D78" s="48" t="s">
        <v>5</v>
      </c>
      <c r="E78" s="118">
        <f>IF(D78=$N$6,1,IF(D78=$N$5,2,IF(D78=$N$4,3,IF(D78=$N$3,4,"n/a"))))</f>
        <v>3</v>
      </c>
      <c r="F78" s="506" t="s">
        <v>270</v>
      </c>
      <c r="G78" s="506"/>
      <c r="H78" s="506"/>
      <c r="I78" s="506"/>
      <c r="J78" s="506"/>
      <c r="K78" s="506"/>
      <c r="L78" s="378" t="s">
        <v>97</v>
      </c>
    </row>
    <row r="79" spans="1:19" s="152" customFormat="1" ht="24" customHeight="1" thickBot="1" x14ac:dyDescent="0.3">
      <c r="A79" s="517" t="s">
        <v>76</v>
      </c>
      <c r="B79" s="518"/>
      <c r="C79" s="230" t="s">
        <v>234</v>
      </c>
      <c r="D79" s="167" t="s">
        <v>5</v>
      </c>
      <c r="E79" s="175">
        <f>IF(D79=$N$6,1,IF(D79=$N$5,2,IF(D79=$N$4,3,IF(D79=$N$3,4,"n/a"))))</f>
        <v>3</v>
      </c>
      <c r="F79" s="506" t="s">
        <v>271</v>
      </c>
      <c r="G79" s="507"/>
      <c r="H79" s="506"/>
      <c r="I79" s="506"/>
      <c r="J79" s="507"/>
      <c r="K79" s="506"/>
      <c r="L79" s="378" t="s">
        <v>97</v>
      </c>
    </row>
    <row r="80" spans="1:19" s="152" customFormat="1" ht="27.75" customHeight="1" thickBot="1" x14ac:dyDescent="0.3">
      <c r="A80" s="513"/>
      <c r="B80" s="514"/>
      <c r="C80" s="45" t="s">
        <v>24</v>
      </c>
      <c r="D80" s="27" t="str">
        <f>IF(E80&lt;1.5,"Low",IF(E80&lt;2.5,"Moderate",IF(E80&lt;3.5,"Substantial",IF(E80&lt;4.5,"High","n/a"))))</f>
        <v>Substantial</v>
      </c>
      <c r="E80" s="145">
        <f>IF(COUNT(E77:E79)=0,"n/a",AVERAGE(E77:E79))</f>
        <v>3</v>
      </c>
      <c r="F80" s="28">
        <f>E80</f>
        <v>3</v>
      </c>
      <c r="G80" s="216"/>
      <c r="H80" s="29" t="s">
        <v>23</v>
      </c>
      <c r="I80" s="26" t="str">
        <f>D80</f>
        <v>Substantial</v>
      </c>
      <c r="J80" s="30">
        <f>IF(I80=$N$7,"n/a",IF(AND(I80=$N$5,D80=$N$6),1.5,IF(AND(I80=$N$4,D80=$N$5),2.5,IF(AND(I80=$N$3,D80=$N$4),3.5,IF(AND(I80=$N$6,D80=$N$5),1.49,IF(AND(I80=$N$5,D80=$N$4),2.49,IF(AND(I80=$N$4,D80=$N$3),3.49,E80)))))))</f>
        <v>3</v>
      </c>
      <c r="K80" s="89" t="s">
        <v>92</v>
      </c>
      <c r="L80" s="385"/>
    </row>
    <row r="81" spans="1:17" s="152" customFormat="1" ht="21" customHeight="1" x14ac:dyDescent="0.25">
      <c r="A81" s="204" t="s">
        <v>59</v>
      </c>
      <c r="B81" s="199"/>
      <c r="C81" s="199"/>
      <c r="D81" s="199"/>
      <c r="E81" s="199"/>
      <c r="F81" s="199"/>
      <c r="G81" s="199"/>
      <c r="H81" s="199"/>
      <c r="I81" s="199"/>
      <c r="J81" s="199"/>
      <c r="K81" s="201"/>
      <c r="L81" s="385"/>
    </row>
    <row r="82" spans="1:17" s="152" customFormat="1" ht="34.5" customHeight="1" x14ac:dyDescent="0.25">
      <c r="A82" s="517" t="s">
        <v>78</v>
      </c>
      <c r="B82" s="588"/>
      <c r="C82" s="229"/>
      <c r="D82" s="168" t="s">
        <v>5</v>
      </c>
      <c r="E82" s="118">
        <f>IF(D82=$N$6,1,IF(D82=$N$5,2,IF(D82=$N$4,3,IF(D82=$N$3,4,"n/a"))))</f>
        <v>3</v>
      </c>
      <c r="F82" s="512" t="s">
        <v>272</v>
      </c>
      <c r="G82" s="512"/>
      <c r="H82" s="512"/>
      <c r="I82" s="512"/>
      <c r="J82" s="512"/>
      <c r="K82" s="512"/>
      <c r="L82" s="385"/>
    </row>
    <row r="83" spans="1:17" s="152" customFormat="1" ht="27.75" customHeight="1" thickBot="1" x14ac:dyDescent="0.3">
      <c r="A83" s="497" t="s">
        <v>79</v>
      </c>
      <c r="B83" s="498"/>
      <c r="C83" s="230"/>
      <c r="D83" s="167" t="s">
        <v>43</v>
      </c>
      <c r="E83" s="175">
        <f>IF(D83=$N$6,1,IF(D83=$N$5,2,IF(D83=$N$4,3,IF(D83=$N$3,4,"n/a"))))</f>
        <v>2</v>
      </c>
      <c r="F83" s="585" t="s">
        <v>16</v>
      </c>
      <c r="G83" s="586"/>
      <c r="H83" s="586"/>
      <c r="I83" s="586"/>
      <c r="J83" s="586"/>
      <c r="K83" s="587"/>
      <c r="L83" s="378" t="s">
        <v>97</v>
      </c>
      <c r="Q83" s="154"/>
    </row>
    <row r="84" spans="1:17" s="152" customFormat="1" ht="26.25" customHeight="1" thickBot="1" x14ac:dyDescent="0.3">
      <c r="A84" s="210"/>
      <c r="B84" s="211"/>
      <c r="C84" s="212" t="s">
        <v>24</v>
      </c>
      <c r="D84" s="27" t="str">
        <f>IF(E84&lt;1.5,"Low",IF(E84&lt;2.5,"Moderate",IF(E84&lt;3.5,"Substantial",IF(E84&lt;4.5,"High","n/a"))))</f>
        <v>Substantial</v>
      </c>
      <c r="E84" s="145">
        <f>IF(COUNT(E82:E83)=0,"n/a",AVERAGE(E82:E83))</f>
        <v>2.5</v>
      </c>
      <c r="F84" s="49">
        <f>E84</f>
        <v>2.5</v>
      </c>
      <c r="G84" s="217"/>
      <c r="H84" s="324" t="s">
        <v>23</v>
      </c>
      <c r="I84" s="325" t="str">
        <f>D84</f>
        <v>Substantial</v>
      </c>
      <c r="J84" s="91">
        <f>IF(I84=$N$7,"n/a",IF(AND(I84=$N$5,D84=$N$6),1.5,IF(AND(I84=$N$4,D84=$N$5),2.5,IF(AND(I84=$N$3,D84=$N$4),3.5,IF(AND(I84=$N$6,D84=$N$5),1.49,IF(AND(I84=$N$5,D84=$N$4),2.49,IF(AND(I84=$N$4,D84=$N$3),3.49,E84)))))))</f>
        <v>2.5</v>
      </c>
      <c r="K84" s="326" t="s">
        <v>92</v>
      </c>
      <c r="L84" s="385"/>
      <c r="Q84" s="155"/>
    </row>
    <row r="85" spans="1:17" s="152" customFormat="1" ht="26.25" customHeight="1" thickBot="1" x14ac:dyDescent="0.3">
      <c r="A85" s="290" t="s">
        <v>221</v>
      </c>
      <c r="B85" s="289"/>
      <c r="C85" s="289"/>
      <c r="D85" s="289"/>
      <c r="E85" s="289"/>
      <c r="F85" s="289"/>
      <c r="G85" s="289"/>
      <c r="H85" s="289"/>
      <c r="I85" s="289"/>
      <c r="J85" s="289"/>
      <c r="K85" s="289"/>
      <c r="L85" s="385"/>
      <c r="Q85" s="155"/>
    </row>
    <row r="86" spans="1:17" s="152" customFormat="1" ht="21.75" customHeight="1" x14ac:dyDescent="0.25">
      <c r="A86" s="394" t="s">
        <v>177</v>
      </c>
      <c r="B86" s="291"/>
      <c r="C86" s="291"/>
      <c r="D86" s="291"/>
      <c r="E86" s="291"/>
      <c r="F86" s="291"/>
      <c r="G86" s="291"/>
      <c r="H86" s="291"/>
      <c r="I86" s="291"/>
      <c r="J86" s="291"/>
      <c r="K86" s="292"/>
      <c r="L86" s="385"/>
      <c r="Q86" s="155"/>
    </row>
    <row r="87" spans="1:17" s="152" customFormat="1" ht="33.75" customHeight="1" x14ac:dyDescent="0.25">
      <c r="A87" s="525" t="s">
        <v>155</v>
      </c>
      <c r="B87" s="526"/>
      <c r="C87" s="293" t="s">
        <v>230</v>
      </c>
      <c r="D87" s="225" t="s">
        <v>5</v>
      </c>
      <c r="E87" s="213">
        <f>IF(D87=$N$6,1,IF(D87=$N$5,2,IF(D87=$N$4,3,IF(D87=$N$3,4,"n/a"))))</f>
        <v>3</v>
      </c>
      <c r="F87" s="512" t="s">
        <v>273</v>
      </c>
      <c r="G87" s="512"/>
      <c r="H87" s="512"/>
      <c r="I87" s="512"/>
      <c r="J87" s="512"/>
      <c r="K87" s="512"/>
      <c r="L87" s="385"/>
      <c r="Q87" s="155"/>
    </row>
    <row r="88" spans="1:17" s="152" customFormat="1" ht="33.75" customHeight="1" x14ac:dyDescent="0.25">
      <c r="A88" s="525" t="s">
        <v>156</v>
      </c>
      <c r="B88" s="526"/>
      <c r="C88" s="293" t="s">
        <v>230</v>
      </c>
      <c r="D88" s="225" t="s">
        <v>43</v>
      </c>
      <c r="E88" s="213">
        <f>IF(D88=$N$6,1,IF(D88=$N$5,2,IF(D88=$N$4,3,IF(D88=$N$3,4,"n/a"))))</f>
        <v>2</v>
      </c>
      <c r="F88" s="512" t="s">
        <v>274</v>
      </c>
      <c r="G88" s="512"/>
      <c r="H88" s="512"/>
      <c r="I88" s="512"/>
      <c r="J88" s="512"/>
      <c r="K88" s="512"/>
      <c r="L88" s="378" t="s">
        <v>97</v>
      </c>
      <c r="Q88" s="155"/>
    </row>
    <row r="89" spans="1:17" s="152" customFormat="1" ht="30.75" customHeight="1" x14ac:dyDescent="0.25">
      <c r="A89" s="525" t="s">
        <v>157</v>
      </c>
      <c r="B89" s="526"/>
      <c r="C89" s="293" t="s">
        <v>230</v>
      </c>
      <c r="D89" s="225" t="s">
        <v>43</v>
      </c>
      <c r="E89" s="213">
        <f>IF(D89=$N$6,1,IF(D89=$N$5,2,IF(D89=$N$4,3,IF(D89=$N$3,4,"n/a"))))</f>
        <v>2</v>
      </c>
      <c r="F89" s="512" t="s">
        <v>275</v>
      </c>
      <c r="G89" s="512"/>
      <c r="H89" s="512"/>
      <c r="I89" s="512"/>
      <c r="J89" s="512"/>
      <c r="K89" s="512"/>
      <c r="L89" s="385"/>
      <c r="Q89" s="155"/>
    </row>
    <row r="90" spans="1:17" s="152" customFormat="1" ht="45.75" customHeight="1" thickBot="1" x14ac:dyDescent="0.3">
      <c r="A90" s="525" t="s">
        <v>178</v>
      </c>
      <c r="B90" s="526"/>
      <c r="C90" s="293" t="s">
        <v>236</v>
      </c>
      <c r="D90" s="225" t="s">
        <v>5</v>
      </c>
      <c r="E90" s="213">
        <f>IF(D90=$N$6,1,IF(D90=$N$5,2,IF(D90=$N$4,3,IF(D90=$N$3,4,"n/a"))))</f>
        <v>3</v>
      </c>
      <c r="F90" s="512" t="s">
        <v>276</v>
      </c>
      <c r="G90" s="512"/>
      <c r="H90" s="512"/>
      <c r="I90" s="512"/>
      <c r="J90" s="527"/>
      <c r="K90" s="512"/>
      <c r="L90" s="385"/>
      <c r="Q90" s="155"/>
    </row>
    <row r="91" spans="1:17" s="152" customFormat="1" ht="26.25" customHeight="1" thickBot="1" x14ac:dyDescent="0.3">
      <c r="A91" s="530"/>
      <c r="B91" s="531"/>
      <c r="C91" s="294" t="s">
        <v>24</v>
      </c>
      <c r="D91" s="27" t="str">
        <f>IF(E91&lt;1.5,"Low",IF(E91&lt;2.5,"Moderate",IF(E91&lt;3.5,"Substantial",IF(E91&lt;4.5,"High","n/a"))))</f>
        <v>Substantial</v>
      </c>
      <c r="E91" s="145">
        <f>IF(COUNT(E87:E90)=0,"n/a",AVERAGE(E87:E90))</f>
        <v>2.5</v>
      </c>
      <c r="F91" s="28">
        <f>E91</f>
        <v>2.5</v>
      </c>
      <c r="G91" s="217"/>
      <c r="H91" s="51" t="s">
        <v>23</v>
      </c>
      <c r="I91" s="26" t="str">
        <f>D91</f>
        <v>Substantial</v>
      </c>
      <c r="J91" s="30">
        <f>IF(I91=$N$7,"n/a",IF(AND(I91=$N$5,D91=$N$6),1.5,IF(AND(I91=$N$4,D91=$N$5),2.5,IF(AND(I91=$N$3,D91=$N$4),3.5,IF(AND(I91=$N$6,D91=$N$5),1.49,IF(AND(I91=$N$5,D91=$N$4),2.49,IF(AND(I91=$N$4,D91=$N$3),3.49,E91)))))))</f>
        <v>2.5</v>
      </c>
      <c r="K91" s="89" t="s">
        <v>92</v>
      </c>
      <c r="L91" s="385"/>
      <c r="Q91" s="155"/>
    </row>
    <row r="92" spans="1:17" s="152" customFormat="1" ht="21" customHeight="1" x14ac:dyDescent="0.25">
      <c r="A92" s="394" t="s">
        <v>168</v>
      </c>
      <c r="B92" s="291"/>
      <c r="C92" s="291"/>
      <c r="D92" s="291"/>
      <c r="E92" s="291"/>
      <c r="F92" s="291"/>
      <c r="G92" s="291"/>
      <c r="H92" s="291"/>
      <c r="I92" s="291"/>
      <c r="J92" s="291"/>
      <c r="K92" s="292"/>
      <c r="L92" s="385"/>
      <c r="Q92" s="155"/>
    </row>
    <row r="93" spans="1:17" s="152" customFormat="1" ht="47.25" customHeight="1" x14ac:dyDescent="0.25">
      <c r="A93" s="525" t="s">
        <v>169</v>
      </c>
      <c r="B93" s="526"/>
      <c r="C93" s="293" t="s">
        <v>230</v>
      </c>
      <c r="D93" s="168" t="s">
        <v>5</v>
      </c>
      <c r="E93" s="213">
        <f>IF(D93=$N$6,1,IF(D93=$N$5,2,IF(D93=$N$4,3,IF(D93=$N$3,4,"n/a"))))</f>
        <v>3</v>
      </c>
      <c r="F93" s="512" t="s">
        <v>277</v>
      </c>
      <c r="G93" s="512"/>
      <c r="H93" s="512"/>
      <c r="I93" s="512"/>
      <c r="J93" s="512"/>
      <c r="K93" s="512"/>
      <c r="L93" s="385"/>
      <c r="Q93" s="155"/>
    </row>
    <row r="94" spans="1:17" s="152" customFormat="1" ht="31.5" customHeight="1" thickBot="1" x14ac:dyDescent="0.3">
      <c r="A94" s="599" t="s">
        <v>180</v>
      </c>
      <c r="B94" s="600"/>
      <c r="C94" s="295" t="s">
        <v>230</v>
      </c>
      <c r="D94" s="167" t="s">
        <v>5</v>
      </c>
      <c r="E94" s="175">
        <f>IF(D94=$N$6,1,IF(D94=$N$5,2,IF(D94=$N$4,3,IF(D94=$N$3,4,"n/a"))))</f>
        <v>3</v>
      </c>
      <c r="F94" s="597" t="s">
        <v>278</v>
      </c>
      <c r="G94" s="598"/>
      <c r="H94" s="598"/>
      <c r="I94" s="598"/>
      <c r="J94" s="598"/>
      <c r="K94" s="596"/>
      <c r="L94" s="378" t="s">
        <v>97</v>
      </c>
      <c r="Q94" s="155"/>
    </row>
    <row r="95" spans="1:17" s="152" customFormat="1" ht="26.25" customHeight="1" thickBot="1" x14ac:dyDescent="0.3">
      <c r="A95" s="601"/>
      <c r="B95" s="602"/>
      <c r="C95" s="294" t="s">
        <v>24</v>
      </c>
      <c r="D95" s="27" t="str">
        <f>IF(E95&lt;1.5,"Low",IF(E95&lt;2.5,"Moderate",IF(E95&lt;3.5,"Substantial",IF(E95&lt;4.5,"High","n/a"))))</f>
        <v>Substantial</v>
      </c>
      <c r="E95" s="145">
        <f>IF(COUNT(E93:E94)=0,"n/a",AVERAGE(E93:E94))</f>
        <v>3</v>
      </c>
      <c r="F95" s="28">
        <f>E95</f>
        <v>3</v>
      </c>
      <c r="G95" s="216"/>
      <c r="H95" s="29" t="s">
        <v>23</v>
      </c>
      <c r="I95" s="26" t="str">
        <f>D95</f>
        <v>Substantial</v>
      </c>
      <c r="J95" s="30">
        <f>IF(I95=$N$7,"n/a",IF(AND(I95=$N$5,D95=$N$6),1.5,IF(AND(I95=$N$4,D95=$N$5),2.5,IF(AND(I95=$N$3,D95=$N$4),3.5,IF(AND(I95=$N$6,D95=$N$5),1.49,IF(AND(I95=$N$5,D95=$N$4),2.49,IF(AND(I95=$N$4,D95=$N$3),3.49,E95)))))))</f>
        <v>3</v>
      </c>
      <c r="K95" s="89" t="s">
        <v>92</v>
      </c>
      <c r="L95" s="385"/>
      <c r="Q95" s="155"/>
    </row>
    <row r="96" spans="1:17" s="152" customFormat="1" ht="21" customHeight="1" x14ac:dyDescent="0.25">
      <c r="A96" s="394" t="s">
        <v>159</v>
      </c>
      <c r="B96" s="291"/>
      <c r="C96" s="291"/>
      <c r="D96" s="291"/>
      <c r="E96" s="291"/>
      <c r="F96" s="291"/>
      <c r="G96" s="291"/>
      <c r="H96" s="291"/>
      <c r="I96" s="291"/>
      <c r="J96" s="291"/>
      <c r="K96" s="292"/>
      <c r="L96" s="385"/>
      <c r="Q96" s="155"/>
    </row>
    <row r="97" spans="1:17" s="152" customFormat="1" ht="33.75" customHeight="1" x14ac:dyDescent="0.25">
      <c r="A97" s="525" t="s">
        <v>160</v>
      </c>
      <c r="B97" s="526"/>
      <c r="C97" s="296" t="s">
        <v>230</v>
      </c>
      <c r="D97" s="168" t="s">
        <v>5</v>
      </c>
      <c r="E97" s="118">
        <f>IF(D97=$N$6,1,IF(D97=$N$5,2,IF(D97=$N$4,3,IF(D97=$N$3,4,"n/a"))))</f>
        <v>3</v>
      </c>
      <c r="F97" s="512" t="s">
        <v>279</v>
      </c>
      <c r="G97" s="512"/>
      <c r="H97" s="512"/>
      <c r="I97" s="512"/>
      <c r="J97" s="512"/>
      <c r="K97" s="512"/>
      <c r="L97" s="378" t="s">
        <v>97</v>
      </c>
      <c r="Q97" s="155"/>
    </row>
    <row r="98" spans="1:17" s="152" customFormat="1" ht="33" customHeight="1" x14ac:dyDescent="0.25">
      <c r="A98" s="599" t="s">
        <v>161</v>
      </c>
      <c r="B98" s="603"/>
      <c r="C98" s="296" t="s">
        <v>230</v>
      </c>
      <c r="D98" s="48" t="s">
        <v>5</v>
      </c>
      <c r="E98" s="118">
        <f>IF(D98=$N$6,1,IF(D98=$N$5,2,IF(D98=$N$4,3,IF(D98=$N$3,4,"n/a"))))</f>
        <v>3</v>
      </c>
      <c r="F98" s="593" t="s">
        <v>280</v>
      </c>
      <c r="G98" s="506"/>
      <c r="H98" s="506"/>
      <c r="I98" s="506"/>
      <c r="J98" s="506"/>
      <c r="K98" s="594"/>
      <c r="L98" s="378" t="s">
        <v>97</v>
      </c>
      <c r="P98" s="311"/>
      <c r="Q98" s="155"/>
    </row>
    <row r="99" spans="1:17" s="152" customFormat="1" ht="31.5" customHeight="1" thickBot="1" x14ac:dyDescent="0.3">
      <c r="A99" s="604" t="s">
        <v>162</v>
      </c>
      <c r="B99" s="605"/>
      <c r="C99" s="297" t="s">
        <v>232</v>
      </c>
      <c r="D99" s="287" t="s">
        <v>4</v>
      </c>
      <c r="E99" s="288">
        <f>IF(D99=$N$6,1,IF(D99=$N$5,2,IF(D99=$N$4,3,IF(D99=$N$3,4,"n/a"))))</f>
        <v>4</v>
      </c>
      <c r="F99" s="595" t="s">
        <v>281</v>
      </c>
      <c r="G99" s="507"/>
      <c r="H99" s="507"/>
      <c r="I99" s="507"/>
      <c r="J99" s="507"/>
      <c r="K99" s="596"/>
      <c r="L99" s="385"/>
      <c r="P99" s="311"/>
      <c r="Q99" s="155"/>
    </row>
    <row r="100" spans="1:17" s="152" customFormat="1" ht="26.25" customHeight="1" thickBot="1" x14ac:dyDescent="0.3">
      <c r="A100" s="591"/>
      <c r="B100" s="592"/>
      <c r="C100" s="294" t="s">
        <v>24</v>
      </c>
      <c r="D100" s="27" t="str">
        <f>IF(E100&lt;1.5,"Low",IF(E100&lt;2.5,"Moderate",IF(E100&lt;3.5,"Substantial",IF(E100&lt;4.5,"High","n/a"))))</f>
        <v>Substantial</v>
      </c>
      <c r="E100" s="145">
        <f>IF(COUNT(E97:E99)=0,"n/a",AVERAGE(E97:E99))</f>
        <v>3.3333333333333335</v>
      </c>
      <c r="F100" s="28">
        <f>E100</f>
        <v>3.3333333333333335</v>
      </c>
      <c r="G100" s="216"/>
      <c r="H100" s="29" t="s">
        <v>23</v>
      </c>
      <c r="I100" s="26" t="str">
        <f>D100</f>
        <v>Substantial</v>
      </c>
      <c r="J100" s="30">
        <f>IF(I100=$N$7,"n/a",IF(AND(I100=$N$5,D100=$N$6),1.5,IF(AND(I100=$N$4,D100=$N$5),2.5,IF(AND(I100=$N$3,D100=$N$4),3.5,IF(AND(I100=$N$6,D100=$N$5),1.49,IF(AND(I100=$N$5,D100=$N$4),2.49,IF(AND(I100=$N$4,D100=$N$3),3.49,E100)))))))</f>
        <v>3.3333333333333335</v>
      </c>
      <c r="K100" s="89" t="s">
        <v>92</v>
      </c>
      <c r="L100" s="385"/>
      <c r="P100" s="311"/>
      <c r="Q100" s="155"/>
    </row>
    <row r="101" spans="1:17" s="152" customFormat="1" ht="23.25" customHeight="1" thickBot="1" x14ac:dyDescent="0.3">
      <c r="A101" s="156" t="s">
        <v>222</v>
      </c>
      <c r="B101" s="157"/>
      <c r="C101" s="157"/>
      <c r="D101" s="157"/>
      <c r="E101" s="157"/>
      <c r="F101" s="157"/>
      <c r="G101" s="157"/>
      <c r="H101" s="157"/>
      <c r="I101" s="157"/>
      <c r="J101" s="157"/>
      <c r="K101" s="157"/>
      <c r="L101" s="385"/>
      <c r="M101" s="155"/>
    </row>
    <row r="102" spans="1:17" s="152" customFormat="1" ht="20.25" customHeight="1" x14ac:dyDescent="0.25">
      <c r="A102" s="395" t="s">
        <v>164</v>
      </c>
      <c r="B102" s="214"/>
      <c r="C102" s="214"/>
      <c r="D102" s="214"/>
      <c r="E102" s="214"/>
      <c r="F102" s="214"/>
      <c r="G102" s="214"/>
      <c r="H102" s="214"/>
      <c r="I102" s="214"/>
      <c r="J102" s="214"/>
      <c r="K102" s="215"/>
      <c r="L102" s="385"/>
    </row>
    <row r="103" spans="1:17" s="152" customFormat="1" ht="30.75" customHeight="1" x14ac:dyDescent="0.25">
      <c r="A103" s="510" t="s">
        <v>183</v>
      </c>
      <c r="B103" s="511"/>
      <c r="C103" s="231" t="s">
        <v>237</v>
      </c>
      <c r="D103" s="225" t="s">
        <v>5</v>
      </c>
      <c r="E103" s="213">
        <f>IF(D103=$N$6,1,IF(D103=$N$5,2,IF(D103=$N$4,3,IF(D103=$N$3,4,"n/a"))))</f>
        <v>3</v>
      </c>
      <c r="F103" s="512" t="s">
        <v>282</v>
      </c>
      <c r="G103" s="512"/>
      <c r="H103" s="512"/>
      <c r="I103" s="512"/>
      <c r="J103" s="512"/>
      <c r="K103" s="512"/>
      <c r="L103" s="378" t="s">
        <v>97</v>
      </c>
      <c r="Q103" s="155"/>
    </row>
    <row r="104" spans="1:17" s="152" customFormat="1" ht="32.25" customHeight="1" x14ac:dyDescent="0.25">
      <c r="A104" s="581" t="s">
        <v>184</v>
      </c>
      <c r="B104" s="582"/>
      <c r="C104" s="232" t="s">
        <v>237</v>
      </c>
      <c r="D104" s="195" t="s">
        <v>5</v>
      </c>
      <c r="E104" s="118">
        <f>IF(D104=$N$6,1,IF(D104=$N$5,2,IF(D104=$N$4,3,IF(D104=$N$3,4,"n/a"))))</f>
        <v>3</v>
      </c>
      <c r="F104" s="506" t="s">
        <v>283</v>
      </c>
      <c r="G104" s="506"/>
      <c r="H104" s="506"/>
      <c r="I104" s="506"/>
      <c r="J104" s="506"/>
      <c r="K104" s="506"/>
      <c r="L104" s="378" t="s">
        <v>97</v>
      </c>
      <c r="Q104" s="158"/>
    </row>
    <row r="105" spans="1:17" ht="31.5" customHeight="1" thickBot="1" x14ac:dyDescent="0.3">
      <c r="A105" s="523" t="s">
        <v>185</v>
      </c>
      <c r="B105" s="524"/>
      <c r="C105" s="233" t="s">
        <v>237</v>
      </c>
      <c r="D105" s="165" t="s">
        <v>43</v>
      </c>
      <c r="E105" s="175">
        <f>IF(D105=$N$6,1,IF(D105=$N$5,2,IF(D105=$N$4,3,IF(D105=$N$3,4,"n/a"))))</f>
        <v>2</v>
      </c>
      <c r="F105" s="506" t="s">
        <v>284</v>
      </c>
      <c r="G105" s="507"/>
      <c r="H105" s="506"/>
      <c r="I105" s="506"/>
      <c r="J105" s="507"/>
      <c r="K105" s="506"/>
      <c r="L105" s="378" t="s">
        <v>97</v>
      </c>
    </row>
    <row r="106" spans="1:17" ht="32.25" customHeight="1" thickBot="1" x14ac:dyDescent="0.3">
      <c r="A106" s="528"/>
      <c r="B106" s="529"/>
      <c r="C106" s="39" t="s">
        <v>24</v>
      </c>
      <c r="D106" s="27" t="str">
        <f>IF(E106&lt;1.5,"Low",IF(E106&lt;2.5,"Moderate",IF(E106&lt;3.5,"Substantial",IF(E106&lt;4.5,"High","n/a"))))</f>
        <v>Substantial</v>
      </c>
      <c r="E106" s="145">
        <f>IF(COUNT(E103:E105)=0,"n/a",AVERAGE(E103:E105))</f>
        <v>2.6666666666666665</v>
      </c>
      <c r="F106" s="28">
        <f>E106</f>
        <v>2.6666666666666665</v>
      </c>
      <c r="G106" s="217"/>
      <c r="H106" s="51" t="s">
        <v>23</v>
      </c>
      <c r="I106" s="26" t="str">
        <f>D106</f>
        <v>Substantial</v>
      </c>
      <c r="J106" s="30">
        <f>IF(I106=$N$7,"n/a",IF(AND(I106=$N$5,D106=$N$6),1.5,IF(AND(I106=$N$4,D106=$N$5),2.5,IF(AND(I106=$N$3,D106=$N$4),3.5,IF(AND(I106=$N$6,D106=$N$5),1.49,IF(AND(I106=$N$5,D106=$N$4),2.49,IF(AND(I106=$N$4,D106=$N$3),3.49,E106)))))))</f>
        <v>2.6666666666666665</v>
      </c>
      <c r="K106" s="89" t="s">
        <v>92</v>
      </c>
      <c r="L106" s="380"/>
    </row>
    <row r="107" spans="1:17" ht="19.5" customHeight="1" x14ac:dyDescent="0.25">
      <c r="A107" s="396" t="s">
        <v>165</v>
      </c>
      <c r="B107" s="214"/>
      <c r="C107" s="214"/>
      <c r="D107" s="214"/>
      <c r="E107" s="214"/>
      <c r="F107" s="214"/>
      <c r="G107" s="214"/>
      <c r="H107" s="214"/>
      <c r="I107" s="214"/>
      <c r="J107" s="214"/>
      <c r="K107" s="215"/>
      <c r="L107" s="380"/>
    </row>
    <row r="108" spans="1:17" ht="31.5" customHeight="1" x14ac:dyDescent="0.25">
      <c r="A108" s="510" t="s">
        <v>186</v>
      </c>
      <c r="B108" s="511"/>
      <c r="C108" s="231" t="s">
        <v>238</v>
      </c>
      <c r="D108" s="168" t="s">
        <v>5</v>
      </c>
      <c r="E108" s="213">
        <f>IF(D108=$N$6,1,IF(D108=$N$5,2,IF(D108=$N$4,3,IF(D108=$N$3,4,"n/a"))))</f>
        <v>3</v>
      </c>
      <c r="F108" s="512"/>
      <c r="G108" s="512"/>
      <c r="H108" s="512"/>
      <c r="I108" s="512"/>
      <c r="J108" s="512"/>
      <c r="K108" s="512"/>
      <c r="L108" s="380"/>
    </row>
    <row r="109" spans="1:17" ht="31.5" customHeight="1" thickBot="1" x14ac:dyDescent="0.3">
      <c r="A109" s="583" t="s">
        <v>187</v>
      </c>
      <c r="B109" s="584"/>
      <c r="C109" s="234" t="s">
        <v>238</v>
      </c>
      <c r="D109" s="167" t="s">
        <v>43</v>
      </c>
      <c r="E109" s="175">
        <f>IF(D109=$N$6,1,IF(D109=$N$5,2,IF(D109=$N$4,3,IF(D109=$N$3,4,"n/a"))))</f>
        <v>2</v>
      </c>
      <c r="F109" s="597" t="s">
        <v>285</v>
      </c>
      <c r="G109" s="598"/>
      <c r="H109" s="598"/>
      <c r="I109" s="598"/>
      <c r="J109" s="598"/>
      <c r="K109" s="596"/>
      <c r="L109" s="380"/>
    </row>
    <row r="110" spans="1:17" ht="27" customHeight="1" thickBot="1" x14ac:dyDescent="0.3">
      <c r="A110" s="508"/>
      <c r="B110" s="509"/>
      <c r="C110" s="39" t="s">
        <v>24</v>
      </c>
      <c r="D110" s="27" t="str">
        <f>IF(E110&lt;1.5,"Low",IF(E110&lt;2.5,"Moderate",IF(E110&lt;3.5,"Substantial",IF(E110&lt;4.5,"High","n/a"))))</f>
        <v>Substantial</v>
      </c>
      <c r="E110" s="145">
        <f>IF(COUNT(E108:E109)=0,"n/a",AVERAGE(E108:E109))</f>
        <v>2.5</v>
      </c>
      <c r="F110" s="28">
        <f>E110</f>
        <v>2.5</v>
      </c>
      <c r="G110" s="216"/>
      <c r="H110" s="29" t="s">
        <v>23</v>
      </c>
      <c r="I110" s="26" t="str">
        <f>D110</f>
        <v>Substantial</v>
      </c>
      <c r="J110" s="30">
        <f>IF(I110=$N$7,"n/a",IF(AND(I110=$N$5,D110=$N$6),1.5,IF(AND(I110=$N$4,D110=$N$5),2.5,IF(AND(I110=$N$3,D110=$N$4),3.5,IF(AND(I110=$N$6,D110=$N$5),1.49,IF(AND(I110=$N$5,D110=$N$4),2.49,IF(AND(I110=$N$4,D110=$N$3),3.49,E110)))))))</f>
        <v>2.5</v>
      </c>
      <c r="K110" s="89" t="s">
        <v>92</v>
      </c>
      <c r="L110" s="380"/>
    </row>
    <row r="111" spans="1:17" ht="21" customHeight="1" x14ac:dyDescent="0.35">
      <c r="A111" s="396" t="s">
        <v>166</v>
      </c>
      <c r="B111" s="214"/>
      <c r="C111" s="214"/>
      <c r="D111" s="214"/>
      <c r="E111" s="214"/>
      <c r="F111" s="214"/>
      <c r="G111" s="214"/>
      <c r="H111" s="214"/>
      <c r="I111" s="214"/>
      <c r="J111" s="214"/>
      <c r="K111" s="215"/>
      <c r="L111" s="380"/>
      <c r="Q111" s="159"/>
    </row>
    <row r="112" spans="1:17" ht="29.25" customHeight="1" x14ac:dyDescent="0.25">
      <c r="A112" s="510" t="s">
        <v>188</v>
      </c>
      <c r="B112" s="511"/>
      <c r="C112" s="231" t="s">
        <v>239</v>
      </c>
      <c r="D112" s="225" t="s">
        <v>4</v>
      </c>
      <c r="E112" s="213">
        <f>IF(D112=$N$6,1,IF(D112=$N$5,2,IF(D112=$N$4,3,IF(D112=$N$3,4,"n/a"))))</f>
        <v>4</v>
      </c>
      <c r="F112" s="512" t="s">
        <v>286</v>
      </c>
      <c r="G112" s="512"/>
      <c r="H112" s="512"/>
      <c r="I112" s="512"/>
      <c r="J112" s="512"/>
      <c r="K112" s="512"/>
      <c r="L112" s="380"/>
    </row>
    <row r="113" spans="1:12" ht="30.75" customHeight="1" x14ac:dyDescent="0.25">
      <c r="A113" s="581" t="s">
        <v>189</v>
      </c>
      <c r="B113" s="582"/>
      <c r="C113" s="232" t="s">
        <v>237</v>
      </c>
      <c r="D113" s="195" t="s">
        <v>5</v>
      </c>
      <c r="E113" s="118">
        <f>IF(D113=$N$6,1,IF(D113=$N$5,2,IF(D113=$N$4,3,IF(D113=$N$3,4,"n/a"))))</f>
        <v>3</v>
      </c>
      <c r="F113" s="593" t="s">
        <v>287</v>
      </c>
      <c r="G113" s="506"/>
      <c r="H113" s="506"/>
      <c r="I113" s="506"/>
      <c r="J113" s="506"/>
      <c r="K113" s="594"/>
      <c r="L113" s="380"/>
    </row>
    <row r="114" spans="1:12" ht="42.75" customHeight="1" thickBot="1" x14ac:dyDescent="0.3">
      <c r="A114" s="523" t="s">
        <v>167</v>
      </c>
      <c r="B114" s="524"/>
      <c r="C114" s="233" t="s">
        <v>240</v>
      </c>
      <c r="D114" s="165" t="s">
        <v>43</v>
      </c>
      <c r="E114" s="175">
        <f>IF(D114=$N$6,1,IF(D114=$N$5,2,IF(D114=$N$4,3,IF(D114=$N$3,4,"n/a"))))</f>
        <v>2</v>
      </c>
      <c r="F114" s="595" t="s">
        <v>288</v>
      </c>
      <c r="G114" s="507"/>
      <c r="H114" s="507"/>
      <c r="I114" s="507"/>
      <c r="J114" s="507"/>
      <c r="K114" s="596"/>
      <c r="L114" s="378" t="s">
        <v>97</v>
      </c>
    </row>
    <row r="115" spans="1:12" ht="26.25" customHeight="1" thickBot="1" x14ac:dyDescent="0.3">
      <c r="A115" s="515"/>
      <c r="B115" s="516"/>
      <c r="C115" s="39" t="s">
        <v>24</v>
      </c>
      <c r="D115" s="27" t="str">
        <f>IF(E115&lt;1.5,"Low",IF(E115&lt;2.5,"Moderate",IF(E115&lt;3.5,"Substantial",IF(E115&lt;4.5,"High","n/a"))))</f>
        <v>Substantial</v>
      </c>
      <c r="E115" s="145">
        <f>IF(COUNT(E112:E114)=0,"n/a",AVERAGE(E112:E114))</f>
        <v>3</v>
      </c>
      <c r="F115" s="28">
        <f>E115</f>
        <v>3</v>
      </c>
      <c r="G115" s="216"/>
      <c r="H115" s="29" t="s">
        <v>23</v>
      </c>
      <c r="I115" s="26" t="str">
        <f>D115</f>
        <v>Substantial</v>
      </c>
      <c r="J115" s="30">
        <f>IF(I115=$N$7,"n/a",IF(AND(I115=$N$5,D115=$N$6),1.5,IF(AND(I115=$N$4,D115=$N$5),2.5,IF(AND(I115=$N$3,D115=$N$4),3.5,IF(AND(I115=$N$6,D115=$N$5),1.49,IF(AND(I115=$N$5,D115=$N$4),2.49,IF(AND(I115=$N$4,D115=$N$3),3.49,E115)))))))</f>
        <v>3</v>
      </c>
      <c r="K115" s="89" t="s">
        <v>92</v>
      </c>
      <c r="L115" s="380"/>
    </row>
    <row r="116" spans="1:12" ht="23.25" customHeight="1" x14ac:dyDescent="0.25">
      <c r="A116" s="396" t="s">
        <v>170</v>
      </c>
      <c r="B116" s="214"/>
      <c r="C116" s="214"/>
      <c r="D116" s="214"/>
      <c r="E116" s="214"/>
      <c r="F116" s="214"/>
      <c r="G116" s="214"/>
      <c r="H116" s="214"/>
      <c r="I116" s="214"/>
      <c r="J116" s="214"/>
      <c r="K116" s="215"/>
      <c r="L116" s="380"/>
    </row>
    <row r="117" spans="1:12" ht="33" customHeight="1" x14ac:dyDescent="0.25">
      <c r="A117" s="521" t="s">
        <v>171</v>
      </c>
      <c r="B117" s="522"/>
      <c r="C117" s="235"/>
      <c r="D117" s="168" t="s">
        <v>19</v>
      </c>
      <c r="E117" s="118" t="str">
        <f>IF(D117=$N$6,1,IF(D117=$N$5,2,IF(D117=$N$4,3,IF(D117=$N$3,4,"n/a"))))</f>
        <v>n/a</v>
      </c>
      <c r="F117" s="512" t="s">
        <v>16</v>
      </c>
      <c r="G117" s="512"/>
      <c r="H117" s="512"/>
      <c r="I117" s="512"/>
      <c r="J117" s="512"/>
      <c r="K117" s="512"/>
      <c r="L117" s="378"/>
    </row>
    <row r="118" spans="1:12" ht="33" customHeight="1" x14ac:dyDescent="0.25">
      <c r="A118" s="521" t="s">
        <v>172</v>
      </c>
      <c r="B118" s="522"/>
      <c r="C118" s="232"/>
      <c r="D118" s="195" t="s">
        <v>19</v>
      </c>
      <c r="E118" s="118" t="str">
        <f>IF(D118=$N$6,1,IF(D118=$N$5,2,IF(D118=$N$4,3,IF(D118=$N$3,4,"n/a"))))</f>
        <v>n/a</v>
      </c>
      <c r="F118" s="593" t="s">
        <v>16</v>
      </c>
      <c r="G118" s="506"/>
      <c r="H118" s="506"/>
      <c r="I118" s="506"/>
      <c r="J118" s="506"/>
      <c r="K118" s="594"/>
      <c r="L118" s="378"/>
    </row>
    <row r="119" spans="1:12" ht="34.5" customHeight="1" thickBot="1" x14ac:dyDescent="0.3">
      <c r="A119" s="519" t="s">
        <v>195</v>
      </c>
      <c r="B119" s="520"/>
      <c r="C119" s="235"/>
      <c r="D119" s="167" t="s">
        <v>19</v>
      </c>
      <c r="E119" s="175" t="str">
        <f>IF(D119=$N$6,1,IF(D119=$N$5,2,IF(D119=$N$4,3,IF(D119=$N$3,4,"n/a"))))</f>
        <v>n/a</v>
      </c>
      <c r="F119" s="595" t="s">
        <v>16</v>
      </c>
      <c r="G119" s="507"/>
      <c r="H119" s="507"/>
      <c r="I119" s="507"/>
      <c r="J119" s="507"/>
      <c r="K119" s="596"/>
      <c r="L119" s="378"/>
    </row>
    <row r="120" spans="1:12" ht="27" customHeight="1" thickBot="1" x14ac:dyDescent="0.3">
      <c r="A120" s="508"/>
      <c r="B120" s="509"/>
      <c r="C120" s="39" t="s">
        <v>24</v>
      </c>
      <c r="D120" s="27" t="str">
        <f>IF(E120&lt;1.5,"Low",IF(E120&lt;2.5,"Moderate",IF(E120&lt;3.5,"Substantial",IF(E120&lt;4.5,"High","n/a"))))</f>
        <v>n/a</v>
      </c>
      <c r="E120" s="145" t="str">
        <f>IF(COUNT(E117:E119)=0,"n/a",AVERAGE(E117:E119))</f>
        <v>n/a</v>
      </c>
      <c r="F120" s="28" t="str">
        <f>E120</f>
        <v>n/a</v>
      </c>
      <c r="G120" s="216"/>
      <c r="H120" s="29" t="s">
        <v>23</v>
      </c>
      <c r="I120" s="26" t="str">
        <f>D120</f>
        <v>n/a</v>
      </c>
      <c r="J120" s="30" t="str">
        <f>IF(I120=$N$7,"n/a",IF(AND(I120=$N$5,D120=$N$6),1.5,IF(AND(I120=$N$4,D120=$N$5),2.5,IF(AND(I120=$N$3,D120=$N$4),3.5,IF(AND(I120=$N$6,D120=$N$5),1.49,IF(AND(I120=$N$5,D120=$N$4),2.49,IF(AND(I120=$N$4,D120=$N$3),3.49,E120)))))))</f>
        <v>n/a</v>
      </c>
      <c r="K120" s="89" t="s">
        <v>92</v>
      </c>
      <c r="L120" s="380"/>
    </row>
  </sheetData>
  <sheetProtection password="CC15" sheet="1" objects="1" scenarios="1" formatRows="0"/>
  <mergeCells count="155">
    <mergeCell ref="F93:K93"/>
    <mergeCell ref="A94:B94"/>
    <mergeCell ref="A95:B95"/>
    <mergeCell ref="A97:B97"/>
    <mergeCell ref="F97:K97"/>
    <mergeCell ref="A98:B98"/>
    <mergeCell ref="A99:B99"/>
    <mergeCell ref="A74:B74"/>
    <mergeCell ref="F74:K74"/>
    <mergeCell ref="A78:B78"/>
    <mergeCell ref="F78:K78"/>
    <mergeCell ref="A77:B77"/>
    <mergeCell ref="A75:B75"/>
    <mergeCell ref="A118:B118"/>
    <mergeCell ref="F113:K113"/>
    <mergeCell ref="F118:K118"/>
    <mergeCell ref="F119:K119"/>
    <mergeCell ref="F114:K114"/>
    <mergeCell ref="F109:K109"/>
    <mergeCell ref="F99:K99"/>
    <mergeCell ref="F98:K98"/>
    <mergeCell ref="F94:K94"/>
    <mergeCell ref="A113:B113"/>
    <mergeCell ref="A112:B112"/>
    <mergeCell ref="A8:B8"/>
    <mergeCell ref="F8:K8"/>
    <mergeCell ref="A9:B9"/>
    <mergeCell ref="F61:K61"/>
    <mergeCell ref="F112:K112"/>
    <mergeCell ref="A110:B110"/>
    <mergeCell ref="A103:B103"/>
    <mergeCell ref="F103:K103"/>
    <mergeCell ref="A104:B104"/>
    <mergeCell ref="A105:B105"/>
    <mergeCell ref="A109:B109"/>
    <mergeCell ref="F77:K77"/>
    <mergeCell ref="F83:K83"/>
    <mergeCell ref="F69:K69"/>
    <mergeCell ref="A69:B69"/>
    <mergeCell ref="F82:K82"/>
    <mergeCell ref="A82:B82"/>
    <mergeCell ref="A45:B45"/>
    <mergeCell ref="A49:B49"/>
    <mergeCell ref="F59:K59"/>
    <mergeCell ref="A87:B87"/>
    <mergeCell ref="A100:B100"/>
    <mergeCell ref="A34:B34"/>
    <mergeCell ref="F73:K73"/>
    <mergeCell ref="D1:E1"/>
    <mergeCell ref="A2:B2"/>
    <mergeCell ref="A24:B24"/>
    <mergeCell ref="F12:K12"/>
    <mergeCell ref="F2:K2"/>
    <mergeCell ref="A10:B10"/>
    <mergeCell ref="A14:B14"/>
    <mergeCell ref="F24:K24"/>
    <mergeCell ref="A36:B36"/>
    <mergeCell ref="F36:K36"/>
    <mergeCell ref="A35:B35"/>
    <mergeCell ref="F35:K35"/>
    <mergeCell ref="A5:B5"/>
    <mergeCell ref="F5:K5"/>
    <mergeCell ref="A12:B12"/>
    <mergeCell ref="A20:B20"/>
    <mergeCell ref="F16:K16"/>
    <mergeCell ref="F30:K30"/>
    <mergeCell ref="A25:B25"/>
    <mergeCell ref="A7:B7"/>
    <mergeCell ref="F7:K7"/>
    <mergeCell ref="A17:B17"/>
    <mergeCell ref="A6:B6"/>
    <mergeCell ref="F6:K6"/>
    <mergeCell ref="F25:K25"/>
    <mergeCell ref="F20:K20"/>
    <mergeCell ref="A21:B21"/>
    <mergeCell ref="F31:K31"/>
    <mergeCell ref="F34:K34"/>
    <mergeCell ref="A41:B41"/>
    <mergeCell ref="A43:B43"/>
    <mergeCell ref="A42:B42"/>
    <mergeCell ref="F48:K48"/>
    <mergeCell ref="A48:B48"/>
    <mergeCell ref="A46:B46"/>
    <mergeCell ref="F46:K46"/>
    <mergeCell ref="F47:K47"/>
    <mergeCell ref="A28:B28"/>
    <mergeCell ref="F28:K28"/>
    <mergeCell ref="A29:B29"/>
    <mergeCell ref="F29:K29"/>
    <mergeCell ref="A37:B37"/>
    <mergeCell ref="F37:K37"/>
    <mergeCell ref="F41:K41"/>
    <mergeCell ref="A47:B47"/>
    <mergeCell ref="F9:K9"/>
    <mergeCell ref="A13:B13"/>
    <mergeCell ref="A60:B60"/>
    <mergeCell ref="F52:K52"/>
    <mergeCell ref="A55:B55"/>
    <mergeCell ref="F55:K55"/>
    <mergeCell ref="A51:B51"/>
    <mergeCell ref="F51:K51"/>
    <mergeCell ref="A53:B53"/>
    <mergeCell ref="F53:K53"/>
    <mergeCell ref="F60:K60"/>
    <mergeCell ref="A26:B26"/>
    <mergeCell ref="A58:B58"/>
    <mergeCell ref="A16:B16"/>
    <mergeCell ref="A19:B19"/>
    <mergeCell ref="F19:K19"/>
    <mergeCell ref="F58:K58"/>
    <mergeCell ref="F45:K45"/>
    <mergeCell ref="A31:B31"/>
    <mergeCell ref="F54:K54"/>
    <mergeCell ref="F13:K13"/>
    <mergeCell ref="A56:B56"/>
    <mergeCell ref="A54:B54"/>
    <mergeCell ref="A52:B52"/>
    <mergeCell ref="A120:B120"/>
    <mergeCell ref="A108:B108"/>
    <mergeCell ref="F108:K108"/>
    <mergeCell ref="A80:B80"/>
    <mergeCell ref="F79:K79"/>
    <mergeCell ref="A115:B115"/>
    <mergeCell ref="A79:B79"/>
    <mergeCell ref="A119:B119"/>
    <mergeCell ref="F104:K104"/>
    <mergeCell ref="F105:K105"/>
    <mergeCell ref="A117:B117"/>
    <mergeCell ref="F117:K117"/>
    <mergeCell ref="A114:B114"/>
    <mergeCell ref="F87:K87"/>
    <mergeCell ref="A88:B88"/>
    <mergeCell ref="F88:K88"/>
    <mergeCell ref="A89:B89"/>
    <mergeCell ref="F89:K89"/>
    <mergeCell ref="A90:B90"/>
    <mergeCell ref="F90:K90"/>
    <mergeCell ref="A106:B106"/>
    <mergeCell ref="A91:B91"/>
    <mergeCell ref="A93:B93"/>
    <mergeCell ref="A83:B83"/>
    <mergeCell ref="F64:K64"/>
    <mergeCell ref="F65:K65"/>
    <mergeCell ref="A73:B73"/>
    <mergeCell ref="A30:B30"/>
    <mergeCell ref="A64:B64"/>
    <mergeCell ref="A66:B66"/>
    <mergeCell ref="A59:B59"/>
    <mergeCell ref="A65:B65"/>
    <mergeCell ref="A70:B70"/>
    <mergeCell ref="F42:K42"/>
    <mergeCell ref="A71:B71"/>
    <mergeCell ref="A61:B61"/>
    <mergeCell ref="A62:B62"/>
    <mergeCell ref="F70:K70"/>
  </mergeCells>
  <phoneticPr fontId="1" type="noConversion"/>
  <conditionalFormatting sqref="A91">
    <cfRule type="cellIs" dxfId="55" priority="17" operator="equal">
      <formula>$N$6</formula>
    </cfRule>
    <cfRule type="cellIs" dxfId="54" priority="18" operator="equal">
      <formula>$N$5</formula>
    </cfRule>
    <cfRule type="cellIs" dxfId="53" priority="19" operator="equal">
      <formula>$N$4</formula>
    </cfRule>
    <cfRule type="cellIs" dxfId="52" priority="20" operator="equal">
      <formula>$N$3</formula>
    </cfRule>
  </conditionalFormatting>
  <conditionalFormatting sqref="A2:H2">
    <cfRule type="cellIs" dxfId="51" priority="911" operator="equal">
      <formula>"Low"</formula>
    </cfRule>
    <cfRule type="cellIs" dxfId="50" priority="910" operator="equal">
      <formula>"Moderate"</formula>
    </cfRule>
    <cfRule type="cellIs" dxfId="49" priority="909" operator="equal">
      <formula>"Substantial"</formula>
    </cfRule>
    <cfRule type="cellIs" dxfId="48" priority="908" operator="equal">
      <formula>"High"</formula>
    </cfRule>
  </conditionalFormatting>
  <conditionalFormatting sqref="A118:J119">
    <cfRule type="cellIs" dxfId="47" priority="9" operator="equal">
      <formula>$N$6</formula>
    </cfRule>
    <cfRule type="cellIs" dxfId="46" priority="10" operator="equal">
      <formula>$N$5</formula>
    </cfRule>
    <cfRule type="cellIs" dxfId="45" priority="11" operator="equal">
      <formula>$N$4</formula>
    </cfRule>
    <cfRule type="cellIs" dxfId="44" priority="12" operator="equal">
      <formula>$N$3</formula>
    </cfRule>
  </conditionalFormatting>
  <conditionalFormatting sqref="A3:K25 A26 C26:K26 A73:J74 A75:K90 A92:K93 A94:J94 A100:K105 A106 C106:K106 A107:K108 A109:J109 A110:K112 A113:J114 A115:K117 A120:K120">
    <cfRule type="cellIs" dxfId="43" priority="36" operator="equal">
      <formula>$N$3</formula>
    </cfRule>
    <cfRule type="cellIs" dxfId="42" priority="35" operator="equal">
      <formula>$N$4</formula>
    </cfRule>
    <cfRule type="cellIs" dxfId="41" priority="34" operator="equal">
      <formula>$N$5</formula>
    </cfRule>
    <cfRule type="cellIs" dxfId="40" priority="33" operator="equal">
      <formula>$N$6</formula>
    </cfRule>
  </conditionalFormatting>
  <conditionalFormatting sqref="A27:K72">
    <cfRule type="cellIs" dxfId="39" priority="21" operator="equal">
      <formula>$N$6</formula>
    </cfRule>
    <cfRule type="cellIs" dxfId="38" priority="22" operator="equal">
      <formula>$N$5</formula>
    </cfRule>
    <cfRule type="cellIs" dxfId="37" priority="23" operator="equal">
      <formula>$N$4</formula>
    </cfRule>
    <cfRule type="cellIs" dxfId="36" priority="24" operator="equal">
      <formula>$N$3</formula>
    </cfRule>
  </conditionalFormatting>
  <conditionalFormatting sqref="A95:K97 A98:J99">
    <cfRule type="cellIs" dxfId="35" priority="16" operator="equal">
      <formula>$N$3</formula>
    </cfRule>
    <cfRule type="cellIs" dxfId="34" priority="15" operator="equal">
      <formula>$N$4</formula>
    </cfRule>
    <cfRule type="cellIs" dxfId="33" priority="14" operator="equal">
      <formula>$N$5</formula>
    </cfRule>
    <cfRule type="cellIs" dxfId="32" priority="13" operator="equal">
      <formula>$N$6</formula>
    </cfRule>
  </conditionalFormatting>
  <conditionalFormatting sqref="C1">
    <cfRule type="cellIs" dxfId="31" priority="615" operator="equal">
      <formula>"High"</formula>
    </cfRule>
    <cfRule type="cellIs" dxfId="30" priority="616" operator="equal">
      <formula>"Substantial"</formula>
    </cfRule>
    <cfRule type="cellIs" dxfId="29" priority="617" operator="equal">
      <formula>"Moderate"</formula>
    </cfRule>
    <cfRule type="cellIs" dxfId="28" priority="618" operator="equal">
      <formula>"Low"</formula>
    </cfRule>
  </conditionalFormatting>
  <conditionalFormatting sqref="C91:K91">
    <cfRule type="cellIs" dxfId="27" priority="4" operator="equal">
      <formula>$N$3</formula>
    </cfRule>
    <cfRule type="cellIs" dxfId="26" priority="3" operator="equal">
      <formula>$N$4</formula>
    </cfRule>
    <cfRule type="cellIs" dxfId="25" priority="2" operator="equal">
      <formula>$N$5</formula>
    </cfRule>
    <cfRule type="cellIs" dxfId="24" priority="1" operator="equal">
      <formula>$N$6</formula>
    </cfRule>
  </conditionalFormatting>
  <conditionalFormatting sqref="F1">
    <cfRule type="cellIs" dxfId="23" priority="611" operator="equal">
      <formula>"High"</formula>
    </cfRule>
    <cfRule type="cellIs" dxfId="22" priority="612" operator="equal">
      <formula>"Substantial"</formula>
    </cfRule>
    <cfRule type="cellIs" dxfId="21" priority="613" operator="equal">
      <formula>"Moderate"</formula>
    </cfRule>
    <cfRule type="cellIs" dxfId="20" priority="614" operator="equal">
      <formula>"Low"</formula>
    </cfRule>
  </conditionalFormatting>
  <dataValidations count="1">
    <dataValidation type="list" allowBlank="1" showInputMessage="1" showErrorMessage="1" sqref="I17 I56 I49 I43 I21 I80 I14 I120 I66 D117:D119 I32 I115 I62 I38:I39 I106 I71 I75 I10 D97:D99 D5:D9 D16 D24:D25 D69:D70 D82:D83 D28:D31 D41:D42 I110 D58:D61 D51:D55 D12:D13 D103:D105 D108:D109 D112:D114 D34:D37 D73:D74 D19:D20 D77:D79 D45:D48 I84 D64:D65 I91 D87:D90 I100 I95 D93:D94 I26" xr:uid="{00000000-0002-0000-0200-000000000000}">
      <formula1>$N$3:$N$7</formula1>
    </dataValidation>
  </dataValidations>
  <pageMargins left="0.7" right="0.7" top="0.75" bottom="0.75" header="0.3" footer="0.3"/>
  <pageSetup paperSize="8" scale="95" fitToHeight="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F55"/>
  <sheetViews>
    <sheetView topLeftCell="A16" zoomScaleNormal="100" zoomScaleSheetLayoutView="115" workbookViewId="0">
      <selection activeCell="B43" sqref="B43"/>
    </sheetView>
  </sheetViews>
  <sheetFormatPr defaultColWidth="8.81640625" defaultRowHeight="12.5" x14ac:dyDescent="0.25"/>
  <cols>
    <col min="1" max="1" width="12.81640625" customWidth="1"/>
    <col min="2" max="2" width="126" customWidth="1"/>
    <col min="4" max="6" width="17.81640625" customWidth="1"/>
  </cols>
  <sheetData>
    <row r="1" spans="1:2" ht="24" customHeight="1" thickBot="1" x14ac:dyDescent="0.3">
      <c r="A1" s="607" t="s">
        <v>123</v>
      </c>
      <c r="B1" s="608"/>
    </row>
    <row r="2" spans="1:2" s="152" customFormat="1" ht="23.25" customHeight="1" x14ac:dyDescent="0.25">
      <c r="A2" s="609" t="s">
        <v>211</v>
      </c>
      <c r="B2" s="610"/>
    </row>
    <row r="3" spans="1:2" ht="40.5" customHeight="1" x14ac:dyDescent="0.25">
      <c r="A3" s="388" t="s">
        <v>200</v>
      </c>
      <c r="B3" s="393" t="s">
        <v>196</v>
      </c>
    </row>
    <row r="4" spans="1:2" ht="36" customHeight="1" x14ac:dyDescent="0.25">
      <c r="A4" s="410" t="s">
        <v>201</v>
      </c>
      <c r="B4" s="94" t="s">
        <v>198</v>
      </c>
    </row>
    <row r="5" spans="1:2" ht="36" customHeight="1" thickBot="1" x14ac:dyDescent="0.3">
      <c r="A5" s="388" t="s">
        <v>215</v>
      </c>
      <c r="B5" s="391" t="s">
        <v>216</v>
      </c>
    </row>
    <row r="6" spans="1:2" ht="23.25" customHeight="1" x14ac:dyDescent="0.25">
      <c r="A6" s="611" t="s">
        <v>197</v>
      </c>
      <c r="B6" s="612"/>
    </row>
    <row r="7" spans="1:2" ht="21.75" customHeight="1" x14ac:dyDescent="0.25">
      <c r="A7" s="387" t="s">
        <v>136</v>
      </c>
      <c r="B7" s="254"/>
    </row>
    <row r="8" spans="1:2" ht="37.5" customHeight="1" x14ac:dyDescent="0.25">
      <c r="A8" s="93">
        <v>1</v>
      </c>
      <c r="B8" s="393" t="s">
        <v>199</v>
      </c>
    </row>
    <row r="9" spans="1:2" ht="22.5" customHeight="1" x14ac:dyDescent="0.3">
      <c r="A9" s="387" t="s">
        <v>134</v>
      </c>
      <c r="B9" s="253"/>
    </row>
    <row r="10" spans="1:2" ht="130.5" customHeight="1" x14ac:dyDescent="0.25">
      <c r="A10" s="392">
        <f>+A8+1</f>
        <v>2</v>
      </c>
      <c r="B10" s="94" t="s">
        <v>212</v>
      </c>
    </row>
    <row r="11" spans="1:2" ht="27" customHeight="1" x14ac:dyDescent="0.25">
      <c r="A11" s="392">
        <f>+A10+1</f>
        <v>3</v>
      </c>
      <c r="B11" s="94" t="s">
        <v>202</v>
      </c>
    </row>
    <row r="12" spans="1:2" ht="23.25" customHeight="1" x14ac:dyDescent="0.25">
      <c r="A12" s="392">
        <f>+A11+1</f>
        <v>4</v>
      </c>
      <c r="B12" s="94" t="s">
        <v>209</v>
      </c>
    </row>
    <row r="13" spans="1:2" ht="114" customHeight="1" x14ac:dyDescent="0.25">
      <c r="A13" s="392">
        <f>+A12+1</f>
        <v>5</v>
      </c>
      <c r="B13" s="94" t="s">
        <v>210</v>
      </c>
    </row>
    <row r="14" spans="1:2" ht="22.5" customHeight="1" x14ac:dyDescent="0.25">
      <c r="A14" s="387" t="s">
        <v>135</v>
      </c>
      <c r="B14" s="254"/>
    </row>
    <row r="15" spans="1:2" ht="54.75" customHeight="1" x14ac:dyDescent="0.25">
      <c r="A15" s="392">
        <f>+A13+1</f>
        <v>6</v>
      </c>
      <c r="B15" s="94" t="s">
        <v>203</v>
      </c>
    </row>
    <row r="16" spans="1:2" ht="23.25" customHeight="1" x14ac:dyDescent="0.25">
      <c r="A16" s="392">
        <f>+A15+1</f>
        <v>7</v>
      </c>
      <c r="B16" s="94" t="s">
        <v>204</v>
      </c>
    </row>
    <row r="17" spans="1:2" ht="24.75" customHeight="1" x14ac:dyDescent="0.25">
      <c r="A17" s="392">
        <f>+A16+1</f>
        <v>8</v>
      </c>
      <c r="B17" s="94" t="s">
        <v>205</v>
      </c>
    </row>
    <row r="18" spans="1:2" ht="24.75" customHeight="1" x14ac:dyDescent="0.25">
      <c r="A18" s="392">
        <f>+A17+1</f>
        <v>9</v>
      </c>
      <c r="B18" s="94" t="s">
        <v>206</v>
      </c>
    </row>
    <row r="19" spans="1:2" ht="21.75" customHeight="1" x14ac:dyDescent="0.25">
      <c r="A19" s="387" t="s">
        <v>136</v>
      </c>
      <c r="B19" s="254"/>
    </row>
    <row r="20" spans="1:2" ht="40.5" customHeight="1" thickBot="1" x14ac:dyDescent="0.3">
      <c r="A20" s="93">
        <f>+A18+1</f>
        <v>10</v>
      </c>
      <c r="B20" s="391" t="s">
        <v>207</v>
      </c>
    </row>
    <row r="21" spans="1:2" ht="52.5" customHeight="1" thickBot="1" x14ac:dyDescent="0.3">
      <c r="A21" s="390" t="s">
        <v>125</v>
      </c>
      <c r="B21" s="255" t="s">
        <v>208</v>
      </c>
    </row>
    <row r="24" spans="1:2" ht="17.25" customHeight="1" x14ac:dyDescent="0.25">
      <c r="A24" s="389" t="s">
        <v>94</v>
      </c>
      <c r="B24" s="389" t="s">
        <v>93</v>
      </c>
    </row>
    <row r="25" spans="1:2" x14ac:dyDescent="0.25">
      <c r="A25" s="95" t="s">
        <v>95</v>
      </c>
      <c r="B25" s="95" t="s">
        <v>73</v>
      </c>
    </row>
    <row r="26" spans="1:2" x14ac:dyDescent="0.25">
      <c r="A26" s="95" t="s">
        <v>96</v>
      </c>
      <c r="B26" s="95" t="s">
        <v>73</v>
      </c>
    </row>
    <row r="27" spans="1:2" x14ac:dyDescent="0.25">
      <c r="A27" s="95" t="s">
        <v>98</v>
      </c>
      <c r="B27" s="96" t="s">
        <v>99</v>
      </c>
    </row>
    <row r="28" spans="1:2" ht="34.5" x14ac:dyDescent="0.25">
      <c r="A28" s="97">
        <v>2.1</v>
      </c>
      <c r="B28" s="98" t="s">
        <v>64</v>
      </c>
    </row>
    <row r="29" spans="1:2" x14ac:dyDescent="0.25">
      <c r="A29" s="99" t="s">
        <v>100</v>
      </c>
      <c r="B29" s="99" t="s">
        <v>65</v>
      </c>
    </row>
    <row r="30" spans="1:2" x14ac:dyDescent="0.25">
      <c r="A30" s="99" t="s">
        <v>101</v>
      </c>
      <c r="B30" s="99" t="s">
        <v>48</v>
      </c>
    </row>
    <row r="31" spans="1:2" ht="23" x14ac:dyDescent="0.25">
      <c r="A31" s="100" t="s">
        <v>102</v>
      </c>
      <c r="B31" s="99" t="s">
        <v>67</v>
      </c>
    </row>
    <row r="32" spans="1:2" x14ac:dyDescent="0.25">
      <c r="A32" s="101" t="s">
        <v>103</v>
      </c>
      <c r="B32" s="101" t="s">
        <v>33</v>
      </c>
    </row>
    <row r="33" spans="1:2" ht="23" x14ac:dyDescent="0.25">
      <c r="A33" s="102">
        <v>4</v>
      </c>
      <c r="B33" s="102" t="s">
        <v>104</v>
      </c>
    </row>
    <row r="34" spans="1:2" x14ac:dyDescent="0.25">
      <c r="A34" s="88" t="s">
        <v>105</v>
      </c>
      <c r="B34" s="88" t="s">
        <v>194</v>
      </c>
    </row>
    <row r="35" spans="1:2" x14ac:dyDescent="0.25">
      <c r="A35" s="88" t="s">
        <v>106</v>
      </c>
      <c r="B35" s="88" t="s">
        <v>117</v>
      </c>
    </row>
    <row r="36" spans="1:2" x14ac:dyDescent="0.25">
      <c r="A36" s="88" t="s">
        <v>107</v>
      </c>
      <c r="B36" s="88" t="s">
        <v>116</v>
      </c>
    </row>
    <row r="37" spans="1:2" ht="34.5" x14ac:dyDescent="0.25">
      <c r="A37" s="88" t="s">
        <v>108</v>
      </c>
      <c r="B37" s="88" t="s">
        <v>109</v>
      </c>
    </row>
    <row r="38" spans="1:2" ht="23" x14ac:dyDescent="0.25">
      <c r="A38" s="88" t="s">
        <v>110</v>
      </c>
      <c r="B38" s="88" t="s">
        <v>77</v>
      </c>
    </row>
    <row r="39" spans="1:2" x14ac:dyDescent="0.25">
      <c r="A39" s="88" t="s">
        <v>111</v>
      </c>
      <c r="B39" s="88" t="s">
        <v>118</v>
      </c>
    </row>
    <row r="40" spans="1:2" x14ac:dyDescent="0.25">
      <c r="A40" s="309" t="s">
        <v>112</v>
      </c>
      <c r="B40" s="309" t="s">
        <v>158</v>
      </c>
    </row>
    <row r="41" spans="1:2" x14ac:dyDescent="0.25">
      <c r="A41" s="310" t="s">
        <v>179</v>
      </c>
      <c r="B41" s="310" t="s">
        <v>182</v>
      </c>
    </row>
    <row r="42" spans="1:2" x14ac:dyDescent="0.25">
      <c r="A42" s="310" t="s">
        <v>163</v>
      </c>
      <c r="B42" s="310" t="s">
        <v>121</v>
      </c>
    </row>
    <row r="43" spans="1:2" x14ac:dyDescent="0.25">
      <c r="A43" s="310" t="s">
        <v>115</v>
      </c>
      <c r="B43" s="310" t="s">
        <v>122</v>
      </c>
    </row>
    <row r="44" spans="1:2" x14ac:dyDescent="0.25">
      <c r="A44" s="103" t="s">
        <v>173</v>
      </c>
      <c r="B44" s="103" t="s">
        <v>113</v>
      </c>
    </row>
    <row r="45" spans="1:2" x14ac:dyDescent="0.25">
      <c r="A45" s="103" t="s">
        <v>174</v>
      </c>
      <c r="B45" s="104" t="s">
        <v>114</v>
      </c>
    </row>
    <row r="46" spans="1:2" x14ac:dyDescent="0.25">
      <c r="A46" s="104" t="s">
        <v>175</v>
      </c>
      <c r="B46" s="104" t="s">
        <v>119</v>
      </c>
    </row>
    <row r="47" spans="1:2" x14ac:dyDescent="0.25">
      <c r="A47" s="104" t="s">
        <v>176</v>
      </c>
      <c r="B47" s="104" t="s">
        <v>120</v>
      </c>
    </row>
    <row r="48" spans="1:2" ht="13" thickBot="1" x14ac:dyDescent="0.3">
      <c r="A48" s="312"/>
      <c r="B48" s="312"/>
    </row>
    <row r="49" spans="1:6" ht="27.75" customHeight="1" thickBot="1" x14ac:dyDescent="0.35">
      <c r="A49" s="251"/>
      <c r="B49" s="252"/>
      <c r="D49" s="256"/>
      <c r="E49" s="262" t="s">
        <v>127</v>
      </c>
      <c r="F49" s="257" t="s">
        <v>129</v>
      </c>
    </row>
    <row r="50" spans="1:6" ht="45" customHeight="1" thickBot="1" x14ac:dyDescent="0.3">
      <c r="A50" s="251"/>
      <c r="B50" s="252" t="s">
        <v>137</v>
      </c>
      <c r="C50" s="14"/>
      <c r="D50" s="267" t="s">
        <v>128</v>
      </c>
      <c r="E50" s="263" t="s">
        <v>130</v>
      </c>
      <c r="F50" s="261" t="s">
        <v>131</v>
      </c>
    </row>
    <row r="51" spans="1:6" ht="21.75" customHeight="1" x14ac:dyDescent="0.25">
      <c r="A51" s="251"/>
      <c r="B51" s="252"/>
      <c r="C51" s="14"/>
      <c r="D51" s="268" t="s">
        <v>4</v>
      </c>
      <c r="E51" s="264">
        <v>4</v>
      </c>
      <c r="F51" s="260" t="s">
        <v>138</v>
      </c>
    </row>
    <row r="52" spans="1:6" ht="21.75" customHeight="1" x14ac:dyDescent="0.25">
      <c r="A52" s="251"/>
      <c r="B52" s="252"/>
      <c r="C52" s="14"/>
      <c r="D52" s="269" t="s">
        <v>5</v>
      </c>
      <c r="E52" s="265">
        <v>3</v>
      </c>
      <c r="F52" s="258" t="s">
        <v>139</v>
      </c>
    </row>
    <row r="53" spans="1:6" ht="21.75" customHeight="1" x14ac:dyDescent="0.25">
      <c r="A53" s="251"/>
      <c r="B53" s="252"/>
      <c r="C53" s="14"/>
      <c r="D53" s="270" t="s">
        <v>43</v>
      </c>
      <c r="E53" s="265">
        <v>2</v>
      </c>
      <c r="F53" s="258" t="s">
        <v>140</v>
      </c>
    </row>
    <row r="54" spans="1:6" ht="21.75" customHeight="1" x14ac:dyDescent="0.25">
      <c r="A54" s="251"/>
      <c r="B54" s="252"/>
      <c r="C54" s="14"/>
      <c r="D54" s="271" t="s">
        <v>80</v>
      </c>
      <c r="E54" s="265">
        <v>1</v>
      </c>
      <c r="F54" s="258" t="s">
        <v>133</v>
      </c>
    </row>
    <row r="55" spans="1:6" ht="21.75" customHeight="1" thickBot="1" x14ac:dyDescent="0.3">
      <c r="A55" s="251"/>
      <c r="B55" s="252"/>
      <c r="C55" s="14"/>
      <c r="D55" s="272" t="s">
        <v>19</v>
      </c>
      <c r="E55" s="266" t="s">
        <v>132</v>
      </c>
      <c r="F55" s="259" t="s">
        <v>132</v>
      </c>
    </row>
  </sheetData>
  <sheetProtection password="CC15" sheet="1" objects="1" scenarios="1" formatRows="0"/>
  <mergeCells count="3">
    <mergeCell ref="A1:B1"/>
    <mergeCell ref="A2:B2"/>
    <mergeCell ref="A6:B6"/>
  </mergeCells>
  <phoneticPr fontId="1" type="noConversion"/>
  <conditionalFormatting sqref="A27:A28">
    <cfRule type="cellIs" dxfId="19" priority="61" operator="equal">
      <formula>$N$6</formula>
    </cfRule>
    <cfRule type="cellIs" dxfId="18" priority="62" operator="equal">
      <formula>#REF!</formula>
    </cfRule>
    <cfRule type="cellIs" dxfId="17" priority="63" operator="equal">
      <formula>$N$4</formula>
    </cfRule>
    <cfRule type="cellIs" dxfId="16" priority="64" operator="equal">
      <formula>$N$3</formula>
    </cfRule>
  </conditionalFormatting>
  <conditionalFormatting sqref="A45">
    <cfRule type="cellIs" dxfId="15" priority="13" operator="equal">
      <formula>$N$6</formula>
    </cfRule>
    <cfRule type="cellIs" dxfId="14" priority="14" operator="equal">
      <formula>#REF!</formula>
    </cfRule>
    <cfRule type="cellIs" dxfId="13" priority="15" operator="equal">
      <formula>$N$4</formula>
    </cfRule>
    <cfRule type="cellIs" dxfId="12" priority="16" operator="equal">
      <formula>$N$3</formula>
    </cfRule>
  </conditionalFormatting>
  <conditionalFormatting sqref="A25:B26">
    <cfRule type="cellIs" dxfId="11" priority="69" operator="equal">
      <formula>$N$6</formula>
    </cfRule>
    <cfRule type="cellIs" dxfId="10" priority="70" operator="equal">
      <formula>#REF!</formula>
    </cfRule>
    <cfRule type="cellIs" dxfId="9" priority="71" operator="equal">
      <formula>$N$4</formula>
    </cfRule>
    <cfRule type="cellIs" dxfId="8" priority="72" operator="equal">
      <formula>$N$3</formula>
    </cfRule>
  </conditionalFormatting>
  <conditionalFormatting sqref="A32:B40">
    <cfRule type="cellIs" dxfId="7" priority="1" operator="equal">
      <formula>$N$6</formula>
    </cfRule>
    <cfRule type="cellIs" dxfId="6" priority="2" operator="equal">
      <formula>#REF!</formula>
    </cfRule>
    <cfRule type="cellIs" dxfId="5" priority="3" operator="equal">
      <formula>$N$4</formula>
    </cfRule>
    <cfRule type="cellIs" dxfId="4" priority="4" operator="equal">
      <formula>$N$3</formula>
    </cfRule>
  </conditionalFormatting>
  <conditionalFormatting sqref="A44:B44">
    <cfRule type="cellIs" dxfId="3" priority="17" operator="equal">
      <formula>$N$6</formula>
    </cfRule>
    <cfRule type="cellIs" dxfId="2" priority="18" operator="equal">
      <formula>#REF!</formula>
    </cfRule>
    <cfRule type="cellIs" dxfId="1" priority="19" operator="equal">
      <formula>$N$4</formula>
    </cfRule>
    <cfRule type="cellIs" dxfId="0" priority="20" operator="equal">
      <formula>$N$3</formula>
    </cfRule>
  </conditionalFormatting>
  <pageMargins left="0.75" right="0.75" top="1" bottom="1" header="0.5" footer="0.5"/>
  <pageSetup paperSize="9" scale="95" orientation="landscape" r:id="rId1"/>
  <headerFooter alignWithMargins="0"/>
  <rowBreaks count="1" manualBreakCount="1">
    <brk id="24"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PublishingExpirationDate xmlns="http://schemas.microsoft.com/sharepoint/v3" xsi:nil="true"/>
    <PublishingStartDate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CA2A9247B253747B25D6529A116ACA7" ma:contentTypeVersion="1" ma:contentTypeDescription="Create a new document." ma:contentTypeScope="" ma:versionID="ce64260c4de65b389c95145d8ac6abee">
  <xsd:schema xmlns:xsd="http://www.w3.org/2001/XMLSchema" xmlns:xs="http://www.w3.org/2001/XMLSchema" xmlns:p="http://schemas.microsoft.com/office/2006/metadata/properties" xmlns:ns1="http://schemas.microsoft.com/sharepoint/v3" targetNamespace="http://schemas.microsoft.com/office/2006/metadata/properties" ma:root="true" ma:fieldsID="a447206dab0015f8b9f8924535193e8c"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5C8FF2-37EA-4042-A6CB-7136DC3E3313}">
  <ds:schemaRefs>
    <ds:schemaRef ds:uri="http://schemas.microsoft.com/sharepoint/v3/contenttype/forms"/>
  </ds:schemaRefs>
</ds:datastoreItem>
</file>

<file path=customXml/itemProps2.xml><?xml version="1.0" encoding="utf-8"?>
<ds:datastoreItem xmlns:ds="http://schemas.openxmlformats.org/officeDocument/2006/customXml" ds:itemID="{AD789124-D42E-41EA-9C34-CFE157928930}">
  <ds:schemaRef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3"/>
    <ds:schemaRef ds:uri="http://purl.org/dc/terms/"/>
    <ds:schemaRef ds:uri="http://www.w3.org/XML/1998/namespace"/>
    <ds:schemaRef ds:uri="http://purl.org/dc/dcmitype/"/>
  </ds:schemaRefs>
</ds:datastoreItem>
</file>

<file path=customXml/itemProps3.xml><?xml version="1.0" encoding="utf-8"?>
<ds:datastoreItem xmlns:ds="http://schemas.openxmlformats.org/officeDocument/2006/customXml" ds:itemID="{3990A9CF-0A02-4A06-8094-BA9C836988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Profile</vt:lpstr>
      <vt:lpstr>Sheet1</vt:lpstr>
      <vt:lpstr>Register</vt:lpstr>
      <vt:lpstr>Questionnaire</vt:lpstr>
      <vt:lpstr>Guidance</vt:lpstr>
      <vt:lpstr>Profile!Print_Area</vt:lpstr>
      <vt:lpstr>Questionnaire!Print_Area</vt:lpstr>
      <vt:lpstr>Register!Print_Area</vt:lpstr>
      <vt:lpstr>Questionnaire!Print_Titles</vt:lpstr>
      <vt:lpstr>Register!Print_Titles</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PF</dc:creator>
  <cp:lastModifiedBy>Sara Baumgart</cp:lastModifiedBy>
  <cp:lastPrinted>2015-09-16T12:49:58Z</cp:lastPrinted>
  <dcterms:created xsi:type="dcterms:W3CDTF">2012-01-04T16:00:22Z</dcterms:created>
  <dcterms:modified xsi:type="dcterms:W3CDTF">2026-07-29T08:28:41Z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0x0101005CA2A9247B253747B25D6529A116ACA7</vt:lpwstr>
  </property>
</Properties>
</file>