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autoCompressPictures="0" defaultThemeVersion="124226"/>
  <mc:AlternateContent xmlns:mc="http://schemas.openxmlformats.org/markup-compatibility/2006">
    <mc:Choice Requires="x15">
      <x15ac:absPath xmlns:x15ac="http://schemas.microsoft.com/office/spreadsheetml/2010/11/ac" url="C:\Users\Irna\Documents\Other eigen\VCA4D\"/>
    </mc:Choice>
  </mc:AlternateContent>
  <xr:revisionPtr revIDLastSave="0" documentId="8_{85726E83-B62E-4693-AF5A-95904620658C}" xr6:coauthVersionLast="47" xr6:coauthVersionMax="47" xr10:uidLastSave="{00000000-0000-0000-0000-000000000000}"/>
  <bookViews>
    <workbookView xWindow="1440" yWindow="1032" windowWidth="21600" windowHeight="11208" activeTab="1"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20" i="3" s="1"/>
  <c r="E114" i="3"/>
  <c r="E113" i="3"/>
  <c r="E112" i="3"/>
  <c r="E109" i="3"/>
  <c r="E108" i="3"/>
  <c r="E105" i="3"/>
  <c r="E104" i="3"/>
  <c r="E103" i="3"/>
  <c r="E106" i="3" s="1"/>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66" i="3" l="1"/>
  <c r="E32" i="3"/>
  <c r="E100" i="3"/>
  <c r="E115" i="3"/>
  <c r="E91" i="3"/>
  <c r="E80" i="3"/>
  <c r="E71" i="3"/>
  <c r="E56" i="3"/>
  <c r="E49" i="3"/>
  <c r="E38" i="3"/>
  <c r="E110" i="3"/>
  <c r="E95" i="3"/>
  <c r="E84" i="3"/>
  <c r="E75" i="3"/>
  <c r="E62" i="3"/>
  <c r="E43"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J100" i="3"/>
  <c r="B32" i="2" s="1"/>
  <c r="J95" i="3"/>
  <c r="B31"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1" i="2" l="1"/>
  <c r="C31" i="2"/>
  <c r="D32" i="2"/>
  <c r="C32" i="2"/>
  <c r="C30" i="2"/>
  <c r="B33" i="2"/>
  <c r="C33" i="2" s="1"/>
  <c r="C18" i="1" s="1"/>
  <c r="D30" i="2"/>
  <c r="I30" i="2"/>
  <c r="I38" i="2"/>
  <c r="I19" i="2"/>
  <c r="I9" i="2"/>
  <c r="I27" i="2"/>
  <c r="I18" i="2"/>
  <c r="I8" i="2"/>
  <c r="I37" i="2"/>
  <c r="I36" i="2"/>
  <c r="I26" i="2"/>
  <c r="I17" i="2"/>
  <c r="I7" i="2"/>
  <c r="I6" i="2"/>
  <c r="I35" i="2"/>
  <c r="I24" i="2"/>
  <c r="I14" i="2"/>
  <c r="I13" i="2"/>
  <c r="I32" i="2"/>
  <c r="I31" i="2"/>
  <c r="I21" i="2"/>
  <c r="I12" i="2"/>
  <c r="I20" i="2"/>
  <c r="I25" i="2"/>
  <c r="I33" i="2"/>
  <c r="F18" i="1" s="1"/>
  <c r="D62" i="3"/>
  <c r="D66" i="3"/>
  <c r="D106" i="3"/>
  <c r="D115" i="3"/>
  <c r="D110" i="3"/>
  <c r="D71" i="3"/>
  <c r="D43" i="3"/>
  <c r="D26" i="3"/>
  <c r="I26" i="3" s="1"/>
  <c r="J26" i="3" s="1"/>
  <c r="D32" i="3"/>
  <c r="D38" i="3"/>
  <c r="D84" i="3"/>
  <c r="D120" i="3"/>
  <c r="D17" i="3"/>
  <c r="D18" i="1" l="1"/>
  <c r="D33" i="2"/>
  <c r="E18" i="1" s="1"/>
  <c r="F49" i="3"/>
  <c r="D49" i="3"/>
  <c r="D14" i="3"/>
  <c r="I14" i="3" s="1"/>
  <c r="J14" i="3" s="1"/>
  <c r="D21" i="3"/>
  <c r="D10" i="3" l="1"/>
  <c r="I10" i="3" s="1"/>
  <c r="J10" i="3" l="1"/>
  <c r="B6" i="2" s="1"/>
  <c r="C6" i="2" s="1"/>
  <c r="F80" i="3"/>
  <c r="I80" i="3"/>
  <c r="F75" i="3"/>
  <c r="I75" i="3"/>
  <c r="F71" i="3"/>
  <c r="J80" i="3" l="1"/>
  <c r="B26" i="2" s="1"/>
  <c r="C26" i="2" s="1"/>
  <c r="J75" i="3"/>
  <c r="B25" i="2" s="1"/>
  <c r="C25" i="2" s="1"/>
  <c r="H39" i="2"/>
  <c r="G12" i="1"/>
  <c r="H28" i="2"/>
  <c r="H22" i="2"/>
  <c r="I22" i="2" s="1"/>
  <c r="H10" i="2"/>
  <c r="H15" i="2"/>
  <c r="I15" i="1"/>
  <c r="I19" i="1"/>
  <c r="I14" i="1"/>
  <c r="I20" i="1" s="1"/>
  <c r="I17" i="1"/>
  <c r="I16" i="1"/>
  <c r="I39" i="2" l="1"/>
  <c r="F19" i="1" s="1"/>
  <c r="F17" i="1"/>
  <c r="I28" i="2"/>
  <c r="I15" i="2"/>
  <c r="F15" i="1" s="1"/>
  <c r="I10" i="2"/>
  <c r="F14"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B38" i="2" l="1"/>
  <c r="C38" i="2" s="1"/>
  <c r="J120" i="3"/>
  <c r="J71" i="3"/>
  <c r="B24"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<sst xmlns="http://schemas.openxmlformats.org/spreadsheetml/2006/main" count="567" uniqueCount="377">
  <si>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</si>
  <si>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</si>
  <si>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</si>
  <si>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</si>
  <si>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</si>
  <si>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</si>
  <si>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</si>
  <si>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</si>
  <si>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</si>
  <si>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</si>
  <si>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</si>
  <si>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</si>
  <si>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</si>
  <si>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</si>
  <si>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</si>
  <si>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</si>
  <si>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</si>
  <si>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</si>
  <si>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</si>
  <si>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</si>
  <si>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</si>
  <si>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</si>
  <si>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</si>
  <si>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</si>
  <si>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</si>
  <si>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</si>
  <si>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</si>
  <si>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</si>
  <si>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</si>
  <si>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</si>
  <si>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</si>
  <si>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</si>
  <si>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</si>
  <si>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</si>
  <si>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</si>
  <si>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</si>
  <si>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</si>
  <si>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</si>
  <si>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</si>
  <si>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</si>
  <si>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</si>
  <si>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</si>
  <si>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</si>
  <si>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</si>
  <si>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</si>
  <si>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</si>
  <si>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</si>
  <si>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</si>
  <si>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</si>
  <si>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</si>
  <si>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</si>
  <si>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</si>
  <si>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</si>
  <si>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</si>
  <si>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</si>
  <si>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</si>
  <si>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</si>
  <si>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</si>
  <si>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</si>
  <si>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</si>
  <si>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</si>
  <si>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</si>
  <si>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</si>
  <si>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</si>
  <si>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</si>
  <si>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</si>
  <si>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</si>
  <si>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</si>
  <si>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</si>
  <si>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</si>
  <si>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</si>
  <si>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</si>
  <si>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</si>
  <si>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</si>
  <si>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</si>
  <si>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</si>
  <si>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</si>
  <si>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</si>
  <si>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</si>
  <si>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</si>
  <si>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</si>
  <si>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</si>
  <si>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</si>
  <si>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</si>
  <si>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</si>
  <si>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</si>
  <si>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</si>
  <si>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</si>
  <si>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</si>
  <si>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</si>
  <si>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</si>
  <si>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</si>
  <si>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</si>
  <si>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</si>
  <si>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</si>
  <si>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</si>
  <si>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</si>
  <si>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</si>
  <si>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</si>
  <si>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</si>
  <si>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</si>
  <si>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</si>
  <si>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</si>
  <si>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</si>
  <si>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</si>
  <si>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</si>
  <si>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</si>
  <si>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</si>
  <si>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</si>
  <si>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</si>
  <si>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</si>
  <si>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</si>
  <si>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</si>
  <si>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</si>
  <si>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</si>
  <si>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</si>
  <si>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</si>
  <si>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</si>
  <si>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</si>
  <si>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</si>
  <si>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</si>
  <si>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</si>
  <si>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</si>
  <si>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</si>
  <si>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</si>
  <si>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</si>
  <si>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</si>
  <si>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</si>
  <si>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</si>
  <si>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</si>
  <si>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</si>
  <si>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</si>
  <si>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</si>
  <si>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</si>
  <si>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</si>
  <si>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</si>
  <si>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</si>
  <si>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</si>
  <si>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</si>
  <si>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</si>
  <si>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</si>
  <si>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</si>
  <si>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</si>
  <si>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</si>
  <si>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</si>
  <si>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</si>
  <si>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</si>
  <si>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</si>
  <si>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</si>
  <si>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</si>
  <si>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</si>
  <si>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</si>
  <si>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</si>
  <si>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</si>
  <si>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</si>
  <si>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</si>
  <si>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</si>
  <si>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</si>
  <si>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</si>
  <si>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</si>
  <si>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</si>
  <si>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</si>
  <si>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</si>
  <si>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</si>
  <si>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</si>
  <si>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</si>
  <si>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</si>
  <si>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</si>
  <si>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</si>
  <si>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</si>
  <si>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</si>
  <si>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</si>
  <si>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</si>
  <si>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</si>
  <si>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</si>
  <si>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</si>
  <si>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</si>
  <si>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</si>
  <si>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</si>
  <si>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</si>
  <si>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</si>
  <si>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</si>
  <si>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</si>
  <si>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</si>
  <si>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</si>
  <si>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</si>
  <si>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</si>
  <si>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</si>
  <si>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</si>
  <si>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</si>
  <si>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</si>
  <si>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</si>
  <si>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</si>
  <si>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</si>
  <si>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</si>
  <si>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</si>
  <si>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</si>
  <si>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</si>
  <si>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</si>
  <si>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</si>
  <si>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</si>
  <si>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</si>
  <si>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</si>
  <si>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</si>
  <si>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</si>
  <si>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</si>
  <si>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</si>
  <si>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</si>
  <si>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</si>
  <si>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</si>
  <si>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</si>
  <si>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</si>
  <si>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</si>
  <si>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</si>
  <si>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</si>
  <si>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</si>
  <si>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</si>
  <si>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</si>
  <si>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</si>
  <si>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</si>
  <si>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</si>
  <si>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 xml:space="preserve">Mukhamedova 2020; Hierman and Nekbakhtshoev, 2021; </t>
  </si>
  <si>
    <t xml:space="preserve">Occassionally, limited </t>
  </si>
  <si>
    <t xml:space="preserve">Food prices are not correlated with cotton prices. In recent years, food/consumper prices have substantially increased while agricultural inputs have also become much more expensive </t>
  </si>
  <si>
    <t>Tajikistan</t>
  </si>
  <si>
    <t>Cotton</t>
  </si>
  <si>
    <t>ADB 2020; Mukhamedova 2020</t>
  </si>
  <si>
    <t>Women increasingly take up roles that were previously considered males domains, but in many households men hold decision-making rights, sometimes even remotely from Russia</t>
  </si>
  <si>
    <t xml:space="preserve">Women's autonomy is relational and depends to a high extent on intrahousehold power relations/dynamics, as well as the situation in the local community </t>
  </si>
  <si>
    <t>Hofman 2021; Mukhamedova 2020</t>
  </si>
  <si>
    <t>Most often/often women contribute to the household budget and are not able to spend their income autonomously.</t>
  </si>
  <si>
    <t xml:space="preserve">Womens' status depends on age/generation - young women are often deprived of freedom/ownership over assets; with age, this increases again. This also concerns control over labour/body, etc. </t>
  </si>
  <si>
    <t>There is a pronounced gender disparity; but at the local level farmers tend to be engaged. Who speaks up/who can speak up, is differentiated, however.</t>
  </si>
  <si>
    <t>Awareness raising among state officials, e.g. ALRI, Ministry of Agriculture, MEP, Land Committee</t>
  </si>
  <si>
    <t>Political participation is low in Tajikistan, which, with the absence of a large part of the male population, has deepened, as women are less active in the public realm. A question is, who, what kind of organisation could act on behalf of (potentially) affected groups of people</t>
  </si>
  <si>
    <t>Given that affected individuals/households are often informed at a late stage in case of changes in access to land/natural resources, a major question is how top--down changes in the cotton sector are experienced at the local level.</t>
  </si>
  <si>
    <t>Clear guidelines and monitoring on implementation in case people's livelihoods are affected by changes in the cvc</t>
  </si>
  <si>
    <t>Migration has a major impact on women's decision-making power/potential to do so; a massive return from Russia (or else) will have worse impact on women, e.g. ability to engage in the public realm, risk of domestic violence</t>
  </si>
  <si>
    <t>Hofman 2021; Mission II interviews (August 2023)</t>
  </si>
  <si>
    <t>Hofman 2018, Hofman 2021</t>
  </si>
  <si>
    <t>Mission II August 2023; Hofman fieldwork 2020-2021</t>
  </si>
  <si>
    <t>Hofman 2016; Hofman fieldwork 2020-2021</t>
  </si>
  <si>
    <t>Hofman fieldwork 2020-2021</t>
  </si>
  <si>
    <t>Hofman 2021; ADB 2020; Mukhamedova 2020</t>
  </si>
  <si>
    <t>Mukhamedova 2020; Hofman fieldwork 2020-2021</t>
  </si>
  <si>
    <t>ADB 2020; Mukhamedova 2020; Hofman fieldwork 2020-2021</t>
  </si>
  <si>
    <t>Hofman fieldwork 2020-2021; Mukhamedova 2020; ADB 2020</t>
  </si>
  <si>
    <t>Hofman fieldwork 2020-2021; Hofman fieldwork 2021; ADB 2020; Mukhamedova 2020</t>
  </si>
  <si>
    <t>WFP 2022; Mission II August 2023</t>
  </si>
  <si>
    <t>Hofman fieldwork 2020-2021; Mission I/II July/August 2023</t>
  </si>
  <si>
    <t>Hofman and Visser 2021; Mission II August 2023</t>
  </si>
  <si>
    <t>Hofman fieldwork 2020-2021; 2012-2015</t>
  </si>
  <si>
    <t>WFP 2022; Hofman fieldwork 2020-2021; 2012-2015</t>
  </si>
  <si>
    <t>ADB 2020; Land Code of RT Tajikistan; Hofman and Visser 2021; Mukhamedova 2020</t>
  </si>
  <si>
    <t xml:space="preserve">Hofman fieldwork 2020-2021; Land Code of the RT </t>
  </si>
  <si>
    <t xml:space="preserve">Mandler, 2019; Hofman fieldwork 2020-2021; Land Code of RT  </t>
  </si>
  <si>
    <t xml:space="preserve">Hofman and Visser 2021; Van Atta 2009/2008. </t>
  </si>
  <si>
    <t xml:space="preserve">The state has outlawed child labour. Children sometimes support parents on the farm (and farm fields); this largely depend on a household's individual situation (socio-economic, or when mothers cannot rely on others for caretaking). There is a risk when labour shortages will increase. </t>
  </si>
  <si>
    <t>Hofman fieldwork 2020-2021/2012-2015; on this discussion see als Zenz 2023</t>
  </si>
  <si>
    <t>Ranked moderate/low because farmers are not entirely free to grow cotton. This exemplifies the gap between law in the books and law in practice, including regarding labour rights.</t>
  </si>
  <si>
    <t>Safety standards exist but are not montired. Whether employees protect themselves differs substantially</t>
  </si>
  <si>
    <t>School attendance is monitored and primary education enrolment is relatively high</t>
  </si>
  <si>
    <t>This is a relative judgement. In general, the conditions are very basic,particularly with regard to water and sanitation, as well as infrastructure. Whether or not households can invest in home improvement depends on other sources of income, most often not on revenues from farming. Most rural households do not have access to tap water and there isa very basic latrine in the yard. People use village water flows for drinking water.</t>
  </si>
  <si>
    <t xml:space="preserve">Women are disadvantaged in terms of secure access to land, credit, and extension services. It is difficult to anticipate the implications of planned changes in the cvc, but with decision-making largely in hands of men, the situation for women's access resources and services won't improve.  </t>
  </si>
  <si>
    <t xml:space="preserve">Gender sensitive extension services. </t>
  </si>
  <si>
    <t xml:space="preserve">Allocation of land to food crops should be guaranteed, as well as, where possible, access to affordable agricultural inputs. More value added activities in the cotton vc or other vcs, or other employment opportunities should be created. </t>
  </si>
  <si>
    <t>Sufficient quality and quantity food available would improve diets and dietary diversity. Land available to food crops, and access to affordable agricultural inputs, is key</t>
  </si>
  <si>
    <t xml:space="preserve">Vocational training/tertiary education for women/gender sensitive might increase the number of women in leadership positions, e.g. teachers, agronomists, agricultural scientsits, directors of organisations. </t>
  </si>
  <si>
    <t xml:space="preserve">Awareness raising of the issues and more stringent enforcement of law; introduction/expansion of child care in rural areas. </t>
  </si>
  <si>
    <t>Alternative employment opportunities - more value added activities and more diversification to allow women to engage in better remunerated employment</t>
  </si>
  <si>
    <t xml:space="preserve">Women are exposed to a double burden and work in the field implies exposure to health risks. The division of labour has been "static". Whilst mechanisation could lessen the burden on women, in areas where alternative forms of employment are few,  mechanisation implies a big loss of income for women. Thus, the consequences can be adverse. </t>
  </si>
  <si>
    <t>Vialbe employment opportunities should be created, for men and women, in order to improve purchasing power and the ability to secure nutrition needs.</t>
  </si>
  <si>
    <t xml:space="preserve">Accessibility of food depends on households' purchasing power, which fluctuates over the season. At present, in recent years, cotton had no direct beneficial impact on accessbility of food, apart from the situation in which workers were able to use strips of land for food production. Most often, off-farm income, e.g., remittances and off-farm work prove to be more important. A narrowing down on specific crops implies risks. </t>
  </si>
  <si>
    <t>In the conventional cotton subsector, there are not many farmers involved in producer organisations nor service cooperatives. However, at the local level, informal networks exist.There is little intiative from the ground up to formalise cooperation. As a result, farmers do not speak up collectively. Top-down initiatives may not be effective, particularly in a situation in which farmers are not interested to grow cotton.</t>
  </si>
  <si>
    <t>Farmers have access to information, either through information or sometimes printed leaflets. However, their trust in the state is low, as is their trust in the legal system. Overall, there is distrust between farmers and many traders/service providers/ginneries, particularly when it comes to price and input quality.</t>
  </si>
  <si>
    <t>Monitoring by a trust worthy institution</t>
  </si>
  <si>
    <t>Investment in health education and facilities, by the state to secure sustained improvement.</t>
  </si>
  <si>
    <t xml:space="preserve">The quality of housing of households in Tajikistan depends very much on a household's financial situation, mostly related to off-farm income. WASH facilities are of concern in most rural areas, with risks of water born diseases. </t>
  </si>
  <si>
    <t xml:space="preserve">Investment in WASH facilities </t>
  </si>
  <si>
    <t xml:space="preserve">Improvement of education is key; there is, among teachers, little interest to work in rural areas and wages overall are low. </t>
  </si>
  <si>
    <t>Not relevant with regard to the cotton vc</t>
  </si>
  <si>
    <t>Mukhamedova 2020; ADB, 2020; Boboyorov, 2013</t>
  </si>
  <si>
    <t>WFP 2022; World Bank; Unicef n.d.; Discussions mission II, August 2023</t>
  </si>
  <si>
    <t>World Bank 2017, Labour Code of the Republic of Tajikistan; Discussions Mission II, August 2023</t>
  </si>
  <si>
    <t xml:space="preserve">Misson II interviews; ethnographic research Hofman 2020-2021; see also Mukhamedova 2020. </t>
  </si>
  <si>
    <t>Hofman fieldwork 2020-202</t>
  </si>
  <si>
    <t>Boboyorov 2013; Hofman fieldwork; Mission II August 2023</t>
  </si>
  <si>
    <t>Hofman, fieldwork 2020-2021</t>
  </si>
  <si>
    <t>Interviews Mission II August 2023; Mukhamedova, 2020</t>
  </si>
  <si>
    <t>ADB, 2020; Mukhamedova, 2020; Hofman fieldwork 2020-2021; Hofman 2021</t>
  </si>
  <si>
    <t>ADB 2020; Hofman fieldwork 2020-2021; Hofman fieldwork 2021</t>
  </si>
  <si>
    <t>Mukhamedova 2020, ADB 2020</t>
  </si>
  <si>
    <t>ADB 2020; Mukhamedova 2020, Hofman fieldwork 2020-2021; Discussions Mission II, August 2023</t>
  </si>
  <si>
    <t>Mukhamedova 2020, ADB 2020; Hofman fieldwork 2021-2021; Hofman 2021</t>
  </si>
  <si>
    <t>ADB 2020; Mukhamedova 2020; Boboyorov, 2013; Hofman fieldwork 2020-2021; Mission II, August 2023</t>
  </si>
  <si>
    <t>World Bank 2017; ADB 2020</t>
  </si>
  <si>
    <t>FAO 2023; FAO 2022</t>
  </si>
  <si>
    <t>WFP 2022; FAO 2023; Kawabata et al. 2020</t>
  </si>
  <si>
    <t>Muller and Rommel 2019; Hofman fieldwork 2020-2021; Mission I/II July/August 2023; Hofman and Visser 2021</t>
  </si>
  <si>
    <t>Muller and Rommel 2019; Hofman fieldwork 2020-2021</t>
  </si>
  <si>
    <t xml:space="preserve">Hofman fieldwork 2020-2021; 2012-2015; see also Shtaltovna 2016; </t>
  </si>
  <si>
    <t xml:space="preserve">Hofman fieldwork 2020-2021; Mission II August 2023; </t>
  </si>
  <si>
    <t>Hofman fieldwork 20202021; Boboyorov 2013; Mission II August 2023</t>
  </si>
  <si>
    <t>Hofman fieldwork 2020-2021; 2012-2015; 2019; Mission II, August 2023</t>
  </si>
  <si>
    <t>Hofman fieldwork 2020-2021; 2012-2015; 2019, Mission II August 2023</t>
  </si>
  <si>
    <t>Hofman fieldwork 2020-2021; 2012-2015; Mission II August 2023</t>
  </si>
  <si>
    <t>Unicef, n.d.; World Bank 2021; also: Hofman fieldwork 2020-2021; Mission II, August 2023</t>
  </si>
  <si>
    <t xml:space="preserve">According to law, there are no barriers to association. Local informal networks are of great importance at the local level for farmers to exchange insights and solicit advice, borrow/rent machinery. There are only few institutionalised networks (apart from those set up by external actors). Occassionally farmes collectively protest or appeal to court/address authorities. More importantly are the informal barriers to speak up publicly - it is sanctioned. Farmers and labourers more easily speak up and voice concerns vis-a-vis foreigners than in their relation to domestic individuals of authority. Instead of public protests, people petition and silently protest, i.e., covert resistance. </t>
  </si>
  <si>
    <t xml:space="preserve">Law provides for rights to bargain and freedom of association. The same applies to abolition of child labour and forced/compulsory labour. However, farmers are subjec to state-imposed production plans, which comes down to: planting cotton on 60-70% of their land. Thus, while companies can adhere to labour conventions internal to the farm/factory, everyday, actual politics of production and production relations do not comply with/violate ILO conventions. The state is an important actor; the state disseminates production plans from the top down, and cotton ranks at the top of most of these plans (in lowland areas). The labour code contains detailed provisions, but law is not always enforced. Foreign investors (from Europe) pay attention to Tajik state law, and the few from Europe are more stringently monitored. However, this primarily entails attention to labour relations internal to the farm. There is little attention to production plans; companies are obliged to work in the setting and also have to respect the production plans. </t>
  </si>
  <si>
    <t xml:space="preserve">Mission II August 2023; interviews Farnico June 2023; Boboyorov 2023; Hofman 2021 </t>
  </si>
  <si>
    <t xml:space="preserve">Most of the work is informally organised; labourers do not have written/physical contracts; agreements are verbally agreed upon. Fair and just are relative concepts and their interpretation is locally/context specific. Contracts do not imply any certainty and stability. Farmers can easily breach. However, for labourers, the informal nature of work is sometimes preferred as it provides some flexibility/freedom. Individuals working for large Chinese agribusinesses, and some other individuals working for foreign companies work under very basic contracts. </t>
  </si>
  <si>
    <t xml:space="preserve">The state disseminates production plans. Until 2009, cotton debt tied farmers to land, implying a form of debt bondage. Labour politics in the downstream subsectors of the value chain do not feature force.  </t>
  </si>
  <si>
    <t xml:space="preserve">The labour code prohibits all kinds of discrimination. However, gender disparity is considerable and social and political capital are of great importance in order to get into specific positions (particularly positions within the state administration). Women are underrepresented in powerful positions.  </t>
  </si>
  <si>
    <t xml:space="preserve">School attendance is almost 100% (primary education) and attendance is monitored. Incidentally, there are children who work on fields during school time. Such instances are context specific and most often the result of family/household circumstances - not imposed by the state. Authorities or elite sare involved in exceptional cases. </t>
  </si>
  <si>
    <t>Labour Code; World Bank 2017; Misson II August 2023</t>
  </si>
  <si>
    <t xml:space="preserve">Children are prohibited from specific work/tasks, however, specific household circumstances can result in a situation in which chidlren become exposed to specific risks.  </t>
  </si>
  <si>
    <t xml:space="preserve">The law (Labour Code) stipulates that specific groups of workers must be protected from engaging in certain tasks/jobs. There are no strict regulations in place that refer to work on cotton fields (except for BCI farmers). There are no regulations regarding the use of protective wear/equipment. In farm fields, women use scarfs to protect themselves against heat or dust. In processing facilities, protective wear is recommended but the use/application is not monitored. Most labourers adopt a pragmatic approach when it comes to risks at work. Health risks particularly pertain to exposure to chemical inputs. </t>
  </si>
  <si>
    <t xml:space="preserve">Remuneration is often verbally agreed upon, in which women tend to lack decision-making power/bargaomomg power. This particularly refers to labourers in the Khatlon region. In the Khatlon region, particularly in areas where farmers do not compete with vegetable growing farmers, women are marginalised and sometimes merely paid in kind of cotton stalks and a strip of land. There are structural factors shaping the politics of production: in areas where farmers primarily grow cotton, farmers do not have substantial sources of cash income throughout the season - cash earnings are restricted to the moment of sales of agricultural commodities/crops and money remitted by migrating family members.  </t>
  </si>
  <si>
    <t xml:space="preserve">No. Payments in the cotton sector - particularly in the primary sector are low and the working conditions are tough. In the processing sector, employment opportunities are increasing. However, the growth and development of industries is confined to a few localities, primarily in the Sughd region (northerin Tajikistan). In the latter, there is a demand for labour, and conditions appear realtively attractive, particularly for women. </t>
  </si>
  <si>
    <t xml:space="preserve">The state has a key role in the cotton sector. Domestic companies do not always strictly adhere to VGGT. There are only few foreign companies engaged. In principle, by law, the Tajik state adheres to the voluntary guidelines as it respects tenure rights. The Tajik laws regulating land use and tenure are concrete, but enforcement is not a given; in many localities locally specific informal rules take precedent over state law. Furthermore, environmental and labour/human health costs are externalised. </t>
  </si>
  <si>
    <t xml:space="preserve">No. There are a few large-scale investments by Chinese; agreements have been concluded with the state; not in consultation with local actors/the local population. In some instances the companies rent land from Tajik farmers. Where Chinese state finance (Chinese banks) is/are involved, law firms undertake due diligence. European firms are under more stringent control, but on the whole, at present, there are few investments in the cotton sector.  </t>
  </si>
  <si>
    <t xml:space="preserve">There are few projects at present, and only a few Chinese companies are engaged. The specific terms of agreement are not disclosed. </t>
  </si>
  <si>
    <t xml:space="preserve">The Tajik state has a legal database with all promulgated laws and decrees. the population does not consult the data base. lmited. International organisations have worked on providing information on legal reforms, etc. </t>
  </si>
  <si>
    <t xml:space="preserve">As for farmers/rural population concerned, there is little/no consultation, depending on the actors deciding/implementing. At the local level, people may be informed, but not ex ante. In general, interventions tend to be designed and implemented by the state top down. </t>
  </si>
  <si>
    <t xml:space="preserve">People are often not consulted. When it happens, it often happens ex post and informally. </t>
  </si>
  <si>
    <t>Law on the books stipulates tenure rights, differentiated per actor/tenure period/arrangement. There is no difference for cotton, but for many farmers, cotton production is important to safeguard access to land - convey loyalty to the state. Thus, security of tenure is conditioned on cotton production.</t>
  </si>
  <si>
    <t>Currently no changes are formalised/announced yet. The state resettles people occassionally, for instance after land slides or a when land has to be/is allocated to other actors or public facilities. This is not always transparent. According to law, the state should compensate for the loss of land/livelihoods.</t>
  </si>
  <si>
    <t>The Land Code stipulates compensation in a situation of loss of land/assets/livelihoods. Farmers' land may be appropriated for the building of public facilities or the granting of land to other (elite) actors. People increasingly appeal to court for land conflicts.</t>
  </si>
  <si>
    <t xml:space="preserve">The state has contact details available on websites for complaints and people can appeal to court. There is a culture of petitioning (petition writing, however). Whether farmers/the rural population does so, remains a question as people tend to shy away which high level political actors are involved.  </t>
  </si>
  <si>
    <t xml:space="preserve">Women make up the majority of the labour force in rural Tajikistan. They are key actors in the primary production of cotton. They mostly undertake manual labour and are excluded from positions with decision-making power.   </t>
  </si>
  <si>
    <t xml:space="preserve">Women play key roles in the work; except for roles that involve decision-making; in those instances women tend to be excluded/marginalised. About 20% of dehqon farms is women-headed, but their title may be nominal. </t>
  </si>
  <si>
    <t xml:space="preserve">Women increasingly own assets, but sometimes women's ownership is only nominal; they lack control/use rights. This is a legal detour to allow men to engage in business as well as working for the state (for instance). </t>
  </si>
  <si>
    <t xml:space="preserve">According to the Land Code/Law on Dehqon Farming law is gender neutral and women and men enjoy equal rights. However, in reality women are deprived of various rights and participation, and access to extension services (for instance).   </t>
  </si>
  <si>
    <t xml:space="preserve">According to law there are no gender specific arrangements. However, in reality women face barriers. For one, to physically enter/access banks/credit, but also because they often do not control their own/household budget. </t>
  </si>
  <si>
    <t xml:space="preserve">Yes. However, when extension services are provided in mixed gender groups, women face barriers to speak up and hesitate to become involved or actively participate. In some families, male heads of households or in-laws restrict women's participation. </t>
  </si>
  <si>
    <t>Women's control over the household budget/their own inocme depends to a large extent on intra household dynamics, the ab/presence of spouses; in-laws, and women's ability to work in the public realm. Women's right/power is also related to their age/generation specific; with age, women (re)gain power in the family</t>
  </si>
  <si>
    <t>Women tend to face substantial barriers. Their ability to participate in decisions depends on intrahousehold dynamics and difficult to generalise.</t>
  </si>
  <si>
    <t xml:space="preserve">Women are occassionally member of Water User Associations and cooperatives, for instance when male members of the household are absent. Thus, t depends on household conditions and intrahousehold power relations </t>
  </si>
  <si>
    <t>Women's presence and activities in the public realm depends on household circumstances. Very often they are constrained by other actors, and informal norms also affect women's activities in the public realm, e.g. it can be socially sanctioned to speak up.</t>
  </si>
  <si>
    <t xml:space="preserve">As a result of migration, women's work load has increased (the feminisation of farming); women are often expected to take on roles in the pbulc realm while also being solely responsible for care work. There are family specific circumstances/exceptions, and the situation also depends on women's phase/stage in life. These dynamics and the organisation of cotton labour also apply to other farm work/crop value chains. </t>
  </si>
  <si>
    <t xml:space="preserve">By law, women are not allowed to engage in all jobs men are able to undertake, as stipulated in the Labour Code, such as mechanised farm work. However, women are exposed to chemicals during manual fieldwork. Apart from the risks involved and the lack of skills to undertake typical male tasks, there are also informal norms that discourage women to undertake specific male/masculine work (tasks that are considered "male"/"masculine"). </t>
  </si>
  <si>
    <t xml:space="preserve">The informal force to grow cotton has discouraged/constrained a diversification of cropping patterns. The income derived from cotton is insufficient to satisfy consumption demands. Labour is often remunerated in kind. While those payments do meet certain demands, it is insufficient to satisfy demands and secure access to health care/education. Income derived from cotton is insufficient to maintain a family. </t>
  </si>
  <si>
    <t xml:space="preserve">Cotton production does not result in more food supplies on local markets -- there is no direct relation. </t>
  </si>
  <si>
    <t>Income from cotton varies, as yearly farm gate/cotton prices fluctuate. In general, profits are limited. A particular problem in the cotton economy concerns the fact that the payment follows only at the end of the year. Thus, the budget for all inputs, as well as labour costs, etc. depends on farmers' previous season or credit/remittances.</t>
  </si>
  <si>
    <t>Cotton has no direct relation to the quality of available food. Off farm income is often more important for households to secure access to food (than income from cotton). Many rural households obtain a substantial part of their income from migrating family members; the contribution often outweighs income from farming.</t>
  </si>
  <si>
    <t>Income from cotton varies and is insufficent to sustain a family. This is different for workers in the the downstream segments. Overall, rural households ability to improve the nutritional practices depends on other sources of income and land allocated to food crops. The costs of production also affect food security.</t>
  </si>
  <si>
    <t xml:space="preserve">Land allocated to cotton cannot be allocated to food crops. Additonally, as a result of structural factors, the state has (historically) neglected the development of food crop value chains. As a reslt, many farmers prefer to grow cotton over other crops as cotton is not perishable and outlets are guaranteed - even though one can not (really) profit from cotton. </t>
  </si>
  <si>
    <t>The seasonal character of agricultural production as well as of migration implies that income fluctuates throughout the year. The diversity in food/diet is more limited in winter periods than in summer. Profits from cotton are relatively limited for many households and so it does not reduce/augment the incidences of periodic food shortages. On the whole, cotton growing farmers/households face no food shortage in quant terms, but food insecurity is a concern in rural areas. Landless households without substantial support from migration household members/off-farm income are particularly vulnerable</t>
  </si>
  <si>
    <t xml:space="preserve">It depends. Flour/wheat is the primary staple in Tajikistan. The state monitors prices, knowing that wheat/flour prices are of ccncer. In recent years, prices have gone up, much more than wages/pensions, etc. For Tajik households, in general, the prices of oil, wheat and vegetable oil are most important, thereupon meat, dairy. In case of need, peope simplify diets, and limit the consumption of vegetables and fruits, particularly in winter/spring. </t>
  </si>
  <si>
    <t xml:space="preserve">There are some collective/cooperative entities, such as production units, and formal cooperatives, such as Biokishovarz and Sarob, and the national association of dehqon farmers (an association without much power/meaning in reality). Farmers also gather in the framework of water user associations (WUAs), but their actual participation in WUAs is locally specific and not always significiant. Informally, farmers exchange insights regularly, rent each others' machinery/services, etc. </t>
  </si>
  <si>
    <t>High differences exist, it is difficult to generalise. Power inequality is often pronounced in WUAs, but also in general, within small communities.</t>
  </si>
  <si>
    <t xml:space="preserve">Ginneries enjoy monopsony power and farmers often do not enjoy much choice where to buy inputs and where to sell cotton. Farmers do not collaborate in negotiating cotton farm gate prices (not able to do so). Prices are set, and there is not much competition between ginneries. In a few instances, farmers protested - in their relation to Farnico and Biokishovarz in recent years. </t>
  </si>
  <si>
    <t xml:space="preserve">Farmers can access laws and policies, and prices in the cotton harvesting season are announced.  </t>
  </si>
  <si>
    <t>Many farmers distrust actors engaged in processing/ginning cotton as well as input providers. Many also distrust the state.</t>
  </si>
  <si>
    <t xml:space="preserve">Within local communities people participate in discussions, and voice concerns, e.g., issues about water, waste, infrastructure. However, power inequalities often imply that a few individuals make decisions. Farmers do not have any say in cropping patterns, though those with political or social capital may be able to negotiate plans. </t>
  </si>
  <si>
    <t xml:space="preserve">Voluntary communal activities are very important in Tajikistan, known as hashar/subotnik; people are expected to contribute </t>
  </si>
  <si>
    <t xml:space="preserve">Whether and to what extent households can access health services foremostly depends on their financial situation. There are facilitties at village level, but the quality is often low. </t>
  </si>
  <si>
    <t>As question 6.1.2: services exist, but whether or not households can afford making use of health services depends on their own conditions. Staff at local small health facilities/services is not always qualified</t>
  </si>
  <si>
    <t>Access to health care is expensive. Informal costs (bribes/informal payments) are also regularly demanded. Treatment in hospitals is very expensive. Women and girls are often disadvantaged in access to health care.</t>
  </si>
  <si>
    <t xml:space="preserve">Rural households do not have separete supply systems for drinking water and other types of water; irrigation for the household plot comes from the same source (village canals) - in exceptional cases wells. The quality of water is not good - there is no filtering and specific use (and discharge) of water upstream has an effect on the quality of water downstream. </t>
  </si>
  <si>
    <t>Yes, but costs for education (informal costs as well as additional costs, e.g. uniforms, books) is costly for particular rural households. For many rural households there is a tradeoff between food security and education - expenses - people are pragmatic and are forced to prioritse the short term. Boys are often advantaged/privileged in case of need.</t>
  </si>
  <si>
    <t>Primary/secondary education in Tajikistan is mandatory, until the 9th grade, and public schools are free of charge. However, schools/teachers regularly demand informal payments.  Drop out after the 9th grade is noticeable (grade 10-11). Expected years of schooling: 10.9 years</t>
  </si>
  <si>
    <t xml:space="preserve">Employees in the processing industry are occassionaly trained. Women in rural areas do not enoy any training for farming. Graduates from agricultural colleges/university do not always return to work in rural areas, because salaries are limited/unsufficient to maintain a family.  </t>
  </si>
  <si>
    <t>Labour rights are transparent and concreate in the books, but in the every day \, there is no regular monitoring of enforcement/adherence, and the state sometimes intervenes when there are labour shortages in cotton harvesting. After all, cotton production and the cotton harvest tend to be prioritised by state actors. If labourers work under contract this often concerns a verbal contract, which does not have much meaning in practic (it can easily be breached). In situations where state actors observe a labour shortage, they occassionally mobilise employees of public agencies and youth. This implies a substantial risk.</t>
  </si>
  <si>
    <t>Employment opportunies fluctuate and are not a given. There are particularly few labour opportunities in winter (after the cotton harvest). Labourers tend to move between contractors/employers, depending on needs, and express a pragmatic attitude, and compromise on safety and security. However, women's mobility is relatively limited; men enjoy more freedom to move between and serve diverse employers.</t>
  </si>
  <si>
    <t>Attractiveness is low; testified to by the significant importance of migration for the economy. Young people are not interested in working on farmers; it is mostly women who are not able to leave for work/education and engage in off-farm employment</t>
  </si>
  <si>
    <t>Major risks concern expected changes in the cvc with the establishment of clusters and the growth of (foreign) investors. Whereas Tajik law includes stipulations regarding land use, there is strict monitoring. The cluster system may imply a return to the governance structures that were in place in rural Tajikistan between 1996 and 2008, with worse implications for the population involved in the cotton economy.</t>
  </si>
  <si>
    <t>Investment agreements are concluded by the state at regional or most often at the national level and agreed upon with officials at the local level. In recent years, households affected by investments were only informed at a later stage; no due diligence, no informed consent.</t>
  </si>
  <si>
    <t xml:space="preserve"> The majority of women are severely disadvantaged in the cvc. This particularly pertains to women engaged in low paid manual cotton labour. Without any changes the status quo will continue, as younger generations follow suit - women have no alternative but to engage in low paid farm labour. Many women (also) don't control household budgets. Informally agreed upon labour implies no access to social security (state provided)  </t>
  </si>
  <si>
    <t>Male dominated labour migration triggers changes in gender relations, but not in all settings. Women's role in the cotton fields remains limited - apart from, for instance, brigade (production-unit) leadership. Work is rigidly organised and managed; women do not take an active role in the actual management.</t>
  </si>
  <si>
    <t xml:space="preserve">Diverse food items tend to be locally available on markets. However, whether and to what extent people can afford those itmes is an  issue of affordability. In terms of availability, an expansion of land under cotton will imply a decline in land under food crops, and so directly affecting availability of food. </t>
  </si>
  <si>
    <t>Without financial difficulties, deficiencies in terms of nutrition would be less: households simplify diets out of economic problems. At present, the cotton vc (and agricultural production in general) does not generate sufficient income for most rural households, compelling them to engage in labour migration or opt for other sources of livelihood (off-farm opportunities, where possible).</t>
  </si>
  <si>
    <t>Accessibility of food depends on households' purchasing power, which fluctuates over the season. At present, in recent years, cotton had no direct beneficial impact on accessbility of food, apart from the situation in which workers were able to use strip</t>
  </si>
  <si>
    <t xml:space="preserve">People engage in communal works, as informal norms/expectations exist. </t>
  </si>
  <si>
    <t xml:space="preserve">Health facilities exist at the local level, but the quality is not a given, and costs are very high. Households incur debt to access health care services. In some areas, distance to hospitals is problematic. </t>
  </si>
  <si>
    <t xml:space="preserve">Primary education enrolment is high, yet quality is low. Secondary/tertiary education is more problematic; vocational training is limited. Without investment in education, and support to young women, particularly women's role in the public realm/economic activities will remain limited. A great concern is that enrolment in tertiary education has gone down in recent years, for both young men and women. Outmigration has increaed. </t>
  </si>
  <si>
    <t>Monitoring by a trust worthy institution. However, the problem does not only/necessarily concern labour relations internal to the farm: it is the overall context that matters more: the fact that farmers are not entirely free to decide whether or not to grow cotton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</si>
</sst>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6">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7" fillId="5" borderId="61" xfId="0" applyFont="1" applyFill="1" applyBorder="1" applyAlignment="1" applyProtection="1">
      <alignment horizontal="left" vertical="center" wrapText="1"/>
      <protection locked="0"/>
    </xf>
    <xf numFmtId="0" fontId="17" fillId="5" borderId="62" xfId="0" applyFont="1" applyFill="1" applyBorder="1" applyAlignment="1" applyProtection="1">
      <alignment horizontal="left" vertical="center" wrapText="1"/>
      <protection locked="0"/>
    </xf>
    <xf numFmtId="0" fontId="17" fillId="5" borderId="50" xfId="0" applyFont="1" applyFill="1" applyBorder="1" applyAlignment="1" applyProtection="1">
      <alignment horizontal="left" vertical="center" wrapText="1"/>
      <protection locked="0"/>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Standaard"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2.35</c:v>
                </c:pt>
                <c:pt idx="1">
                  <c:v>2.25</c:v>
                </c:pt>
                <c:pt idx="2">
                  <c:v>2.0499999999999998</c:v>
                </c:pt>
                <c:pt idx="3">
                  <c:v>1.6666666666666667</c:v>
                </c:pt>
                <c:pt idx="4">
                  <c:v>2.6666666666666665</c:v>
                </c:pt>
                <c:pt idx="5">
                  <c:v>2.1666666666666665</c:v>
                </c:pt>
              </c:numCache>
            </c:numRef>
          </c:val>
          <c:extLst>
            <c:ext xmlns:c16="http://schemas.microsoft.com/office/drawing/2014/chart" uri="{C3380CC4-5D6E-409C-BE32-E72D297353CC}">
              <c16:uniqueId val="{00000000-EEBF-4A93-A186-FE3B6E0EAE45}"/>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EEBF-4A93-A186-FE3B6E0EAE45}"/>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Normal="100" zoomScaleSheetLayoutView="100" workbookViewId="0">
      <pane ySplit="3" topLeftCell="A7" activePane="bottomLeft" state="frozen"/>
      <selection pane="bottomLeft" activeCell="B4" sqref="B4"/>
    </sheetView>
  </sheetViews>
  <sheetFormatPr defaultColWidth="8.88671875" defaultRowHeight="13.2" x14ac:dyDescent="0.25"/>
  <cols>
    <col min="1" max="1" width="20" customWidth="1"/>
    <col min="2" max="2" width="13.33203125" customWidth="1"/>
    <col min="3" max="3" width="14.33203125" customWidth="1"/>
    <col min="4" max="4" width="10.44140625" customWidth="1"/>
    <col min="5" max="5" width="8.44140625" customWidth="1"/>
    <col min="6" max="6" width="13.44140625" customWidth="1"/>
    <col min="7" max="7" width="11.33203125" customWidth="1"/>
    <col min="9" max="9" width="10.88671875" hidden="1" customWidth="1"/>
  </cols>
  <sheetData>
    <row r="1" spans="1:10" ht="22.5" customHeight="1" thickBot="1" x14ac:dyDescent="0.3">
      <c r="A1" s="443" t="s">
        <v>212</v>
      </c>
      <c r="B1" s="444"/>
      <c r="C1" s="445"/>
      <c r="D1" s="398" t="s">
        <v>27</v>
      </c>
      <c r="E1" s="328"/>
      <c r="F1" s="414" t="s">
        <v>225</v>
      </c>
      <c r="G1" s="415"/>
      <c r="I1" s="218"/>
    </row>
    <row r="2" spans="1:10" ht="16.5" customHeight="1" thickBot="1" x14ac:dyDescent="0.3">
      <c r="A2" s="400"/>
      <c r="B2" s="113"/>
      <c r="C2" s="113"/>
      <c r="D2" s="329" t="s">
        <v>124</v>
      </c>
      <c r="E2" s="416" t="s">
        <v>224</v>
      </c>
      <c r="F2" s="416"/>
      <c r="G2" s="417"/>
    </row>
    <row r="3" spans="1:10" ht="18" customHeight="1" thickBot="1" x14ac:dyDescent="0.3">
      <c r="A3" s="15" t="s">
        <v>25</v>
      </c>
      <c r="B3" s="418">
        <v>45303</v>
      </c>
      <c r="C3" s="419"/>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435" t="s">
        <v>83</v>
      </c>
      <c r="B12" s="436"/>
      <c r="C12" s="439" t="s">
        <v>84</v>
      </c>
      <c r="D12" s="440"/>
      <c r="E12" s="420" t="s">
        <v>7</v>
      </c>
      <c r="F12" s="17" t="s">
        <v>85</v>
      </c>
      <c r="G12" s="18" t="str">
        <f>Register!H3</f>
        <v>../../20..</v>
      </c>
    </row>
    <row r="13" spans="1:10" ht="13.8" thickBot="1" x14ac:dyDescent="0.3">
      <c r="A13" s="437"/>
      <c r="B13" s="438"/>
      <c r="C13" s="86" t="s">
        <v>87</v>
      </c>
      <c r="D13" s="87" t="s">
        <v>88</v>
      </c>
      <c r="E13" s="421"/>
      <c r="F13" s="19" t="s">
        <v>87</v>
      </c>
      <c r="G13" s="20" t="s">
        <v>88</v>
      </c>
      <c r="I13" s="219" t="s">
        <v>15</v>
      </c>
    </row>
    <row r="14" spans="1:10" ht="13.8" x14ac:dyDescent="0.25">
      <c r="A14" s="425" t="str">
        <f>Register!A5</f>
        <v>1. WORKING CONDITIONS</v>
      </c>
      <c r="B14" s="426"/>
      <c r="C14" s="330" t="str">
        <f>Register!C10</f>
        <v>Moderate/Low</v>
      </c>
      <c r="D14" s="314">
        <f>Register!B10</f>
        <v>2.35</v>
      </c>
      <c r="E14" s="315" t="str">
        <f>Register!D10</f>
        <v>↑</v>
      </c>
      <c r="F14" s="21" t="str">
        <f>Register!I10</f>
        <v>Not at all</v>
      </c>
      <c r="G14" s="321">
        <f>Register!H10</f>
        <v>0</v>
      </c>
      <c r="I14" s="220" t="e">
        <f>Register!#REF!</f>
        <v>#REF!</v>
      </c>
    </row>
    <row r="15" spans="1:10" ht="13.8" x14ac:dyDescent="0.25">
      <c r="A15" s="427" t="str">
        <f>Register!A11</f>
        <v>2. LAND &amp; WATER RIGHTS</v>
      </c>
      <c r="B15" s="428"/>
      <c r="C15" s="331" t="str">
        <f>Register!C15</f>
        <v>Moderate/Low</v>
      </c>
      <c r="D15" s="316">
        <f>Register!B15</f>
        <v>2.25</v>
      </c>
      <c r="E15" s="317" t="str">
        <f>Register!D15</f>
        <v>↑</v>
      </c>
      <c r="F15" s="22" t="str">
        <f>Register!I15</f>
        <v>Not at all</v>
      </c>
      <c r="G15" s="322">
        <f>Register!H15</f>
        <v>0</v>
      </c>
      <c r="I15" s="221" t="e">
        <f>Register!#REF!</f>
        <v>#REF!</v>
      </c>
    </row>
    <row r="16" spans="1:10" ht="13.8" x14ac:dyDescent="0.25">
      <c r="A16" s="429" t="str">
        <f>Register!A16</f>
        <v>3. GENDER EQUALITY</v>
      </c>
      <c r="B16" s="430"/>
      <c r="C16" s="331" t="str">
        <f>Register!C22</f>
        <v>Moderate/Low</v>
      </c>
      <c r="D16" s="316">
        <f>Register!B22</f>
        <v>2.0499999999999998</v>
      </c>
      <c r="E16" s="317" t="str">
        <f>Register!D22</f>
        <v>↑</v>
      </c>
      <c r="F16" s="22" t="str">
        <f>Register!I22</f>
        <v>Not at all</v>
      </c>
      <c r="G16" s="322">
        <f>Register!H22</f>
        <v>0</v>
      </c>
      <c r="I16" s="221" t="e">
        <f>Register!#REF!</f>
        <v>#REF!</v>
      </c>
    </row>
    <row r="17" spans="1:9" ht="13.8" x14ac:dyDescent="0.25">
      <c r="A17" s="431" t="str">
        <f>Register!A23</f>
        <v>4. FOOD AND NUTRITION SECURITY</v>
      </c>
      <c r="B17" s="432"/>
      <c r="C17" s="331" t="str">
        <f>Register!C28</f>
        <v>Moderate/Low</v>
      </c>
      <c r="D17" s="316">
        <f>Register!B28</f>
        <v>1.6666666666666667</v>
      </c>
      <c r="E17" s="317" t="str">
        <f>Register!D28</f>
        <v>↑</v>
      </c>
      <c r="F17" s="22" t="str">
        <f>Register!I28</f>
        <v>Not at all</v>
      </c>
      <c r="G17" s="322">
        <f>Register!H28</f>
        <v>0</v>
      </c>
      <c r="I17" s="221" t="e">
        <f>Register!#REF!</f>
        <v>#REF!</v>
      </c>
    </row>
    <row r="18" spans="1:9" ht="13.8" x14ac:dyDescent="0.25">
      <c r="A18" s="441" t="str">
        <f>Register!A29</f>
        <v>5. SOCIAL CAPITAL</v>
      </c>
      <c r="B18" s="442"/>
      <c r="C18" s="331" t="str">
        <f>Register!C33</f>
        <v>Substantial</v>
      </c>
      <c r="D18" s="318">
        <f>Register!B33</f>
        <v>2.6666666666666665</v>
      </c>
      <c r="E18" s="317" t="str">
        <f>Register!D33</f>
        <v>↑</v>
      </c>
      <c r="F18" s="308" t="str">
        <f>Register!I33</f>
        <v>Not at all</v>
      </c>
      <c r="G18" s="322">
        <f>Register!H33</f>
        <v>0</v>
      </c>
      <c r="I18" s="307"/>
    </row>
    <row r="19" spans="1:9" ht="14.4" thickBot="1" x14ac:dyDescent="0.3">
      <c r="A19" s="433" t="str">
        <f>Register!A34</f>
        <v>6. LIVING CONDITIONS</v>
      </c>
      <c r="B19" s="434"/>
      <c r="C19" s="332" t="str">
        <f>Register!C39</f>
        <v>Moderate/Low</v>
      </c>
      <c r="D19" s="319">
        <f>Register!B39</f>
        <v>2.1666666666666665</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8" thickBot="1" x14ac:dyDescent="0.3">
      <c r="A21" s="422" t="s">
        <v>8</v>
      </c>
      <c r="B21" s="423"/>
      <c r="C21" s="423"/>
      <c r="D21" s="423"/>
      <c r="E21" s="423"/>
      <c r="F21" s="423"/>
      <c r="G21" s="424"/>
    </row>
    <row r="22" spans="1:9" ht="107.25" customHeight="1" thickBot="1" x14ac:dyDescent="0.3">
      <c r="A22" s="446"/>
      <c r="B22" s="447"/>
      <c r="C22" s="447"/>
      <c r="D22" s="447"/>
      <c r="E22" s="447"/>
      <c r="F22" s="447"/>
      <c r="G22" s="448"/>
    </row>
    <row r="23" spans="1:9" ht="7.5" customHeight="1" thickBot="1" x14ac:dyDescent="0.3">
      <c r="A23" s="13"/>
      <c r="G23" s="14"/>
    </row>
    <row r="24" spans="1:9" ht="13.8" thickBot="1" x14ac:dyDescent="0.3">
      <c r="A24" s="449" t="s">
        <v>89</v>
      </c>
      <c r="B24" s="450"/>
      <c r="C24" s="450"/>
      <c r="D24" s="457"/>
      <c r="E24" s="457"/>
      <c r="F24" s="457"/>
      <c r="G24" s="458"/>
    </row>
    <row r="25" spans="1:9" ht="105.75" customHeight="1" thickBot="1" x14ac:dyDescent="0.3">
      <c r="A25" s="446"/>
      <c r="B25" s="452"/>
      <c r="C25" s="452"/>
      <c r="D25" s="452"/>
      <c r="E25" s="452"/>
      <c r="F25" s="452"/>
      <c r="G25" s="453"/>
    </row>
    <row r="26" spans="1:9" ht="13.8" thickBot="1" x14ac:dyDescent="0.3">
      <c r="A26" s="449" t="s">
        <v>90</v>
      </c>
      <c r="B26" s="450"/>
      <c r="C26" s="450"/>
      <c r="D26" s="450"/>
      <c r="E26" s="450"/>
      <c r="F26" s="450"/>
      <c r="G26" s="451"/>
    </row>
    <row r="27" spans="1:9" ht="83.25" customHeight="1" thickBot="1" x14ac:dyDescent="0.3">
      <c r="A27" s="454"/>
      <c r="B27" s="455"/>
      <c r="C27" s="455"/>
      <c r="D27" s="455"/>
      <c r="E27" s="455"/>
      <c r="F27" s="455"/>
      <c r="G27" s="456"/>
    </row>
    <row r="28" spans="1:9" ht="13.8" thickBot="1" x14ac:dyDescent="0.3">
      <c r="A28" s="449" t="s">
        <v>17</v>
      </c>
      <c r="B28" s="450"/>
      <c r="C28" s="450"/>
      <c r="D28" s="450"/>
      <c r="E28" s="450"/>
      <c r="F28" s="450"/>
      <c r="G28" s="451"/>
    </row>
    <row r="29" spans="1:9" ht="83.25" customHeight="1" thickBot="1" x14ac:dyDescent="0.3">
      <c r="A29" s="446"/>
      <c r="B29" s="447"/>
      <c r="C29" s="447"/>
      <c r="D29" s="447"/>
      <c r="E29" s="447"/>
      <c r="F29" s="447"/>
      <c r="G29" s="448"/>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tabSelected="1" zoomScaleNormal="100" zoomScaleSheetLayoutView="100" workbookViewId="0">
      <pane ySplit="4" topLeftCell="A27" activePane="bottomLeft" state="frozen"/>
      <selection pane="bottomLeft" activeCell="B37" sqref="B37"/>
    </sheetView>
  </sheetViews>
  <sheetFormatPr defaultColWidth="8.88671875" defaultRowHeight="13.2" x14ac:dyDescent="0.25"/>
  <cols>
    <col min="1" max="1" width="36.6640625" customWidth="1"/>
    <col min="2" max="2" width="10.33203125" style="275" customWidth="1"/>
    <col min="3" max="3" width="15.109375" style="25" customWidth="1"/>
    <col min="4" max="4" width="6.33203125" style="25" customWidth="1"/>
    <col min="5" max="5" width="66.44140625" customWidth="1"/>
    <col min="6" max="7" width="39.33203125" customWidth="1"/>
    <col min="8" max="8" width="6" style="275" customWidth="1"/>
    <col min="9" max="9" width="14.109375" style="25" customWidth="1"/>
    <col min="10" max="10" width="8.88671875" hidden="1" customWidth="1"/>
    <col min="11" max="11" width="9.109375" hidden="1" customWidth="1"/>
    <col min="12" max="12" width="14.88671875" hidden="1" customWidth="1"/>
    <col min="13" max="13" width="9.109375" hidden="1" customWidth="1"/>
    <col min="14" max="14" width="9.109375" customWidth="1"/>
  </cols>
  <sheetData>
    <row r="1" spans="1:15" s="105" customFormat="1" ht="27.75" customHeight="1" thickBot="1" x14ac:dyDescent="0.35">
      <c r="A1" s="463" t="str">
        <f>Profile!F1</f>
        <v>Cotton</v>
      </c>
      <c r="B1" s="464"/>
      <c r="C1" s="367" t="s">
        <v>22</v>
      </c>
      <c r="D1" s="459" t="str">
        <f>Profile!E2</f>
        <v>Tajikistan</v>
      </c>
      <c r="E1" s="460"/>
      <c r="F1" s="365" t="s">
        <v>26</v>
      </c>
      <c r="G1" s="366">
        <f>Profile!B3</f>
        <v>45303</v>
      </c>
      <c r="H1" s="461" t="s">
        <v>80</v>
      </c>
      <c r="I1" s="462"/>
      <c r="M1" s="106"/>
    </row>
    <row r="2" spans="1:15" s="105" customFormat="1" ht="10.5" customHeight="1" x14ac:dyDescent="0.25">
      <c r="A2" s="467" t="s">
        <v>9</v>
      </c>
      <c r="B2" s="479" t="s">
        <v>88</v>
      </c>
      <c r="C2" s="482" t="s">
        <v>87</v>
      </c>
      <c r="D2" s="470" t="s">
        <v>7</v>
      </c>
      <c r="E2" s="476" t="s">
        <v>10</v>
      </c>
      <c r="F2" s="470" t="s">
        <v>18</v>
      </c>
      <c r="G2" s="473" t="s">
        <v>86</v>
      </c>
      <c r="H2" s="461" t="s">
        <v>82</v>
      </c>
      <c r="I2" s="462"/>
      <c r="M2" s="106"/>
    </row>
    <row r="3" spans="1:15" s="106" customFormat="1" ht="13.5" customHeight="1" thickBot="1" x14ac:dyDescent="0.3">
      <c r="A3" s="468"/>
      <c r="B3" s="480"/>
      <c r="C3" s="483"/>
      <c r="D3" s="471"/>
      <c r="E3" s="477"/>
      <c r="F3" s="471"/>
      <c r="G3" s="474"/>
      <c r="H3" s="465" t="s">
        <v>81</v>
      </c>
      <c r="I3" s="466"/>
      <c r="L3" s="107" t="str">
        <f>Questionnaire!$N$3</f>
        <v>High</v>
      </c>
      <c r="M3" s="106" t="s">
        <v>20</v>
      </c>
    </row>
    <row r="4" spans="1:15" s="108" customFormat="1" ht="13.8" thickBot="1" x14ac:dyDescent="0.3">
      <c r="A4" s="469"/>
      <c r="B4" s="481"/>
      <c r="C4" s="484"/>
      <c r="D4" s="472"/>
      <c r="E4" s="478"/>
      <c r="F4" s="472"/>
      <c r="G4" s="475"/>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24.2" x14ac:dyDescent="0.25">
      <c r="A6" s="56" t="str">
        <f>Questionnaire!$A$4</f>
        <v>1.1 Respect of labour rights</v>
      </c>
      <c r="B6" s="333">
        <f>Questionnaire!J10</f>
        <v>2.4</v>
      </c>
      <c r="C6" s="334" t="str">
        <f>IF(B6&lt;1.5,$L$6,IF(B6&lt;2.5,$L$5,IF(B6&lt;3.5,$L$4,IF(B6&lt;4.5,$L$3,"n/a"))))</f>
        <v>Moderate/Low</v>
      </c>
      <c r="D6" s="335" t="str">
        <f>IF(H6&lt;B6,"↑",IF(H6&gt;B6,"↓","↔"))</f>
        <v>↑</v>
      </c>
      <c r="E6" s="2" t="s">
        <v>363</v>
      </c>
      <c r="F6" s="1" t="s">
        <v>376</v>
      </c>
      <c r="G6" s="1"/>
      <c r="H6" s="236">
        <v>0</v>
      </c>
      <c r="I6" s="278" t="str">
        <f>IF(H6&lt;1.5,$L$6,IF(H6&lt;2.5,$L$5,IF(H6&lt;3.5,$L$4,IF(H6&lt;4.5,$L$3,"n/a"))))</f>
        <v>Not at all</v>
      </c>
      <c r="K6" s="109" t="s">
        <v>11</v>
      </c>
      <c r="L6" s="107" t="str">
        <f>Questionnaire!$N$6</f>
        <v>Not at all</v>
      </c>
      <c r="M6" s="109" t="s">
        <v>4</v>
      </c>
    </row>
    <row r="7" spans="1:15" s="109" customFormat="1" ht="69" x14ac:dyDescent="0.25">
      <c r="A7" s="57" t="str">
        <f>Questionnaire!$A$11</f>
        <v>1.2 Child Labour</v>
      </c>
      <c r="B7" s="336">
        <f>Questionnaire!J14</f>
        <v>3.5</v>
      </c>
      <c r="C7" s="337" t="str">
        <f>IF(B7&lt;1.5,$L$6,IF(B7&lt;2.5,$L$5,IF(B7&lt;3.5,$L$4,IF(B7&lt;4.5,$L$3,"n/a"))))</f>
        <v>High</v>
      </c>
      <c r="D7" s="338" t="str">
        <f>IF(H7&lt;B7,"↑",IF(H7&gt;B7,"↓","↔"))</f>
        <v>↑</v>
      </c>
      <c r="E7" s="3" t="s">
        <v>257</v>
      </c>
      <c r="F7" s="3"/>
      <c r="G7" s="3"/>
      <c r="H7" s="237">
        <v>0</v>
      </c>
      <c r="I7" s="278" t="str">
        <f>IF(H7&lt;1.5,$L$6,IF(H7&lt;2.5,$L$5,IF(H7&lt;3.5,$L$4,IF(H7&lt;4.5,$L$3,"n/a"))))</f>
        <v>Not at all</v>
      </c>
      <c r="K7" s="109" t="s">
        <v>12</v>
      </c>
      <c r="L7" s="107" t="str">
        <f>Questionnaire!$N$7</f>
        <v>n/a</v>
      </c>
    </row>
    <row r="8" spans="1:15" s="109" customFormat="1" ht="82.8" x14ac:dyDescent="0.25">
      <c r="A8" s="57" t="str">
        <f>Questionnaire!$A$15</f>
        <v>1.3 Job safety</v>
      </c>
      <c r="B8" s="336">
        <f>Questionnaire!J17</f>
        <v>2</v>
      </c>
      <c r="C8" s="339" t="str">
        <f>IF(B8&lt;1.5,$L$6,IF(B8&lt;2.5,$L$5,IF(B8&lt;3.5,$L$4,IF(B8&lt;4.5,$L$3,"n/a"))))</f>
        <v>Moderate/Low</v>
      </c>
      <c r="D8" s="338" t="str">
        <f>IF(H8&lt;B8,"↑",IF(H8&gt;B8,"↓","↔"))</f>
        <v>↑</v>
      </c>
      <c r="E8" s="3" t="s">
        <v>364</v>
      </c>
      <c r="F8" s="3" t="s">
        <v>233</v>
      </c>
      <c r="G8" s="3"/>
      <c r="H8" s="237">
        <v>0</v>
      </c>
      <c r="I8" s="278" t="str">
        <f>IF(H8&lt;1.5,$L$6,IF(H8&lt;2.5,$L$5,IF(H8&lt;3.5,$L$4,IF(H8&lt;4.5,$L$3,"n/a"))))</f>
        <v>Not at all</v>
      </c>
      <c r="K8" s="109" t="s">
        <v>13</v>
      </c>
      <c r="L8" s="107"/>
    </row>
    <row r="9" spans="1:15" s="109" customFormat="1" ht="55.8" thickBot="1" x14ac:dyDescent="0.3">
      <c r="A9" s="58" t="str">
        <f>Questionnaire!$A$18</f>
        <v>1.4 Attractiveness</v>
      </c>
      <c r="B9" s="340">
        <f>Questionnaire!J21</f>
        <v>1.5</v>
      </c>
      <c r="C9" s="337" t="str">
        <f>IF(B9&lt;1.5,$L$6,IF(B9&lt;2.5,$L$5,IF(B9&lt;3.5,$L$4,IF(B9&lt;4.5,$L$3,"n/a"))))</f>
        <v>Moderate/Low</v>
      </c>
      <c r="D9" s="341" t="str">
        <f>IF(H9&lt;B9,"↑",IF(H9&gt;B9,"↓","↔"))</f>
        <v>↑</v>
      </c>
      <c r="E9" s="4" t="s">
        <v>365</v>
      </c>
      <c r="F9" s="4"/>
      <c r="G9" s="4"/>
      <c r="H9" s="238">
        <v>0</v>
      </c>
      <c r="I9" s="249" t="str">
        <f>IF(H9&lt;1.5,$L$6,IF(H9&lt;2.5,$L$5,IF(H9&lt;3.5,$L$4,IF(H9&lt;4.5,$L$3,"n/a"))))</f>
        <v>Not at all</v>
      </c>
      <c r="L9" s="107"/>
    </row>
    <row r="10" spans="1:15" s="109" customFormat="1" ht="18" customHeight="1" thickTop="1" thickBot="1" x14ac:dyDescent="0.3">
      <c r="A10" s="59" t="s">
        <v>14</v>
      </c>
      <c r="B10" s="342">
        <f>IF(COUNT(B6:B9)=0,"n/a",(AVERAGE(B6:B9)))</f>
        <v>2.35</v>
      </c>
      <c r="C10" s="399" t="str">
        <f>IF(B10&lt;1.5,$L$6,IF(B10&lt;2.5,$L$5,IF(B10&lt;3.5,$L$4,IF(B10&lt;4.5,$L$3,"n/a"))))</f>
        <v>Moderate/Low</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2</v>
      </c>
      <c r="C12" s="347" t="str">
        <f>IF(B12&lt;1.5,$L$6,IF(B12&lt;2.5,$L$5,IF(B12&lt;3.5,$L$4,IF(B12&lt;4.5,$L$3,"n/a"))))</f>
        <v>Moderate/Low</v>
      </c>
      <c r="D12" s="338" t="str">
        <f>IF(H12&lt;B12,"↑",IF(H12&gt;B12,"↓","↔"))</f>
        <v>↑</v>
      </c>
      <c r="E12" s="5" t="s">
        <v>366</v>
      </c>
      <c r="F12" s="1" t="s">
        <v>233</v>
      </c>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2</v>
      </c>
      <c r="C13" s="339" t="str">
        <f>IF(B13&lt;1.5,$L$6,IF(B13&lt;2.5,$L$5,IF(B13&lt;3.5,$L$4,IF(B13&lt;4.5,$L$3,"n/a"))))</f>
        <v>Moderate/Low</v>
      </c>
      <c r="D13" s="338" t="str">
        <f>IF(H13&lt;B13,"↑",IF(H13&gt;B13,"↓","↔"))</f>
        <v>↑</v>
      </c>
      <c r="E13" s="6" t="s">
        <v>367</v>
      </c>
      <c r="F13" s="3" t="s">
        <v>234</v>
      </c>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2.75</v>
      </c>
      <c r="C14" s="337" t="str">
        <f>IF(B14&lt;1.5,$L$6,IF(B14&lt;2.5,$L$5,IF(B14&lt;3.5,$L$4,IF(B14&lt;4.5,$L$3,"n/a"))))</f>
        <v>Substantial</v>
      </c>
      <c r="D14" s="341" t="str">
        <f>IF(H14&lt;B14,"↑",IF(H14&gt;B14,"↓","↔"))</f>
        <v>↑</v>
      </c>
      <c r="E14" s="7" t="s">
        <v>235</v>
      </c>
      <c r="F14" s="4" t="s">
        <v>236</v>
      </c>
      <c r="G14" s="4"/>
      <c r="H14" s="238">
        <v>0</v>
      </c>
      <c r="I14" s="249" t="str">
        <f>IF(H14&lt;1.5,$L$6,IF(H14&lt;2.5,$L$5,IF(H14&lt;3.5,$L$4,IF(H14&lt;4.5,$L$3,"n/a"))))</f>
        <v>Not at all</v>
      </c>
    </row>
    <row r="15" spans="1:15" s="106" customFormat="1" ht="14.4" thickTop="1" thickBot="1" x14ac:dyDescent="0.3">
      <c r="A15" s="65" t="s">
        <v>14</v>
      </c>
      <c r="B15" s="350">
        <f>IF(COUNT(B12:B14)=0,"n/a",(AVERAGE(B12:B14)))</f>
        <v>2.25</v>
      </c>
      <c r="C15" s="351" t="str">
        <f>IF(B15&lt;1.5,$L$6,IF(B15&lt;2.5,$L$5,IF(B15&lt;3.5,$L$4,IF(B15&lt;4.5,$L$3,"n/a"))))</f>
        <v>Moderate/Low</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96.6" x14ac:dyDescent="0.25">
      <c r="A17" s="68" t="str">
        <f>Questionnaire!$A$40</f>
        <v>3.1 Economic activities</v>
      </c>
      <c r="B17" s="346">
        <f>Questionnaire!J43</f>
        <v>2.5</v>
      </c>
      <c r="C17" s="347" t="str">
        <f t="shared" ref="C17:C22" si="0">IF(B17&lt;1.5,$L$6,IF(B17&lt;2.5,$L$5,IF(B17&lt;3.5,$L$4,IF(B17&lt;4.5,$L$3,"n/a"))))</f>
        <v>Substantial</v>
      </c>
      <c r="D17" s="338" t="str">
        <f>IF(H17&lt;B17,"↑",IF(H17&gt;B17,"↓","↔"))</f>
        <v>↑</v>
      </c>
      <c r="E17" s="5" t="s">
        <v>368</v>
      </c>
      <c r="F17" s="1" t="s">
        <v>269</v>
      </c>
      <c r="G17" s="1"/>
      <c r="H17" s="236">
        <v>0</v>
      </c>
      <c r="I17" s="278" t="str">
        <f t="shared" ref="I17:I22" si="1">IF(H17&lt;1.5,$L$6,IF(H17&lt;2.5,$L$5,IF(H17&lt;3.5,$L$4,IF(H17&lt;4.5,$L$3,"n/a"))))</f>
        <v>Not at all</v>
      </c>
    </row>
    <row r="18" spans="1:9" s="109" customFormat="1" ht="55.2" x14ac:dyDescent="0.25">
      <c r="A18" s="68" t="str">
        <f>Questionnaire!$A$44</f>
        <v>3.2 Access to resources and services</v>
      </c>
      <c r="B18" s="348">
        <f>Questionnaire!J49</f>
        <v>2.5</v>
      </c>
      <c r="C18" s="352" t="str">
        <f t="shared" si="0"/>
        <v>Substantial</v>
      </c>
      <c r="D18" s="338" t="str">
        <f t="shared" ref="D18:D20" si="2">IF(H18&lt;B18,"↑",IF(H18&gt;B18,"↓","↔"))</f>
        <v>↑</v>
      </c>
      <c r="E18" s="6" t="s">
        <v>263</v>
      </c>
      <c r="F18" s="3" t="s">
        <v>264</v>
      </c>
      <c r="G18" s="3"/>
      <c r="H18" s="237">
        <v>0</v>
      </c>
      <c r="I18" s="278" t="str">
        <f t="shared" si="1"/>
        <v>Not at all</v>
      </c>
    </row>
    <row r="19" spans="1:9" s="109" customFormat="1" ht="55.2" x14ac:dyDescent="0.25">
      <c r="A19" s="68" t="str">
        <f>Questionnaire!$A$50</f>
        <v>3.3 Decision making</v>
      </c>
      <c r="B19" s="348">
        <f>Questionnaire!J56</f>
        <v>2</v>
      </c>
      <c r="C19" s="339" t="str">
        <f t="shared" si="0"/>
        <v>Moderate/Low</v>
      </c>
      <c r="D19" s="353" t="str">
        <f t="shared" si="2"/>
        <v>↑</v>
      </c>
      <c r="E19" s="241" t="s">
        <v>237</v>
      </c>
      <c r="F19" s="3"/>
      <c r="G19" s="242"/>
      <c r="H19" s="240">
        <v>0</v>
      </c>
      <c r="I19" s="278" t="str">
        <f t="shared" si="1"/>
        <v>Not at all</v>
      </c>
    </row>
    <row r="20" spans="1:9" s="109" customFormat="1" ht="82.8" x14ac:dyDescent="0.25">
      <c r="A20" s="68" t="str">
        <f>Questionnaire!$A$57</f>
        <v>3.4 Leadership and empowerment</v>
      </c>
      <c r="B20" s="348">
        <f>Questionnaire!J62</f>
        <v>1.75</v>
      </c>
      <c r="C20" s="337" t="str">
        <f t="shared" si="0"/>
        <v>Moderate/Low</v>
      </c>
      <c r="D20" s="338" t="str">
        <f t="shared" si="2"/>
        <v>↑</v>
      </c>
      <c r="E20" s="82" t="s">
        <v>369</v>
      </c>
      <c r="F20" s="83" t="s">
        <v>267</v>
      </c>
      <c r="G20" s="83"/>
      <c r="H20" s="237">
        <v>0</v>
      </c>
      <c r="I20" s="278" t="str">
        <f t="shared" si="1"/>
        <v>Not at all</v>
      </c>
    </row>
    <row r="21" spans="1:9" s="109" customFormat="1" ht="69.599999999999994" thickBot="1" x14ac:dyDescent="0.3">
      <c r="A21" s="69" t="str">
        <f>Questionnaire!$A$63</f>
        <v>3.5 Hardship and division of labour</v>
      </c>
      <c r="B21" s="349">
        <f>Questionnaire!J66</f>
        <v>1.5</v>
      </c>
      <c r="C21" s="354" t="str">
        <f t="shared" si="0"/>
        <v>Moderate/Low</v>
      </c>
      <c r="D21" s="341" t="str">
        <f>IF(H21&lt;B21,"↑",IF(H21&gt;B21,"↓","↔"))</f>
        <v>↑</v>
      </c>
      <c r="E21" s="7" t="s">
        <v>270</v>
      </c>
      <c r="F21" s="4" t="s">
        <v>268</v>
      </c>
      <c r="G21" s="4"/>
      <c r="H21" s="238">
        <v>0</v>
      </c>
      <c r="I21" s="249" t="str">
        <f t="shared" si="1"/>
        <v>Not at all</v>
      </c>
    </row>
    <row r="22" spans="1:9" s="106" customFormat="1" ht="14.4" thickTop="1" thickBot="1" x14ac:dyDescent="0.3">
      <c r="A22" s="81" t="s">
        <v>14</v>
      </c>
      <c r="B22" s="350">
        <f>IF(COUNT(B17:B21)=0,"n/a",(AVERAGE(B17:B21)))</f>
        <v>2.0499999999999998</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1.5</v>
      </c>
      <c r="C24" s="347" t="str">
        <f>IF(B24&lt;1.5,$L$6,IF(B24&lt;2.5,$L$5,IF(B24&lt;3.5,$L$4,IF(B24&lt;4.5,$L$3,"n/a"))))</f>
        <v>Moderate/Low</v>
      </c>
      <c r="D24" s="335" t="str">
        <f>IF(H24&lt;B24,"↑",IF(H24&gt;B24,"↓","↔"))</f>
        <v>↑</v>
      </c>
      <c r="E24" s="5" t="s">
        <v>370</v>
      </c>
      <c r="F24" s="1" t="s">
        <v>265</v>
      </c>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1.5</v>
      </c>
      <c r="C25" s="339" t="str">
        <f>IF(B25&lt;1.5,$L$6,IF(B25&lt;2.5,$L$5,IF(B25&lt;3.5,$L$4,IF(B25&lt;4.5,$L$3,"n/a"))))</f>
        <v>Moderate/Low</v>
      </c>
      <c r="D25" s="338" t="str">
        <f>IF(H25&lt;B25,"↑",IF(H25&gt;B25,"↓","↔"))</f>
        <v>↑</v>
      </c>
      <c r="E25" s="6" t="s">
        <v>272</v>
      </c>
      <c r="F25" s="3" t="s">
        <v>271</v>
      </c>
      <c r="G25" s="3"/>
      <c r="H25" s="237">
        <v>0</v>
      </c>
      <c r="I25" s="278" t="str">
        <f>IF(H25&lt;1.5,$L$6,IF(H25&lt;2.5,$L$5,IF(H25&lt;3.5,$L$4,IF(H25&lt;4.5,$L$3,"n/a"))))</f>
        <v>Not at all</v>
      </c>
    </row>
    <row r="26" spans="1:9" s="109" customFormat="1" ht="82.8" x14ac:dyDescent="0.25">
      <c r="A26" s="73" t="str">
        <f>Questionnaire!$A$76</f>
        <v xml:space="preserve">4.3 Utilisation and nutritional adequacy </v>
      </c>
      <c r="B26" s="348">
        <f>Questionnaire!J80</f>
        <v>1.6666666666666667</v>
      </c>
      <c r="C26" s="339" t="str">
        <f>IF(B26&lt;1.5,$L$6,IF(B26&lt;2.5,$L$5,IF(B26&lt;3.5,$L$4,IF(B26&lt;4.5,$L$3,"n/a"))))</f>
        <v>Moderate/Low</v>
      </c>
      <c r="D26" s="338" t="str">
        <f>IF(H26&lt;B26,"↑",IF(H26&gt;B26,"↓","↔"))</f>
        <v>↑</v>
      </c>
      <c r="E26" s="6" t="s">
        <v>371</v>
      </c>
      <c r="F26" s="3" t="s">
        <v>266</v>
      </c>
      <c r="G26" s="3"/>
      <c r="H26" s="237">
        <v>0</v>
      </c>
      <c r="I26" s="278" t="str">
        <f>IF(H26&lt;1.5,$L$6,IF(H26&lt;2.5,$L$5,IF(H26&lt;3.5,$L$4,IF(H26&lt;4.5,$L$3,"n/a"))))</f>
        <v>Not at all</v>
      </c>
    </row>
    <row r="27" spans="1:9" s="109" customFormat="1" ht="55.8" thickBot="1" x14ac:dyDescent="0.3">
      <c r="A27" s="74" t="str">
        <f>Questionnaire!$A$81</f>
        <v xml:space="preserve">4.4 Stability </v>
      </c>
      <c r="B27" s="349">
        <f>Questionnaire!J84</f>
        <v>2</v>
      </c>
      <c r="C27" s="337" t="str">
        <f>IF(B27&lt;1.5,$L$6,IF(B27&lt;2.5,$L$5,IF(B27&lt;3.5,$L$4,IF(B27&lt;4.5,$L$3,"n/a"))))</f>
        <v>Moderate/Low</v>
      </c>
      <c r="D27" s="341" t="str">
        <f>IF(H27&lt;B27,"↑",IF(H27&gt;B27,"↓","↔"))</f>
        <v>↑</v>
      </c>
      <c r="E27" s="7" t="s">
        <v>372</v>
      </c>
      <c r="F27" s="4"/>
      <c r="G27" s="4"/>
      <c r="H27" s="238">
        <v>0</v>
      </c>
      <c r="I27" s="249" t="str">
        <f>IF(H27&lt;1.5,$L$6,IF(H27&lt;2.5,$L$5,IF(H27&lt;3.5,$L$4,IF(H27&lt;4.5,$L$3,"n/a"))))</f>
        <v>Not at all</v>
      </c>
    </row>
    <row r="28" spans="1:9" s="106" customFormat="1" ht="14.4" thickTop="1" thickBot="1" x14ac:dyDescent="0.3">
      <c r="A28" s="75" t="s">
        <v>14</v>
      </c>
      <c r="B28" s="350">
        <f>IF(COUNT(B24:B27)=0,"n/a",(AVERAGE(B24:B27)))</f>
        <v>1.6666666666666667</v>
      </c>
      <c r="C28" s="351" t="str">
        <f>IF(B28&lt;1.5,$L$6,IF(B28&lt;2.5,$L$5,IF(B28&lt;3.5,$L$4,IF(B28&lt;4.5,$L$3,"n/a"))))</f>
        <v>Moderate/Low</v>
      </c>
      <c r="D28" s="343" t="str">
        <f>IF(H28&lt;B28,"↑",IF(H28&gt;B28,"↓","↔"))</f>
        <v>↑</v>
      </c>
      <c r="E28" s="110"/>
      <c r="F28" s="110"/>
      <c r="G28" s="110"/>
      <c r="H28" s="10">
        <f>AVERAGE(H24:H27)</f>
        <v>0</v>
      </c>
      <c r="I28" s="277" t="str">
        <f>IF(H28&lt;1.5,$L$6,IF(H28&lt;2.5,$L$5,IF(H28&lt;3.5,$L$4,IF(H28&lt;4.5,$L$3,"n/a"))))</f>
        <v>Not at all</v>
      </c>
    </row>
    <row r="29" spans="1:9" s="106" customFormat="1" ht="13.8"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v>
      </c>
      <c r="C30" s="334" t="str">
        <f>IF(B30&lt;1.5,$L$6,IF(B30&lt;2.5,$L$5,IF(B30&lt;3.5,$L$4,IF(B30&lt;4.5,$L$3,"n/a"))))</f>
        <v>Moderate/Low</v>
      </c>
      <c r="D30" s="335" t="str">
        <f t="shared" ref="D30:D32" si="3">IF(H30&lt;B30,"↑",IF(H30&gt;B30,"↓","↔"))</f>
        <v>↑</v>
      </c>
      <c r="E30" s="401" t="s">
        <v>273</v>
      </c>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3</v>
      </c>
      <c r="C31" s="339" t="str">
        <f>IF(B31&lt;1.5,$L$6,IF(B31&lt;2.5,$L$5,IF(B31&lt;3.5,$L$4,IF(B31&lt;4.5,$L$3,"n/a"))))</f>
        <v>Substantial</v>
      </c>
      <c r="D31" s="352" t="str">
        <f t="shared" si="3"/>
        <v>↑</v>
      </c>
      <c r="E31" s="404" t="s">
        <v>274</v>
      </c>
      <c r="F31" s="405" t="s">
        <v>275</v>
      </c>
      <c r="G31" s="406"/>
      <c r="H31" s="236">
        <v>0</v>
      </c>
      <c r="I31" s="278" t="str">
        <f>IF(H31&lt;1.5,$L$6,IF(H31&lt;2.5,$L$5,IF(H31&lt;3.5,$L$4,IF(H31&lt;4.5,$L$3,"n/a"))))</f>
        <v>Not at all</v>
      </c>
    </row>
    <row r="32" spans="1:9" s="106" customFormat="1" ht="13.8" thickBot="1" x14ac:dyDescent="0.3">
      <c r="A32" s="305" t="str">
        <f>Questionnaire!$A$96</f>
        <v>5.3 Social involvement</v>
      </c>
      <c r="B32" s="360">
        <f>Questionnaire!J100</f>
        <v>3</v>
      </c>
      <c r="C32" s="337" t="str">
        <f>IF(B32&lt;1.5,$L$6,IF(B32&lt;2.5,$L$5,IF(B32&lt;3.5,$L$4,IF(B32&lt;4.5,$L$3,"n/a"))))</f>
        <v>Substantial</v>
      </c>
      <c r="D32" s="354" t="str">
        <f t="shared" si="3"/>
        <v>↑</v>
      </c>
      <c r="E32" s="407" t="s">
        <v>373</v>
      </c>
      <c r="F32" s="408"/>
      <c r="G32" s="409"/>
      <c r="H32" s="238">
        <v>0</v>
      </c>
      <c r="I32" s="245" t="str">
        <f>IF(H32&lt;1.5,$L$6,IF(H32&lt;2.5,$L$5,IF(H32&lt;3.5,$L$4,IF(H32&lt;4.5,$L$3,"n/a"))))</f>
        <v>Not at all</v>
      </c>
    </row>
    <row r="33" spans="1:9" s="106" customFormat="1" ht="14.4" thickTop="1" thickBot="1" x14ac:dyDescent="0.3">
      <c r="A33" s="301" t="s">
        <v>14</v>
      </c>
      <c r="B33" s="350">
        <f>IF(COUNT(B30:B32)=0,"n/a",(AVERAGE(B30:B32)))</f>
        <v>2.6666666666666665</v>
      </c>
      <c r="C33" s="351" t="str">
        <f>IF(B33&lt;1.5,$L$6,IF(B33&lt;2.5,$L$5,IF(B33&lt;3.5,$L$4,IF(B33&lt;4.5,$L$3,"n/a"))))</f>
        <v>Substantial</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2.6666666666666665</v>
      </c>
      <c r="C35" s="347" t="str">
        <f>IF(B35&lt;1.5,$L$6,IF(B35&lt;2.5,$L$5,IF(B35&lt;3.5,$L$4,IF(B35&lt;4.5,$L$3,"n/a"))))</f>
        <v>Substantial</v>
      </c>
      <c r="D35" s="364" t="str">
        <f>IF(H35&lt;B35,"↑",IF(H35&gt;B35,"↓","↔"))</f>
        <v>↑</v>
      </c>
      <c r="E35" s="5" t="s">
        <v>374</v>
      </c>
      <c r="F35" s="243" t="s">
        <v>276</v>
      </c>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1.5</v>
      </c>
      <c r="C36" s="339" t="str">
        <f>IF(B36&lt;1.5,$L$6,IF(B36&lt;2.5,$L$5,IF(B36&lt;3.5,$L$4,IF(B36&lt;4.5,$L$3,"n/a"))))</f>
        <v>Moderate/Low</v>
      </c>
      <c r="D36" s="339" t="str">
        <f>IF(H36&lt;B36,"↑",IF(H36&gt;B36,"↓","↔"))</f>
        <v>↑</v>
      </c>
      <c r="E36" s="6" t="s">
        <v>277</v>
      </c>
      <c r="F36" s="244" t="s">
        <v>278</v>
      </c>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2.3333333333333335</v>
      </c>
      <c r="C37" s="339" t="str">
        <f>IF(B37&lt;1.5,$L$6,IF(B37&lt;2.5,$L$5,IF(B37&lt;3.5,$L$4,IF(B37&lt;4.5,$L$3,"n/a"))))</f>
        <v>Moderate/Low</v>
      </c>
      <c r="D37" s="364" t="str">
        <f>IF(H37&lt;B37,"↑",IF(H37&gt;B37,"↓","↔"))</f>
        <v>↑</v>
      </c>
      <c r="E37" s="6" t="s">
        <v>375</v>
      </c>
      <c r="F37" s="244" t="s">
        <v>279</v>
      </c>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4.4" thickTop="1" thickBot="1" x14ac:dyDescent="0.3">
      <c r="A39" s="80" t="s">
        <v>14</v>
      </c>
      <c r="B39" s="342">
        <f>IF(COUNT(B35:B38)=0,"n/a",(AVERAGE(B35:B38)))</f>
        <v>2.1666666666666665</v>
      </c>
      <c r="C39" s="351" t="str">
        <f>IF(B39&lt;1.5,$L$6,IF(B39&lt;2.5,$L$5,IF(B39&lt;3.5,$L$4,IF(B39&lt;4.5,$L$3,"n/a"))))</f>
        <v>Moderate/Low</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3" activePane="bottomLeft" state="frozen"/>
      <selection pane="bottomLeft" activeCell="C119" sqref="C119"/>
    </sheetView>
  </sheetViews>
  <sheetFormatPr defaultColWidth="8.886718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109375" style="25" customWidth="1"/>
    <col min="8" max="8" width="7.44140625" style="25" customWidth="1"/>
    <col min="9" max="9" width="12.5546875" style="25" customWidth="1"/>
    <col min="10" max="10" width="12.33203125" style="25" customWidth="1"/>
    <col min="11" max="11" width="65.88671875" customWidth="1"/>
    <col min="12" max="12" width="15.5546875" style="160" customWidth="1"/>
    <col min="13" max="13" width="13.44140625" hidden="1" customWidth="1"/>
    <col min="14" max="14" width="14.88671875" hidden="1" customWidth="1"/>
    <col min="15" max="15" width="11.109375" hidden="1" customWidth="1"/>
    <col min="16" max="16" width="13.88671875" customWidth="1"/>
  </cols>
  <sheetData>
    <row r="1" spans="1:15" ht="21" customHeight="1" thickBot="1" x14ac:dyDescent="0.35">
      <c r="A1" s="368" t="s">
        <v>27</v>
      </c>
      <c r="B1" s="369" t="str">
        <f>Profile!F1</f>
        <v>Cotton</v>
      </c>
      <c r="C1" s="367" t="s">
        <v>22</v>
      </c>
      <c r="D1" s="459" t="str">
        <f>Profile!E2</f>
        <v>Tajikistan</v>
      </c>
      <c r="E1" s="460"/>
      <c r="F1" s="365" t="s">
        <v>26</v>
      </c>
      <c r="G1" s="370"/>
      <c r="H1" s="371"/>
      <c r="I1" s="372"/>
      <c r="J1" s="366">
        <f>Profile!B3</f>
        <v>45303</v>
      </c>
      <c r="K1" s="113"/>
      <c r="L1" s="373" t="s">
        <v>179</v>
      </c>
    </row>
    <row r="2" spans="1:15" s="105" customFormat="1" ht="15" customHeight="1" thickBot="1" x14ac:dyDescent="0.3">
      <c r="A2" s="543" t="s">
        <v>0</v>
      </c>
      <c r="B2" s="544"/>
      <c r="C2" s="374" t="s">
        <v>2</v>
      </c>
      <c r="D2" s="374" t="s">
        <v>87</v>
      </c>
      <c r="E2" s="374" t="s">
        <v>88</v>
      </c>
      <c r="F2" s="543" t="s">
        <v>86</v>
      </c>
      <c r="G2" s="544"/>
      <c r="H2" s="544"/>
      <c r="I2" s="544"/>
      <c r="J2" s="544"/>
      <c r="K2" s="544"/>
      <c r="L2" s="375"/>
      <c r="M2" s="107"/>
    </row>
    <row r="3" spans="1:15" s="105" customFormat="1" ht="24.75" customHeight="1" thickBot="1" x14ac:dyDescent="0.3">
      <c r="A3" s="114" t="s">
        <v>215</v>
      </c>
      <c r="B3" s="115"/>
      <c r="C3" s="115"/>
      <c r="D3" s="115"/>
      <c r="E3" s="115"/>
      <c r="F3" s="115"/>
      <c r="G3" s="115"/>
      <c r="H3" s="115"/>
      <c r="I3" s="115"/>
      <c r="J3" s="115"/>
      <c r="K3" s="115"/>
      <c r="L3" s="376"/>
      <c r="N3" s="16" t="s">
        <v>4</v>
      </c>
      <c r="O3" s="105">
        <v>4.5</v>
      </c>
    </row>
    <row r="4" spans="1:15" s="105" customFormat="1" ht="21" customHeight="1" x14ac:dyDescent="0.25">
      <c r="A4" s="116" t="s">
        <v>29</v>
      </c>
      <c r="B4" s="117"/>
      <c r="C4" s="117"/>
      <c r="D4" s="117"/>
      <c r="E4" s="117"/>
      <c r="F4" s="117"/>
      <c r="G4" s="117"/>
      <c r="H4" s="117"/>
      <c r="I4" s="117"/>
      <c r="J4" s="117"/>
      <c r="K4" s="117"/>
      <c r="L4" s="376"/>
      <c r="N4" s="16" t="s">
        <v>5</v>
      </c>
      <c r="O4" s="105">
        <v>3.5</v>
      </c>
    </row>
    <row r="5" spans="1:15" s="105" customFormat="1" ht="60.75" customHeight="1" x14ac:dyDescent="0.25">
      <c r="A5" s="519" t="s">
        <v>71</v>
      </c>
      <c r="B5" s="519"/>
      <c r="C5" s="37" t="s">
        <v>258</v>
      </c>
      <c r="D5" s="48" t="s">
        <v>42</v>
      </c>
      <c r="E5" s="118">
        <f>IF(D5=$N$6,1,IF(D5=$N$5,2,IF(D5=$N$4,3,IF(D5=$N$3,4,"n/a"))))</f>
        <v>2</v>
      </c>
      <c r="F5" s="520" t="s">
        <v>308</v>
      </c>
      <c r="G5" s="520"/>
      <c r="H5" s="520"/>
      <c r="I5" s="520"/>
      <c r="J5" s="520"/>
      <c r="K5" s="520"/>
      <c r="L5" s="376"/>
      <c r="N5" s="107" t="s">
        <v>42</v>
      </c>
      <c r="O5" s="106">
        <v>2.5</v>
      </c>
    </row>
    <row r="6" spans="1:15" s="105" customFormat="1" ht="31.5" customHeight="1" x14ac:dyDescent="0.25">
      <c r="A6" s="519" t="s">
        <v>30</v>
      </c>
      <c r="B6" s="519"/>
      <c r="C6" s="37" t="s">
        <v>309</v>
      </c>
      <c r="D6" s="48" t="s">
        <v>5</v>
      </c>
      <c r="E6" s="118">
        <f>IF(D6=$N$6,1,IF(D6=$N$5,2,IF(D6=$N$4,3,IF(D6=$N$3,4,"n/a"))))</f>
        <v>3</v>
      </c>
      <c r="F6" s="520" t="s">
        <v>307</v>
      </c>
      <c r="G6" s="520"/>
      <c r="H6" s="520"/>
      <c r="I6" s="520"/>
      <c r="J6" s="520"/>
      <c r="K6" s="520"/>
      <c r="L6" s="376"/>
      <c r="N6" s="107" t="s">
        <v>79</v>
      </c>
      <c r="O6" s="106">
        <v>1.5</v>
      </c>
    </row>
    <row r="7" spans="1:15" s="105" customFormat="1" ht="28.5" customHeight="1" x14ac:dyDescent="0.25">
      <c r="A7" s="519" t="s">
        <v>188</v>
      </c>
      <c r="B7" s="519"/>
      <c r="C7" s="37" t="s">
        <v>238</v>
      </c>
      <c r="D7" s="48" t="s">
        <v>42</v>
      </c>
      <c r="E7" s="118">
        <f>IF(D7=$N$6,1,IF(D7=$N$5,2,IF(D7=$N$4,3,IF(D7=$N$3,4,"n/a"))))</f>
        <v>2</v>
      </c>
      <c r="F7" s="520" t="s">
        <v>310</v>
      </c>
      <c r="G7" s="520"/>
      <c r="H7" s="520"/>
      <c r="I7" s="520"/>
      <c r="J7" s="520"/>
      <c r="K7" s="520"/>
      <c r="L7" s="376"/>
      <c r="N7" s="16" t="s">
        <v>19</v>
      </c>
    </row>
    <row r="8" spans="1:15" s="105" customFormat="1" ht="30" customHeight="1" x14ac:dyDescent="0.25">
      <c r="A8" s="519" t="s">
        <v>40</v>
      </c>
      <c r="B8" s="519"/>
      <c r="C8" s="37" t="s">
        <v>239</v>
      </c>
      <c r="D8" s="48" t="s">
        <v>42</v>
      </c>
      <c r="E8" s="118">
        <f>IF(D8=$N$6,1,IF(D8=$N$5,2,IF(D8=$N$4,3,IF(D8=$N$3,4,"n/a"))))</f>
        <v>2</v>
      </c>
      <c r="F8" s="520" t="s">
        <v>311</v>
      </c>
      <c r="G8" s="520"/>
      <c r="H8" s="520"/>
      <c r="I8" s="520"/>
      <c r="J8" s="520"/>
      <c r="K8" s="520"/>
      <c r="L8" s="376"/>
      <c r="N8" s="107"/>
    </row>
    <row r="9" spans="1:15" s="105" customFormat="1" ht="45.75" customHeight="1" thickBot="1" x14ac:dyDescent="0.3">
      <c r="A9" s="521" t="s">
        <v>59</v>
      </c>
      <c r="B9" s="521"/>
      <c r="C9" s="179" t="s">
        <v>226</v>
      </c>
      <c r="D9" s="167" t="s">
        <v>5</v>
      </c>
      <c r="E9" s="175">
        <f>IF(D9=$N$6,1,IF(D9=$N$5,2,IF(D9=$N$4,3,IF(D9=$N$3,4,"n/a"))))</f>
        <v>3</v>
      </c>
      <c r="F9" s="576" t="s">
        <v>312</v>
      </c>
      <c r="G9" s="577"/>
      <c r="H9" s="576"/>
      <c r="I9" s="576"/>
      <c r="J9" s="576"/>
      <c r="K9" s="576"/>
      <c r="L9" s="376"/>
      <c r="N9" s="119"/>
    </row>
    <row r="10" spans="1:15" s="105" customFormat="1" ht="28.5" customHeight="1" thickBot="1" x14ac:dyDescent="0.3">
      <c r="A10" s="548"/>
      <c r="B10" s="549"/>
      <c r="C10" s="183" t="s">
        <v>24</v>
      </c>
      <c r="D10" s="90" t="str">
        <f>IF(E10&lt;1.5,$N$6,IF(E10&lt;2.5,$N$5,IF(E10&lt;3.5,$N$4,IF(E10&lt;4.5,$N$3,"n/a"))))</f>
        <v>Moderate/Low</v>
      </c>
      <c r="E10" s="250">
        <f>IF(COUNT(E5:E9)=0,"n/a",AVERAGE(E5:E9))</f>
        <v>2.4</v>
      </c>
      <c r="F10" s="49">
        <f>E10</f>
        <v>2.4</v>
      </c>
      <c r="G10" s="216"/>
      <c r="H10" s="50" t="s">
        <v>23</v>
      </c>
      <c r="I10" s="26" t="str">
        <f>D10</f>
        <v>Moderate/Low</v>
      </c>
      <c r="J10" s="91">
        <f>IF(I10=$N$7,"n/a",IF(AND(I10=$N$5,D10=$N$6),1.5,IF(AND(I10=$N$4,D10=$N$5),2.5,IF(AND(I10=$N$3,D10=$N$4),3.5,IF(AND(I10=$N$6,D10=$N$5),1.49,IF(AND(I10=$N$5,D10=$N$4),2.49,IF(AND(I10=$N$4,D10=$N$3),3.49,E10)))))))</f>
        <v>2.4</v>
      </c>
      <c r="K10" s="412" t="s">
        <v>259</v>
      </c>
      <c r="L10" s="377"/>
      <c r="N10" s="16"/>
    </row>
    <row r="11" spans="1:15" s="105" customFormat="1" ht="20.25" customHeight="1" thickBot="1" x14ac:dyDescent="0.3">
      <c r="A11" s="121" t="s">
        <v>28</v>
      </c>
      <c r="B11" s="122"/>
      <c r="C11" s="180"/>
      <c r="D11" s="123"/>
      <c r="E11" s="123"/>
      <c r="F11" s="123"/>
      <c r="G11" s="123"/>
      <c r="H11" s="123"/>
      <c r="I11" s="123"/>
      <c r="J11" s="123"/>
      <c r="K11" s="123"/>
      <c r="L11" s="376"/>
      <c r="N11" s="16"/>
    </row>
    <row r="12" spans="1:15" ht="45.75" customHeight="1" x14ac:dyDescent="0.25">
      <c r="A12" s="519" t="s">
        <v>189</v>
      </c>
      <c r="B12" s="519"/>
      <c r="C12" s="37" t="s">
        <v>282</v>
      </c>
      <c r="D12" s="166" t="s">
        <v>4</v>
      </c>
      <c r="E12" s="177">
        <f>IF(D12=$N$6,1,IF(D12=$N$5,2,IF(D12=$N$4,3,IF(D12=$N$3,4,"n/a"))))</f>
        <v>4</v>
      </c>
      <c r="F12" s="547" t="s">
        <v>313</v>
      </c>
      <c r="G12" s="547"/>
      <c r="H12" s="547"/>
      <c r="I12" s="547"/>
      <c r="J12" s="547"/>
      <c r="K12" s="547"/>
      <c r="L12" s="378" t="s">
        <v>96</v>
      </c>
      <c r="N12" s="16"/>
    </row>
    <row r="13" spans="1:15" ht="43.5" customHeight="1" thickBot="1" x14ac:dyDescent="0.3">
      <c r="A13" s="553" t="s">
        <v>190</v>
      </c>
      <c r="B13" s="553"/>
      <c r="C13" s="184" t="s">
        <v>314</v>
      </c>
      <c r="D13" s="182" t="s">
        <v>5</v>
      </c>
      <c r="E13" s="178">
        <f>IF(D13=$N$6,1,IF(D13=$N$5,2,IF(D13=$N$4,3,IF(D13=$N$3,4,"n/a"))))</f>
        <v>3</v>
      </c>
      <c r="F13" s="560" t="s">
        <v>315</v>
      </c>
      <c r="G13" s="554"/>
      <c r="H13" s="554"/>
      <c r="I13" s="554"/>
      <c r="J13" s="554"/>
      <c r="K13" s="538"/>
      <c r="L13" s="378" t="s">
        <v>96</v>
      </c>
    </row>
    <row r="14" spans="1:15" s="108" customFormat="1" ht="28.5" customHeight="1" thickBot="1" x14ac:dyDescent="0.3">
      <c r="A14" s="548"/>
      <c r="B14" s="550"/>
      <c r="C14" s="183" t="s">
        <v>24</v>
      </c>
      <c r="D14" s="27" t="str">
        <f>IF(E14&lt;1.5,$N$6,IF(E14&lt;2.5,$N$5,IF(E14&lt;3.5,$N$4,IF(E14&lt;4.5,$N$3,"n/a"))))</f>
        <v>High</v>
      </c>
      <c r="E14" s="145">
        <f>IF(COUNT(E12:E13)=0,"n/a",AVERAGE(E12:E13))</f>
        <v>3.5</v>
      </c>
      <c r="F14" s="28">
        <f>E14</f>
        <v>3.5</v>
      </c>
      <c r="G14" s="216"/>
      <c r="H14" s="29" t="s">
        <v>23</v>
      </c>
      <c r="I14" s="26" t="str">
        <f>D14</f>
        <v>High</v>
      </c>
      <c r="J14" s="30">
        <f>IF(I14=$N$7,"n/a",IF(AND(I14=$N$5,D14=$N$6),1.5,IF(AND(I14=$N$4,D14=$N$5),2.5,IF(AND(I14=$N$3,D14=$N$4),3.5,IF(AND(I14=$N$6,D14=$N$5),1.49,IF(AND(I14=$N$5,D14=$N$4),2.49,IF(AND(I14=$N$4,D14=$N$3),3.49,E14)))))))</f>
        <v>3.5</v>
      </c>
      <c r="K14" s="413" t="s">
        <v>261</v>
      </c>
      <c r="L14" s="379"/>
      <c r="N14" s="16"/>
    </row>
    <row r="15" spans="1:15" ht="21.75" customHeight="1" x14ac:dyDescent="0.25">
      <c r="A15" s="397" t="s">
        <v>31</v>
      </c>
      <c r="B15" s="121"/>
      <c r="C15" s="121"/>
      <c r="D15" s="121"/>
      <c r="E15" s="121"/>
      <c r="F15" s="121"/>
      <c r="G15" s="121"/>
      <c r="H15" s="121"/>
      <c r="I15" s="121"/>
      <c r="J15" s="121"/>
      <c r="K15" s="121"/>
      <c r="L15" s="380"/>
      <c r="N15" s="16"/>
    </row>
    <row r="16" spans="1:15" ht="46.5" customHeight="1" thickBot="1" x14ac:dyDescent="0.3">
      <c r="A16" s="521" t="s">
        <v>191</v>
      </c>
      <c r="B16" s="521"/>
      <c r="C16" s="184" t="s">
        <v>283</v>
      </c>
      <c r="D16" s="167" t="s">
        <v>42</v>
      </c>
      <c r="E16" s="171">
        <f>IF(D16=$N$6,1,IF(D16=$N$5,2,IF(D16=$N$4,3,IF(D16=$N$3,4,"n/a"))))</f>
        <v>2</v>
      </c>
      <c r="F16" s="536" t="s">
        <v>316</v>
      </c>
      <c r="G16" s="554"/>
      <c r="H16" s="537"/>
      <c r="I16" s="537"/>
      <c r="J16" s="554"/>
      <c r="K16" s="538"/>
      <c r="L16" s="380"/>
    </row>
    <row r="17" spans="1:14" s="105" customFormat="1" ht="24.75" customHeight="1" thickBot="1" x14ac:dyDescent="0.3">
      <c r="A17" s="558"/>
      <c r="B17" s="559"/>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413" t="s">
        <v>260</v>
      </c>
      <c r="L17" s="376"/>
      <c r="N17" s="107"/>
    </row>
    <row r="18" spans="1:14" s="124" customFormat="1" ht="21" customHeight="1" x14ac:dyDescent="0.25">
      <c r="A18" s="121" t="s">
        <v>69</v>
      </c>
      <c r="B18" s="121"/>
      <c r="C18" s="121"/>
      <c r="D18" s="121"/>
      <c r="E18" s="121"/>
      <c r="F18" s="121"/>
      <c r="G18" s="121"/>
      <c r="H18" s="121"/>
      <c r="I18" s="121"/>
      <c r="J18" s="121"/>
      <c r="K18" s="121"/>
      <c r="L18" s="380"/>
      <c r="N18" s="16"/>
    </row>
    <row r="19" spans="1:14" s="124" customFormat="1" ht="32.25" customHeight="1" x14ac:dyDescent="0.25">
      <c r="A19" s="519" t="s">
        <v>73</v>
      </c>
      <c r="B19" s="519"/>
      <c r="C19" s="37" t="s">
        <v>284</v>
      </c>
      <c r="D19" s="48" t="s">
        <v>42</v>
      </c>
      <c r="E19" s="163">
        <f>IF(D19=$N$6,1,IF(D19=$N$5,2,IF(D19=$N$4,3,IF(D19=$N$3,4,"n/a"))))</f>
        <v>2</v>
      </c>
      <c r="F19" s="536" t="s">
        <v>317</v>
      </c>
      <c r="G19" s="537"/>
      <c r="H19" s="537"/>
      <c r="I19" s="537"/>
      <c r="J19" s="537"/>
      <c r="K19" s="538"/>
      <c r="L19" s="378" t="s">
        <v>96</v>
      </c>
      <c r="N19" s="16"/>
    </row>
    <row r="20" spans="1:14" s="124" customFormat="1" ht="33" customHeight="1" thickBot="1" x14ac:dyDescent="0.3">
      <c r="A20" s="553" t="s">
        <v>70</v>
      </c>
      <c r="B20" s="553"/>
      <c r="C20" s="184" t="s">
        <v>240</v>
      </c>
      <c r="D20" s="176" t="s">
        <v>79</v>
      </c>
      <c r="E20" s="175">
        <f>IF(D20=$N$6,1,IF(D20=$N$5,2,IF(D20=$N$4,3,IF(D20=$N$3,4,"n/a"))))</f>
        <v>1</v>
      </c>
      <c r="F20" s="522" t="s">
        <v>318</v>
      </c>
      <c r="G20" s="554"/>
      <c r="H20" s="523"/>
      <c r="I20" s="523"/>
      <c r="J20" s="523"/>
      <c r="K20" s="524"/>
      <c r="L20" s="381"/>
      <c r="N20" s="16"/>
    </row>
    <row r="21" spans="1:14" s="105" customFormat="1" ht="29.25" customHeight="1" thickBot="1" x14ac:dyDescent="0.3">
      <c r="A21" s="548"/>
      <c r="B21" s="550"/>
      <c r="C21" s="183" t="s">
        <v>24</v>
      </c>
      <c r="D21" s="27" t="str">
        <f>IF(E21&lt;1.5,$N$6,IF(E21&lt;2.5,$N$5,IF(E21&lt;3.5,$N$4,IF(E21&lt;4.5,$N$3,"n/a"))))</f>
        <v>Moderate/Low</v>
      </c>
      <c r="E21" s="145">
        <f>IF(COUNT(E19:E20)=0,"n/a",AVERAGE(E19:E20))</f>
        <v>1.5</v>
      </c>
      <c r="F21" s="28">
        <f>E21</f>
        <v>1.5</v>
      </c>
      <c r="G21" s="216"/>
      <c r="H21" s="29" t="s">
        <v>23</v>
      </c>
      <c r="I21" s="26" t="str">
        <f>D21</f>
        <v>Moderate/Low</v>
      </c>
      <c r="J21" s="91">
        <f>IF(I21=$N$7,"n/a",IF(AND(I21=$N$5,D21=$N$6),1.5,IF(AND(I21=$N$4,D21=$N$5),2.5,IF(AND(I21=$N$3,D21=$N$4),3.5,IF(AND(I21=$N$6,D21=$N$5),1.49,IF(AND(I21=$N$5,D21=$N$4),2.49,IF(AND(I21=$N$4,D21=$N$3),3.49,E21)))))))</f>
        <v>1.5</v>
      </c>
      <c r="K21" s="89" t="s">
        <v>91</v>
      </c>
      <c r="L21" s="382"/>
    </row>
    <row r="22" spans="1:14" s="105" customFormat="1" ht="22.5" customHeight="1" thickBot="1" x14ac:dyDescent="0.3">
      <c r="A22" s="125" t="s">
        <v>216</v>
      </c>
      <c r="B22" s="126"/>
      <c r="C22" s="126"/>
      <c r="D22" s="127"/>
      <c r="E22" s="127"/>
      <c r="F22" s="127"/>
      <c r="G22" s="127"/>
      <c r="H22" s="127"/>
      <c r="I22" s="127"/>
      <c r="J22" s="127"/>
      <c r="K22" s="127"/>
      <c r="L22" s="376"/>
    </row>
    <row r="23" spans="1:14" ht="21.75" customHeight="1" thickBot="1" x14ac:dyDescent="0.3">
      <c r="A23" s="128" t="s">
        <v>44</v>
      </c>
      <c r="B23" s="129"/>
      <c r="C23" s="129"/>
      <c r="D23" s="129"/>
      <c r="E23" s="129"/>
      <c r="F23" s="129"/>
      <c r="G23" s="129"/>
      <c r="H23" s="129"/>
      <c r="I23" s="129"/>
      <c r="J23" s="129"/>
      <c r="K23" s="129"/>
      <c r="L23" s="378" t="s">
        <v>96</v>
      </c>
    </row>
    <row r="24" spans="1:14" ht="54" customHeight="1" x14ac:dyDescent="0.25">
      <c r="A24" s="545" t="s">
        <v>45</v>
      </c>
      <c r="B24" s="546"/>
      <c r="C24" s="173" t="s">
        <v>256</v>
      </c>
      <c r="D24" s="164" t="s">
        <v>19</v>
      </c>
      <c r="E24" s="174" t="str">
        <f>IF(D24=$N$6,1,IF(D24=$N$5,2,IF(D24=$N$4,3,IF(D24=$N$3,4,"n/a"))))</f>
        <v>n/a</v>
      </c>
      <c r="F24" s="547" t="s">
        <v>319</v>
      </c>
      <c r="G24" s="547"/>
      <c r="H24" s="547"/>
      <c r="I24" s="547"/>
      <c r="J24" s="547"/>
      <c r="K24" s="547"/>
      <c r="L24" s="378" t="s">
        <v>96</v>
      </c>
    </row>
    <row r="25" spans="1:14" ht="73.5" customHeight="1" thickBot="1" x14ac:dyDescent="0.3">
      <c r="A25" s="556" t="s">
        <v>62</v>
      </c>
      <c r="B25" s="557"/>
      <c r="C25" s="185" t="s">
        <v>241</v>
      </c>
      <c r="D25" s="165" t="s">
        <v>42</v>
      </c>
      <c r="E25" s="175">
        <f>IF(D25=$N$6,1,IF(D25=$N$5,2,IF(D25=$N$4,3,IF(D25=$N$3,4,"n/a"))))</f>
        <v>2</v>
      </c>
      <c r="F25" s="522" t="s">
        <v>320</v>
      </c>
      <c r="G25" s="523"/>
      <c r="H25" s="523"/>
      <c r="I25" s="523"/>
      <c r="J25" s="523"/>
      <c r="K25" s="524"/>
      <c r="L25" s="380"/>
    </row>
    <row r="26" spans="1:14" ht="35.25" customHeight="1" thickBot="1" x14ac:dyDescent="0.3">
      <c r="A26" s="581"/>
      <c r="B26" s="582"/>
      <c r="C26" s="40" t="s">
        <v>24</v>
      </c>
      <c r="D26" s="27" t="str">
        <f>IF(E26&lt;1.5,"Low",IF(E26&lt;2.5,"Moderate",IF(E26&lt;3.5,"Substantial",IF(E26&lt;4.5,"High","n/a"))))</f>
        <v>Moderate</v>
      </c>
      <c r="E26" s="145">
        <f>IF(COUNT(E24:E25)=0,"n/a",AVERAGE(E24:E25))</f>
        <v>2</v>
      </c>
      <c r="F26" s="49">
        <f>E26</f>
        <v>2</v>
      </c>
      <c r="G26" s="216"/>
      <c r="H26" s="50" t="s">
        <v>23</v>
      </c>
      <c r="I26" s="26" t="str">
        <f>D26</f>
        <v>Moderate</v>
      </c>
      <c r="J26" s="91">
        <f>IF(I26=$N$7,"n/a",IF(AND(I26=$N$5,D26=$N$6),1.5,IF(AND(I26=$N$4,D26=$N$5),2.5,IF(AND(I26=$N$3,D26=$N$4),3.5,IF(AND(I26=$N$6,D26=$N$5),1.49,IF(AND(I26=$N$5,D26=$N$4),2.49,IF(AND(I26=$N$4,D26=$N$3),3.49,E26)))))))</f>
        <v>2</v>
      </c>
      <c r="K26" s="326" t="s">
        <v>91</v>
      </c>
      <c r="L26" s="380"/>
    </row>
    <row r="27" spans="1:14" ht="20.25" customHeight="1" thickBot="1" x14ac:dyDescent="0.3">
      <c r="A27" s="130" t="s">
        <v>48</v>
      </c>
      <c r="B27" s="131"/>
      <c r="C27" s="132"/>
      <c r="D27" s="133"/>
      <c r="E27" s="133"/>
      <c r="F27" s="133"/>
      <c r="G27" s="133"/>
      <c r="H27" s="133"/>
      <c r="I27" s="133"/>
      <c r="J27" s="133"/>
      <c r="K27" s="133"/>
      <c r="L27" s="380"/>
    </row>
    <row r="28" spans="1:14" ht="30.75" customHeight="1" x14ac:dyDescent="0.25">
      <c r="A28" s="568" t="s">
        <v>65</v>
      </c>
      <c r="B28" s="552"/>
      <c r="C28" s="41" t="s">
        <v>242</v>
      </c>
      <c r="D28" s="166" t="s">
        <v>19</v>
      </c>
      <c r="E28" s="177" t="str">
        <f>IF(D28=$N$6,1,IF(D28=$N$5,2,IF(D28=$N$4,3,IF(D28=$N$3,4,"n/a"))))</f>
        <v>n/a</v>
      </c>
      <c r="F28" s="569" t="s">
        <v>321</v>
      </c>
      <c r="G28" s="570"/>
      <c r="H28" s="570"/>
      <c r="I28" s="570"/>
      <c r="J28" s="570"/>
      <c r="K28" s="571"/>
      <c r="L28" s="380"/>
    </row>
    <row r="29" spans="1:14" ht="50.25" customHeight="1" x14ac:dyDescent="0.25">
      <c r="A29" s="568" t="s">
        <v>46</v>
      </c>
      <c r="B29" s="552"/>
      <c r="C29" s="41" t="s">
        <v>285</v>
      </c>
      <c r="D29" s="48" t="s">
        <v>5</v>
      </c>
      <c r="E29" s="163">
        <f>IF(D29=$N$6,1,IF(D29=$N$5,2,IF(D29=$N$4,3,IF(D29=$N$3,4,"n/a"))))</f>
        <v>3</v>
      </c>
      <c r="F29" s="536" t="s">
        <v>322</v>
      </c>
      <c r="G29" s="537"/>
      <c r="H29" s="537"/>
      <c r="I29" s="537"/>
      <c r="J29" s="537"/>
      <c r="K29" s="538"/>
      <c r="L29" s="380"/>
    </row>
    <row r="30" spans="1:14" s="134" customFormat="1" ht="56.25" customHeight="1" x14ac:dyDescent="0.25">
      <c r="A30" s="568" t="s">
        <v>60</v>
      </c>
      <c r="B30" s="552"/>
      <c r="C30" s="41" t="s">
        <v>286</v>
      </c>
      <c r="D30" s="48" t="s">
        <v>42</v>
      </c>
      <c r="E30" s="163">
        <f>IF(D30=$N$6,1,IF(D30=$N$5,2,IF(D30=$N$4,3,IF(D30=$N$3,4,"n/a"))))</f>
        <v>2</v>
      </c>
      <c r="F30" s="555" t="s">
        <v>323</v>
      </c>
      <c r="G30" s="555"/>
      <c r="H30" s="555"/>
      <c r="I30" s="555"/>
      <c r="J30" s="555"/>
      <c r="K30" s="555"/>
      <c r="L30" s="376"/>
    </row>
    <row r="31" spans="1:14" s="105" customFormat="1" ht="36" customHeight="1" thickBot="1" x14ac:dyDescent="0.3">
      <c r="A31" s="586" t="s">
        <v>61</v>
      </c>
      <c r="B31" s="587"/>
      <c r="C31" s="185" t="s">
        <v>242</v>
      </c>
      <c r="D31" s="167" t="s">
        <v>79</v>
      </c>
      <c r="E31" s="172">
        <f>IF(D31=$N$6,1,IF(D31=$N$5,2,IF(D31=$N$4,3,IF(D31=$N$3,4,"n/a"))))</f>
        <v>1</v>
      </c>
      <c r="F31" s="560" t="s">
        <v>324</v>
      </c>
      <c r="G31" s="554"/>
      <c r="H31" s="554"/>
      <c r="I31" s="554"/>
      <c r="J31" s="554"/>
      <c r="K31" s="561"/>
      <c r="L31" s="378" t="s">
        <v>96</v>
      </c>
    </row>
    <row r="32" spans="1:14" s="105" customFormat="1" ht="25.5" customHeight="1" thickBot="1" x14ac:dyDescent="0.3">
      <c r="A32" s="188"/>
      <c r="B32" s="189"/>
      <c r="C32" s="40" t="s">
        <v>24</v>
      </c>
      <c r="D32" s="27" t="str">
        <f>IF(E32&lt;1.5,"Low",IF(E32&lt;2.5,"Moderate",IF(E32&lt;3.5,"Substantial",IF(E32&lt;4.5,"High","n/a"))))</f>
        <v>Moderate</v>
      </c>
      <c r="E32" s="145">
        <f>IF(COUNT(E28:E31)=0,"n/a",AVERAGE(E28:E31))</f>
        <v>2</v>
      </c>
      <c r="F32" s="28">
        <f>E32</f>
        <v>2</v>
      </c>
      <c r="G32" s="216"/>
      <c r="H32" s="29" t="s">
        <v>23</v>
      </c>
      <c r="I32" s="26" t="str">
        <f>D32</f>
        <v>Moderate</v>
      </c>
      <c r="J32" s="30">
        <f>IF(I32=$N$7,"n/a",IF(AND(I32=$N$5,D32=$N$6),1.5,IF(AND(I32=$N$4,D32=$N$5),2.5,IF(AND(I32=$N$3,D32=$N$4),3.5,IF(AND(I32=$N$6,D32=$N$5),1.49,IF(AND(I32=$N$5,D32=$N$4),2.49,IF(AND(I32=$N$4,D32=$N$3),3.49,E32)))))))</f>
        <v>2</v>
      </c>
      <c r="K32" s="181" t="s">
        <v>91</v>
      </c>
      <c r="L32" s="376"/>
    </row>
    <row r="33" spans="1:12" s="105" customFormat="1" ht="25.5" customHeight="1" thickBot="1" x14ac:dyDescent="0.3">
      <c r="A33" s="186" t="s">
        <v>49</v>
      </c>
      <c r="B33" s="187"/>
      <c r="C33" s="187"/>
      <c r="D33" s="187"/>
      <c r="E33" s="187"/>
      <c r="F33" s="187"/>
      <c r="G33" s="187"/>
      <c r="H33" s="187"/>
      <c r="I33" s="187"/>
      <c r="J33" s="187"/>
      <c r="K33" s="187"/>
      <c r="L33" s="376"/>
    </row>
    <row r="34" spans="1:12" s="105" customFormat="1" ht="45.75" customHeight="1" x14ac:dyDescent="0.25">
      <c r="A34" s="541" t="s">
        <v>50</v>
      </c>
      <c r="B34" s="542"/>
      <c r="C34" s="47" t="s">
        <v>253</v>
      </c>
      <c r="D34" s="48" t="s">
        <v>5</v>
      </c>
      <c r="E34" s="118">
        <f>IF(D34=$N$6,1,IF(D34=$N$5,2,IF(D34=$N$4,3,IF(D34=$N$3,4,"n/a"))))</f>
        <v>3</v>
      </c>
      <c r="F34" s="547" t="s">
        <v>325</v>
      </c>
      <c r="G34" s="547"/>
      <c r="H34" s="547"/>
      <c r="I34" s="547"/>
      <c r="J34" s="547"/>
      <c r="K34" s="547"/>
      <c r="L34" s="378" t="s">
        <v>96</v>
      </c>
    </row>
    <row r="35" spans="1:12" s="105" customFormat="1" ht="33" customHeight="1" x14ac:dyDescent="0.25">
      <c r="A35" s="551" t="s">
        <v>51</v>
      </c>
      <c r="B35" s="552"/>
      <c r="C35" s="47" t="s">
        <v>287</v>
      </c>
      <c r="D35" s="168" t="s">
        <v>42</v>
      </c>
      <c r="E35" s="118">
        <f>IF(D35=$N$6,1,IF(D35=$N$5,2,IF(D35=$N$4,3,IF(D35=$N$3,4,"n/a"))))</f>
        <v>2</v>
      </c>
      <c r="F35" s="536" t="s">
        <v>326</v>
      </c>
      <c r="G35" s="537"/>
      <c r="H35" s="537"/>
      <c r="I35" s="537"/>
      <c r="J35" s="537"/>
      <c r="K35" s="538"/>
      <c r="L35" s="376"/>
    </row>
    <row r="36" spans="1:12" s="105" customFormat="1" ht="60.75" customHeight="1" x14ac:dyDescent="0.25">
      <c r="A36" s="541" t="s">
        <v>67</v>
      </c>
      <c r="B36" s="542"/>
      <c r="C36" s="47" t="s">
        <v>254</v>
      </c>
      <c r="D36" s="168" t="s">
        <v>5</v>
      </c>
      <c r="E36" s="118">
        <f>IF(D36=$N$6,1,IF(D36=$N$5,2,IF(D36=$N$4,3,IF(D36=$N$3,4,"n/a"))))</f>
        <v>3</v>
      </c>
      <c r="F36" s="536" t="s">
        <v>327</v>
      </c>
      <c r="G36" s="537"/>
      <c r="H36" s="537"/>
      <c r="I36" s="537"/>
      <c r="J36" s="537"/>
      <c r="K36" s="538"/>
      <c r="L36" s="376"/>
    </row>
    <row r="37" spans="1:12" s="105" customFormat="1" ht="60.75" customHeight="1" thickBot="1" x14ac:dyDescent="0.3">
      <c r="A37" s="572" t="s">
        <v>68</v>
      </c>
      <c r="B37" s="573"/>
      <c r="C37" s="190" t="s">
        <v>255</v>
      </c>
      <c r="D37" s="167" t="s">
        <v>5</v>
      </c>
      <c r="E37" s="171">
        <f>IF(D37=$N$6,1,IF(D37=$N$5,2,IF(D37=$N$4,3,IF(D37=$N$3,4,"n/a"))))</f>
        <v>3</v>
      </c>
      <c r="F37" s="574" t="s">
        <v>328</v>
      </c>
      <c r="G37" s="555"/>
      <c r="H37" s="555"/>
      <c r="I37" s="555"/>
      <c r="J37" s="555"/>
      <c r="K37" s="575"/>
      <c r="L37" s="376"/>
    </row>
    <row r="38" spans="1:12" s="105" customFormat="1" ht="25.5" customHeight="1" thickBot="1" x14ac:dyDescent="0.3">
      <c r="A38" s="42"/>
      <c r="B38" s="43"/>
      <c r="C38" s="44" t="s">
        <v>24</v>
      </c>
      <c r="D38" s="27" t="str">
        <f>IF(E38&lt;1.5,"Low",IF(E38&lt;2.5,"Moderate",IF(E38&lt;3.5,"Substantial",IF(E38&lt;4.5,"High","n/a"))))</f>
        <v>Substantial</v>
      </c>
      <c r="E38" s="145">
        <f>IF(COUNT(E34:E37)=0,"n/a",AVERAGE(E34:E37))</f>
        <v>2.75</v>
      </c>
      <c r="F38" s="28">
        <f>E38</f>
        <v>2.75</v>
      </c>
      <c r="G38" s="216"/>
      <c r="H38" s="29" t="s">
        <v>23</v>
      </c>
      <c r="I38" s="26" t="str">
        <f>D38</f>
        <v>Substantial</v>
      </c>
      <c r="J38" s="30">
        <f>IF(I38=$N$7,"n/a",IF(AND(I38=$N$5,D38=$N$6),1.5,IF(AND(I38=$N$4,D38=$N$5),2.5,IF(AND(I38=$N$3,D38=$N$4),3.5,IF(AND(I38=$N$6,D38=$N$5),1.49,IF(AND(I38=$N$5,D38=$N$4),2.49,IF(AND(I38=$N$4,D38=$N$3),3.49,E38)))))))</f>
        <v>2.75</v>
      </c>
      <c r="K38" s="181" t="s">
        <v>91</v>
      </c>
      <c r="L38" s="376"/>
    </row>
    <row r="39" spans="1:12" s="124" customFormat="1" ht="22.5" customHeight="1" thickBot="1" x14ac:dyDescent="0.3">
      <c r="A39" s="31" t="s">
        <v>217</v>
      </c>
      <c r="B39" s="32"/>
      <c r="C39" s="33"/>
      <c r="D39" s="35"/>
      <c r="E39" s="35"/>
      <c r="F39" s="34"/>
      <c r="G39" s="135"/>
      <c r="H39" s="35"/>
      <c r="I39" s="35"/>
      <c r="J39" s="34"/>
      <c r="K39" s="136"/>
      <c r="L39" s="380"/>
    </row>
    <row r="40" spans="1:12" s="124" customFormat="1" ht="22.5" customHeight="1" x14ac:dyDescent="0.25">
      <c r="A40" s="137" t="s">
        <v>33</v>
      </c>
      <c r="B40" s="138"/>
      <c r="C40" s="138"/>
      <c r="D40" s="138"/>
      <c r="E40" s="138"/>
      <c r="F40" s="138"/>
      <c r="G40" s="138"/>
      <c r="H40" s="138"/>
      <c r="I40" s="138"/>
      <c r="J40" s="138"/>
      <c r="K40" s="138"/>
      <c r="L40" s="380"/>
    </row>
    <row r="41" spans="1:12" s="105" customFormat="1" ht="33.75" customHeight="1" x14ac:dyDescent="0.25">
      <c r="A41" s="532" t="s">
        <v>41</v>
      </c>
      <c r="B41" s="532"/>
      <c r="C41" s="38" t="s">
        <v>245</v>
      </c>
      <c r="D41" s="48" t="s">
        <v>42</v>
      </c>
      <c r="E41" s="163">
        <f>IF(D41=$N$6,1,IF(D41=$N$5,2,IF(D41=$N$4,3,IF(D41=$N$3,4,"n/a"))))</f>
        <v>2</v>
      </c>
      <c r="F41" s="554" t="s">
        <v>329</v>
      </c>
      <c r="G41" s="554"/>
      <c r="H41" s="554"/>
      <c r="I41" s="554"/>
      <c r="J41" s="554"/>
      <c r="K41" s="554"/>
      <c r="L41" s="378" t="s">
        <v>96</v>
      </c>
    </row>
    <row r="42" spans="1:12" s="105" customFormat="1" ht="44.25" customHeight="1" thickBot="1" x14ac:dyDescent="0.3">
      <c r="A42" s="563" t="s">
        <v>139</v>
      </c>
      <c r="B42" s="564"/>
      <c r="C42" s="191" t="s">
        <v>288</v>
      </c>
      <c r="D42" s="48" t="s">
        <v>5</v>
      </c>
      <c r="E42" s="163">
        <f>IF(D42=$N$6,1,IF(D42=$N$5,2,IF(D42=$N$4,3,IF(D42=$N$3,4,"n/a"))))</f>
        <v>3</v>
      </c>
      <c r="F42" s="554" t="s">
        <v>330</v>
      </c>
      <c r="G42" s="554"/>
      <c r="H42" s="554"/>
      <c r="I42" s="554"/>
      <c r="J42" s="554"/>
      <c r="K42" s="561"/>
      <c r="L42" s="376"/>
    </row>
    <row r="43" spans="1:12" s="124" customFormat="1" ht="30" customHeight="1" thickBot="1" x14ac:dyDescent="0.3">
      <c r="A43" s="562"/>
      <c r="B43" s="534"/>
      <c r="C43" s="36" t="s">
        <v>24</v>
      </c>
      <c r="D43" s="27" t="str">
        <f>IF(E43&lt;1.5,"Low",IF(E43&lt;2.5,"Moderate",IF(E43&lt;3.5,"Substantial",IF(E43&lt;4.5,"High","n/a"))))</f>
        <v>Substantial</v>
      </c>
      <c r="E43" s="145">
        <f>IF(COUNT(E41:E42)=0,"n/a",AVERAGE(E41:E42))</f>
        <v>2.5</v>
      </c>
      <c r="F43" s="28">
        <f>E43</f>
        <v>2.5</v>
      </c>
      <c r="G43" s="216"/>
      <c r="H43" s="29" t="s">
        <v>23</v>
      </c>
      <c r="I43" s="26" t="str">
        <f>D43</f>
        <v>Substantial</v>
      </c>
      <c r="J43" s="30">
        <f>IF(I43=$N$7,"n/a",IF(AND(I43=$N$5,D43=$N$6),1.5,IF(AND(I43=$N$4,D43=$N$5),2.5,IF(AND(I43=$N$3,D43=$N$4),3.5,IF(AND(I43=$N$6,D43=$N$5),1.49,IF(AND(I43=$N$5,D43=$N$4),2.49,IF(AND(I43=$N$4,D43=$N$3),3.49,E43)))))))</f>
        <v>2.5</v>
      </c>
      <c r="K43" s="192" t="s">
        <v>91</v>
      </c>
      <c r="L43" s="383"/>
    </row>
    <row r="44" spans="1:12" s="124" customFormat="1" ht="18" customHeight="1" thickBot="1" x14ac:dyDescent="0.3">
      <c r="A44" s="139" t="s">
        <v>34</v>
      </c>
      <c r="B44" s="140"/>
      <c r="C44" s="140"/>
      <c r="D44" s="141"/>
      <c r="E44" s="141"/>
      <c r="F44" s="141"/>
      <c r="G44" s="141"/>
      <c r="H44" s="141"/>
      <c r="I44" s="141"/>
      <c r="J44" s="141"/>
      <c r="K44" s="141"/>
      <c r="L44" s="380"/>
    </row>
    <row r="45" spans="1:12" s="105" customFormat="1" ht="30.75" customHeight="1" x14ac:dyDescent="0.25">
      <c r="A45" s="532" t="s">
        <v>140</v>
      </c>
      <c r="B45" s="533"/>
      <c r="C45" s="38" t="s">
        <v>243</v>
      </c>
      <c r="D45" s="48" t="s">
        <v>42</v>
      </c>
      <c r="E45" s="163">
        <f>IF(D45=$N$6,1,IF(D45=$N$5,2,IF(D45=$N$4,3,IF(D45=$N$3,4,"n/a"))))</f>
        <v>2</v>
      </c>
      <c r="F45" s="569" t="s">
        <v>331</v>
      </c>
      <c r="G45" s="570"/>
      <c r="H45" s="570"/>
      <c r="I45" s="570"/>
      <c r="J45" s="570"/>
      <c r="K45" s="571"/>
      <c r="L45" s="376"/>
    </row>
    <row r="46" spans="1:12" s="105" customFormat="1" ht="21" customHeight="1" x14ac:dyDescent="0.25">
      <c r="A46" s="565" t="s">
        <v>39</v>
      </c>
      <c r="B46" s="566"/>
      <c r="C46" s="38" t="s">
        <v>245</v>
      </c>
      <c r="D46" s="48" t="s">
        <v>4</v>
      </c>
      <c r="E46" s="163">
        <f>IF(D46=$N$6,1,IF(D46=$N$5,2,IF(D46=$N$4,3,IF(D46=$N$3,4,"n/a"))))</f>
        <v>4</v>
      </c>
      <c r="F46" s="567" t="s">
        <v>332</v>
      </c>
      <c r="G46" s="567"/>
      <c r="H46" s="567"/>
      <c r="I46" s="567"/>
      <c r="J46" s="567"/>
      <c r="K46" s="567"/>
      <c r="L46" s="376"/>
    </row>
    <row r="47" spans="1:12" s="105" customFormat="1" ht="20.25" customHeight="1" x14ac:dyDescent="0.25">
      <c r="A47" s="565" t="s">
        <v>142</v>
      </c>
      <c r="B47" s="566"/>
      <c r="C47" s="38" t="s">
        <v>221</v>
      </c>
      <c r="D47" s="48" t="s">
        <v>42</v>
      </c>
      <c r="E47" s="163">
        <f>IF(D47=$N$6,1,IF(D47=$N$5,2,IF(D47=$N$4,3,IF(D47=$N$3,4,"n/a"))))</f>
        <v>2</v>
      </c>
      <c r="F47" s="537" t="s">
        <v>333</v>
      </c>
      <c r="G47" s="537"/>
      <c r="H47" s="537"/>
      <c r="I47" s="537"/>
      <c r="J47" s="537"/>
      <c r="K47" s="537"/>
      <c r="L47" s="376"/>
    </row>
    <row r="48" spans="1:12" s="105" customFormat="1" ht="31.5" customHeight="1" thickBot="1" x14ac:dyDescent="0.3">
      <c r="A48" s="563" t="s">
        <v>143</v>
      </c>
      <c r="B48" s="564"/>
      <c r="C48" s="193" t="s">
        <v>244</v>
      </c>
      <c r="D48" s="167" t="s">
        <v>42</v>
      </c>
      <c r="E48" s="163">
        <f>IF(D48=$N$6,1,IF(D48=$N$5,2,IF(D48=$N$4,3,IF(D48=$N$3,4,"n/a"))))</f>
        <v>2</v>
      </c>
      <c r="F48" s="522" t="s">
        <v>334</v>
      </c>
      <c r="G48" s="523"/>
      <c r="H48" s="523"/>
      <c r="I48" s="523"/>
      <c r="J48" s="523"/>
      <c r="K48" s="524"/>
      <c r="L48" s="376"/>
    </row>
    <row r="49" spans="1:19" s="124" customFormat="1" ht="32.25" customHeight="1" thickBot="1" x14ac:dyDescent="0.3">
      <c r="A49" s="534"/>
      <c r="B49" s="535"/>
      <c r="C49" s="36" t="s">
        <v>24</v>
      </c>
      <c r="D49" s="27" t="str">
        <f>IF(E49&lt;1.5,"Low",IF(E49&lt;2.5,"Moderate",IF(E49&lt;3.5,"Substantial",IF(E49&lt;4.5,"High","n/a"))))</f>
        <v>Substantial</v>
      </c>
      <c r="E49" s="145">
        <f>IF(COUNT(E45:E48)=0,"n/a",AVERAGE(E45:E48))</f>
        <v>2.5</v>
      </c>
      <c r="F49" s="49">
        <f>E49</f>
        <v>2.5</v>
      </c>
      <c r="G49" s="216"/>
      <c r="H49" s="50" t="s">
        <v>23</v>
      </c>
      <c r="I49" s="325" t="str">
        <f>D49</f>
        <v>Substantial</v>
      </c>
      <c r="J49" s="91">
        <f>IF(I49=$N$7,"n/a",IF(AND(I49=$N$5,D49=$N$6),1.5,IF(AND(I49=$N$4,D49=$N$5),2.5,IF(AND(I49=$N$3,D49=$N$4),3.5,IF(AND(I49=$N$6,D49=$N$5),1.49,IF(AND(I49=$N$5,D49=$N$4),2.49,IF(AND(I49=$N$4,D49=$N$3),3.49,E49)))))))</f>
        <v>2.5</v>
      </c>
      <c r="K49" s="92" t="s">
        <v>91</v>
      </c>
      <c r="L49" s="380"/>
    </row>
    <row r="50" spans="1:19" s="124" customFormat="1" ht="22.5" customHeight="1" thickBot="1" x14ac:dyDescent="0.3">
      <c r="A50" s="142" t="s">
        <v>146</v>
      </c>
      <c r="B50" s="143"/>
      <c r="C50" s="169"/>
      <c r="D50" s="169"/>
      <c r="E50" s="170"/>
      <c r="F50" s="144"/>
      <c r="G50" s="144"/>
      <c r="H50" s="144"/>
      <c r="I50" s="144"/>
      <c r="J50" s="144"/>
      <c r="K50" s="144"/>
      <c r="L50" s="380"/>
    </row>
    <row r="51" spans="1:19" s="124" customFormat="1" ht="34.5" customHeight="1" x14ac:dyDescent="0.25">
      <c r="A51" s="578" t="s">
        <v>145</v>
      </c>
      <c r="B51" s="578"/>
      <c r="C51" s="193" t="s">
        <v>246</v>
      </c>
      <c r="D51" s="168" t="s">
        <v>42</v>
      </c>
      <c r="E51" s="162">
        <f>IF(D51=$N$6,1,IF(D51=$N$5,2,IF(D51=$N$4,3,IF(D51=$N$3,4,"n/a"))))</f>
        <v>2</v>
      </c>
      <c r="F51" s="569" t="s">
        <v>227</v>
      </c>
      <c r="G51" s="570"/>
      <c r="H51" s="570"/>
      <c r="I51" s="570"/>
      <c r="J51" s="570"/>
      <c r="K51" s="571"/>
      <c r="L51" s="380"/>
    </row>
    <row r="52" spans="1:19" s="124" customFormat="1" ht="34.5" customHeight="1" x14ac:dyDescent="0.25">
      <c r="A52" s="578" t="s">
        <v>141</v>
      </c>
      <c r="B52" s="578"/>
      <c r="C52" s="193" t="s">
        <v>229</v>
      </c>
      <c r="D52" s="168" t="s">
        <v>42</v>
      </c>
      <c r="E52" s="162">
        <f>IF(D52=$N$6,1,IF(D52=$N$5,2,IF(D52=$N$4,3,IF(D52=$N$3,4,"n/a"))))</f>
        <v>2</v>
      </c>
      <c r="F52" s="536" t="s">
        <v>228</v>
      </c>
      <c r="G52" s="537"/>
      <c r="H52" s="537"/>
      <c r="I52" s="537"/>
      <c r="J52" s="537"/>
      <c r="K52" s="538"/>
      <c r="L52" s="380"/>
    </row>
    <row r="53" spans="1:19" s="124" customFormat="1" ht="24.75" customHeight="1" x14ac:dyDescent="0.25">
      <c r="A53" s="532" t="s">
        <v>144</v>
      </c>
      <c r="B53" s="532"/>
      <c r="C53" s="38" t="s">
        <v>289</v>
      </c>
      <c r="D53" s="168" t="s">
        <v>42</v>
      </c>
      <c r="E53" s="162">
        <f>IF(D53=$N$6,1,IF(D53=$N$5,2,IF(D53=$N$4,3,IF(D53=$N$3,4,"n/a"))))</f>
        <v>2</v>
      </c>
      <c r="F53" s="579" t="s">
        <v>335</v>
      </c>
      <c r="G53" s="567"/>
      <c r="H53" s="567"/>
      <c r="I53" s="567"/>
      <c r="J53" s="567"/>
      <c r="K53" s="580"/>
      <c r="L53" s="380"/>
    </row>
    <row r="54" spans="1:19" s="124" customFormat="1" ht="21" customHeight="1" x14ac:dyDescent="0.25">
      <c r="A54" s="578" t="s">
        <v>147</v>
      </c>
      <c r="B54" s="578"/>
      <c r="C54" s="193" t="s">
        <v>290</v>
      </c>
      <c r="D54" s="48" t="s">
        <v>42</v>
      </c>
      <c r="E54" s="171">
        <f>IF(D54=$N$6,1,IF(D54=$N$5,2,IF(D54=$N$4,3,IF(D54=$N$3,4,"n/a"))))</f>
        <v>2</v>
      </c>
      <c r="F54" s="536" t="s">
        <v>230</v>
      </c>
      <c r="G54" s="554"/>
      <c r="H54" s="537"/>
      <c r="I54" s="537"/>
      <c r="J54" s="537"/>
      <c r="K54" s="538"/>
      <c r="L54" s="380"/>
    </row>
    <row r="55" spans="1:19" s="124" customFormat="1" ht="34.5" customHeight="1" thickBot="1" x14ac:dyDescent="0.3">
      <c r="A55" s="532" t="s">
        <v>148</v>
      </c>
      <c r="B55" s="532"/>
      <c r="C55" s="38" t="s">
        <v>247</v>
      </c>
      <c r="D55" s="168" t="s">
        <v>42</v>
      </c>
      <c r="E55" s="163">
        <f>IF(D55=$N$6,1,IF(D55=$N$5,2,IF(D55=$N$4,3,IF(D55=$N$3,4,"n/a"))))</f>
        <v>2</v>
      </c>
      <c r="F55" s="537" t="s">
        <v>336</v>
      </c>
      <c r="G55" s="537"/>
      <c r="H55" s="537"/>
      <c r="I55" s="537"/>
      <c r="J55" s="554"/>
      <c r="K55" s="537"/>
      <c r="L55" s="380"/>
    </row>
    <row r="56" spans="1:19" s="105" customFormat="1" ht="28.5" customHeight="1" thickBot="1" x14ac:dyDescent="0.3">
      <c r="A56" s="588"/>
      <c r="B56" s="589"/>
      <c r="C56" s="36" t="s">
        <v>24</v>
      </c>
      <c r="D56" s="27" t="str">
        <f>IF(E56&lt;1.5,"Low",IF(E56&lt;2.5,"Moderate",IF(E56&lt;3.5,"Substantial",IF(E56&lt;4.5,"High","n/a"))))</f>
        <v>Moderate</v>
      </c>
      <c r="E56" s="145">
        <f>IF(COUNT(E51:E55)=0,"n/a",AVERAGE(E51:E55))</f>
        <v>2</v>
      </c>
      <c r="F56" s="28">
        <f>E56</f>
        <v>2</v>
      </c>
      <c r="G56" s="216"/>
      <c r="H56" s="29" t="s">
        <v>23</v>
      </c>
      <c r="I56" s="26" t="str">
        <f>D56</f>
        <v>Moderate</v>
      </c>
      <c r="J56" s="30">
        <f>IF(I56=$N$7,"n/a",IF(AND(I56=$N$5,D56=$N$6),1.5,IF(AND(I56=$N$4,D56=$N$5),2.5,IF(AND(I56=$N$3,D56=$N$4),3.5,IF(AND(I56=$N$6,D56=$N$5),1.49,IF(AND(I56=$N$5,D56=$N$4),2.49,IF(AND(I56=$N$4,D56=$N$3),3.49,E56)))))))</f>
        <v>2</v>
      </c>
      <c r="K56" s="411" t="s">
        <v>231</v>
      </c>
      <c r="L56" s="376"/>
    </row>
    <row r="57" spans="1:19" s="105" customFormat="1" ht="19.5" customHeight="1" thickBot="1" x14ac:dyDescent="0.3">
      <c r="A57" s="139" t="s">
        <v>149</v>
      </c>
      <c r="B57" s="146"/>
      <c r="C57" s="194"/>
      <c r="D57" s="147"/>
      <c r="E57" s="147"/>
      <c r="F57" s="147"/>
      <c r="G57" s="147"/>
      <c r="H57" s="147"/>
      <c r="I57" s="147"/>
      <c r="J57" s="147"/>
      <c r="K57" s="147"/>
      <c r="L57" s="376"/>
    </row>
    <row r="58" spans="1:19" s="124" customFormat="1" ht="32.25" customHeight="1" x14ac:dyDescent="0.25">
      <c r="A58" s="532" t="s">
        <v>38</v>
      </c>
      <c r="B58" s="532"/>
      <c r="C58" s="38" t="s">
        <v>291</v>
      </c>
      <c r="D58" s="166" t="s">
        <v>42</v>
      </c>
      <c r="E58" s="171">
        <f>IF(D58=$N$6,1,IF(D58=$N$5,2,IF(D58=$N$4,3,IF(D58=$N$3,4,"n/a"))))</f>
        <v>2</v>
      </c>
      <c r="F58" s="583" t="s">
        <v>337</v>
      </c>
      <c r="G58" s="584"/>
      <c r="H58" s="584"/>
      <c r="I58" s="584"/>
      <c r="J58" s="584"/>
      <c r="K58" s="585"/>
      <c r="L58" s="380"/>
    </row>
    <row r="59" spans="1:19" s="124" customFormat="1" ht="32.25" customHeight="1" x14ac:dyDescent="0.25">
      <c r="A59" s="532" t="s">
        <v>35</v>
      </c>
      <c r="B59" s="532"/>
      <c r="C59" s="38" t="s">
        <v>281</v>
      </c>
      <c r="D59" s="48" t="s">
        <v>42</v>
      </c>
      <c r="E59" s="118">
        <f>IF(D59=$N$6,1,IF(D59=$N$5,2,IF(D59=$N$4,3,IF(D59=$N$3,4,"n/a"))))</f>
        <v>2</v>
      </c>
      <c r="F59" s="536" t="s">
        <v>222</v>
      </c>
      <c r="G59" s="537"/>
      <c r="H59" s="537"/>
      <c r="I59" s="537"/>
      <c r="J59" s="537"/>
      <c r="K59" s="538"/>
      <c r="L59" s="380"/>
    </row>
    <row r="60" spans="1:19" s="124" customFormat="1" ht="48.75" customHeight="1" x14ac:dyDescent="0.25">
      <c r="A60" s="532" t="s">
        <v>36</v>
      </c>
      <c r="B60" s="532"/>
      <c r="C60" s="38" t="s">
        <v>293</v>
      </c>
      <c r="D60" s="48" t="s">
        <v>79</v>
      </c>
      <c r="E60" s="118">
        <f>IF(D60=$N$6,1,IF(D60=$N$5,2,IF(D60=$N$4,3,IF(D60=$N$3,4,"n/a"))))</f>
        <v>1</v>
      </c>
      <c r="F60" s="536" t="s">
        <v>222</v>
      </c>
      <c r="G60" s="537"/>
      <c r="H60" s="537"/>
      <c r="I60" s="537"/>
      <c r="J60" s="537"/>
      <c r="K60" s="538"/>
      <c r="L60" s="384"/>
    </row>
    <row r="61" spans="1:19" s="124" customFormat="1" ht="21" customHeight="1" thickBot="1" x14ac:dyDescent="0.3">
      <c r="A61" s="578" t="s">
        <v>37</v>
      </c>
      <c r="B61" s="578"/>
      <c r="C61" s="193" t="s">
        <v>292</v>
      </c>
      <c r="D61" s="176" t="s">
        <v>42</v>
      </c>
      <c r="E61" s="175">
        <f>IF(D61=$N$6,1,IF(D61=$N$5,2,IF(D61=$N$4,3,IF(D61=$N$3,4,"n/a"))))</f>
        <v>2</v>
      </c>
      <c r="F61" s="522" t="s">
        <v>338</v>
      </c>
      <c r="G61" s="523"/>
      <c r="H61" s="523"/>
      <c r="I61" s="523"/>
      <c r="J61" s="523"/>
      <c r="K61" s="524"/>
      <c r="L61" s="380"/>
    </row>
    <row r="62" spans="1:19" s="105" customFormat="1" ht="28.5" customHeight="1" thickBot="1" x14ac:dyDescent="0.3">
      <c r="A62" s="608"/>
      <c r="B62" s="609"/>
      <c r="C62" s="36" t="s">
        <v>24</v>
      </c>
      <c r="D62" s="27" t="str">
        <f>IF(E62&lt;1.5,"Low",IF(E62&lt;2.5,"Moderate",IF(E62&lt;3.5,"Substantial",IF(E62&lt;4.5,"High","n/a"))))</f>
        <v>Moderate</v>
      </c>
      <c r="E62" s="145">
        <f>IF(COUNT(E58:E61)=0,"n/a",AVERAGE(E58:E61))</f>
        <v>1.75</v>
      </c>
      <c r="F62" s="49">
        <f>E62</f>
        <v>1.75</v>
      </c>
      <c r="G62" s="120"/>
      <c r="H62" s="50" t="s">
        <v>23</v>
      </c>
      <c r="I62" s="325" t="str">
        <f>D62</f>
        <v>Moderate</v>
      </c>
      <c r="J62" s="91">
        <f>IF(I62=$N$7,"n/a",IF(AND(I62=$N$5,D62=$N$6),1.5,IF(AND(I62=$N$4,D62=$N$5),2.5,IF(AND(I62=$N$3,D62=$N$4),3.5,IF(AND(I62=$N$6,D62=$N$5),1.49,IF(AND(I62=$N$5,D62=$N$4),2.49,IF(AND(I62=$N$4,D62=$N$3),3.49,E62)))))))</f>
        <v>1.75</v>
      </c>
      <c r="K62" s="326" t="s">
        <v>91</v>
      </c>
      <c r="L62" s="376"/>
    </row>
    <row r="63" spans="1:19" s="105" customFormat="1" ht="21.75" customHeight="1" x14ac:dyDescent="0.25">
      <c r="A63" s="198" t="s">
        <v>150</v>
      </c>
      <c r="B63" s="138"/>
      <c r="C63" s="146"/>
      <c r="D63" s="138"/>
      <c r="E63" s="194"/>
      <c r="F63" s="194"/>
      <c r="G63" s="194"/>
      <c r="H63" s="194"/>
      <c r="I63" s="194"/>
      <c r="J63" s="194"/>
      <c r="K63" s="197"/>
      <c r="L63" s="376"/>
    </row>
    <row r="64" spans="1:19" s="148" customFormat="1" ht="47.25" customHeight="1" x14ac:dyDescent="0.25">
      <c r="A64" s="601" t="s">
        <v>151</v>
      </c>
      <c r="B64" s="566"/>
      <c r="C64" s="38" t="s">
        <v>294</v>
      </c>
      <c r="D64" s="195" t="s">
        <v>79</v>
      </c>
      <c r="E64" s="196">
        <f>IF(D64=$N$6,1,IF(D64=$N$5,2,IF(D64=$N$4,3,IF(D64=$N$3,4,"n/a"))))</f>
        <v>1</v>
      </c>
      <c r="F64" s="555" t="s">
        <v>339</v>
      </c>
      <c r="G64" s="555"/>
      <c r="H64" s="555"/>
      <c r="I64" s="555"/>
      <c r="J64" s="555"/>
      <c r="K64" s="555"/>
      <c r="L64" s="385"/>
      <c r="S64" s="149"/>
    </row>
    <row r="65" spans="1:19" s="148" customFormat="1" ht="48.75" customHeight="1" thickBot="1" x14ac:dyDescent="0.3">
      <c r="A65" s="604" t="s">
        <v>152</v>
      </c>
      <c r="B65" s="605"/>
      <c r="C65" s="191" t="s">
        <v>295</v>
      </c>
      <c r="D65" s="165" t="s">
        <v>42</v>
      </c>
      <c r="E65" s="163">
        <f>IF(D65=$N$6,1,IF(D65=$N$5,2,IF(D65=$N$4,3,IF(D65=$N$3,4,"n/a"))))</f>
        <v>2</v>
      </c>
      <c r="F65" s="522" t="s">
        <v>340</v>
      </c>
      <c r="G65" s="523"/>
      <c r="H65" s="523"/>
      <c r="I65" s="523"/>
      <c r="J65" s="523"/>
      <c r="K65" s="524"/>
      <c r="L65" s="385"/>
      <c r="S65" s="149"/>
    </row>
    <row r="66" spans="1:19" s="148" customFormat="1" ht="30" customHeight="1" thickBot="1" x14ac:dyDescent="0.3">
      <c r="A66" s="602"/>
      <c r="B66" s="603"/>
      <c r="C66" s="36" t="s">
        <v>24</v>
      </c>
      <c r="D66" s="27" t="str">
        <f>IF(E66&lt;1.5,"Low",IF(E66&lt;2.5,"Moderate",IF(E66&lt;3.5,"Substantial",IF(E66&lt;4.5,"High","n/a"))))</f>
        <v>Moderate</v>
      </c>
      <c r="E66" s="145">
        <f>IF(COUNT(E64:E65)=0,"n/a",AVERAGE(E64:E65))</f>
        <v>1.5</v>
      </c>
      <c r="F66" s="49">
        <f>E66</f>
        <v>1.5</v>
      </c>
      <c r="G66" s="216"/>
      <c r="H66" s="50" t="s">
        <v>23</v>
      </c>
      <c r="I66" s="325" t="str">
        <f>D66</f>
        <v>Moderate</v>
      </c>
      <c r="J66" s="91">
        <f>IF(I66=$N$7,"n/a",IF(AND(I66=$N$5,D66=$N$6),1.5,IF(AND(I66=$N$4,D66=$N$5),2.5,IF(AND(I66=$N$3,D66=$N$4),3.5,IF(AND(I66=$N$6,D66=$N$5),1.49,IF(AND(I66=$N$5,D66=$N$4),2.49,IF(AND(I66=$N$4,D66=$N$3),3.49,E66)))))))</f>
        <v>1.5</v>
      </c>
      <c r="K66" s="327" t="s">
        <v>91</v>
      </c>
      <c r="L66" s="386"/>
      <c r="S66" s="149"/>
    </row>
    <row r="67" spans="1:19" s="152" customFormat="1" ht="24.75" customHeight="1" thickBot="1" x14ac:dyDescent="0.3">
      <c r="A67" s="150" t="s">
        <v>218</v>
      </c>
      <c r="B67" s="151"/>
      <c r="C67" s="208"/>
      <c r="D67" s="208"/>
      <c r="E67" s="208"/>
      <c r="F67" s="208"/>
      <c r="G67" s="208"/>
      <c r="H67" s="208"/>
      <c r="I67" s="208"/>
      <c r="J67" s="208"/>
      <c r="K67" s="209"/>
      <c r="L67" s="378" t="s">
        <v>96</v>
      </c>
      <c r="Q67" s="153"/>
    </row>
    <row r="68" spans="1:19" s="152" customFormat="1" ht="23.25" customHeight="1" x14ac:dyDescent="0.25">
      <c r="A68" s="202" t="s">
        <v>211</v>
      </c>
      <c r="B68" s="203"/>
      <c r="C68" s="205"/>
      <c r="D68" s="206"/>
      <c r="E68" s="206"/>
      <c r="F68" s="206"/>
      <c r="G68" s="206"/>
      <c r="H68" s="206"/>
      <c r="I68" s="206"/>
      <c r="J68" s="206"/>
      <c r="K68" s="207"/>
      <c r="L68" s="385"/>
    </row>
    <row r="69" spans="1:19" s="152" customFormat="1" ht="24.75" customHeight="1" x14ac:dyDescent="0.25">
      <c r="A69" s="500" t="s">
        <v>52</v>
      </c>
      <c r="B69" s="503"/>
      <c r="C69" s="224" t="s">
        <v>296</v>
      </c>
      <c r="D69" s="225" t="s">
        <v>42</v>
      </c>
      <c r="E69" s="118">
        <f>IF(D69=$N$6,1,IF(D69=$N$5,2,IF(D69=$N$4,3,IF(D69=$N$3,4,"n/a"))))</f>
        <v>2</v>
      </c>
      <c r="F69" s="485" t="s">
        <v>341</v>
      </c>
      <c r="G69" s="485"/>
      <c r="H69" s="485"/>
      <c r="I69" s="485"/>
      <c r="J69" s="485"/>
      <c r="K69" s="485"/>
      <c r="L69" s="378" t="s">
        <v>96</v>
      </c>
    </row>
    <row r="70" spans="1:19" s="152" customFormat="1" ht="33.75" customHeight="1" thickBot="1" x14ac:dyDescent="0.3">
      <c r="A70" s="495" t="s">
        <v>53</v>
      </c>
      <c r="B70" s="496"/>
      <c r="C70" s="226" t="s">
        <v>296</v>
      </c>
      <c r="D70" s="165" t="s">
        <v>79</v>
      </c>
      <c r="E70" s="175">
        <f>IF(D70=$N$6,1,IF(D70=$N$5,2,IF(D70=$N$4,3,IF(D70=$N$3,4,"n/a"))))</f>
        <v>1</v>
      </c>
      <c r="F70" s="502" t="s">
        <v>342</v>
      </c>
      <c r="G70" s="511"/>
      <c r="H70" s="502"/>
      <c r="I70" s="502"/>
      <c r="J70" s="511"/>
      <c r="K70" s="502"/>
      <c r="L70" s="378" t="s">
        <v>96</v>
      </c>
    </row>
    <row r="71" spans="1:19" s="152" customFormat="1" ht="27" customHeight="1" thickBot="1" x14ac:dyDescent="0.3">
      <c r="A71" s="606"/>
      <c r="B71" s="607"/>
      <c r="C71" s="212" t="s">
        <v>24</v>
      </c>
      <c r="D71" s="46" t="str">
        <f>IF(E71&lt;1.5,"Low",IF(E71&lt;2.5,"Moderate",IF(E71&lt;3.5,"Substantial",IF(E71&lt;4.5,"High","n/a"))))</f>
        <v>Moderate</v>
      </c>
      <c r="E71" s="145">
        <f>IF(COUNT(E69:E70)=0,"n/a",AVERAGE(E69:E70))</f>
        <v>1.5</v>
      </c>
      <c r="F71" s="28">
        <f>E71</f>
        <v>1.5</v>
      </c>
      <c r="G71" s="216"/>
      <c r="H71" s="29" t="s">
        <v>23</v>
      </c>
      <c r="I71" s="26" t="str">
        <f>D71</f>
        <v>Moderate</v>
      </c>
      <c r="J71" s="30">
        <f>IF(I71=$N$7,"n/a",IF(AND(I71=$N$5,D71=$N$6),1.5,IF(AND(I71=$N$4,D71=$N$5),2.5,IF(AND(I71=$N$3,D71=$N$4),3.5,IF(AND(I71=$N$6,D71=$N$5),1.49,IF(AND(I71=$N$5,D71=$N$4),2.49,IF(AND(I71=$N$4,D71=$N$3),3.49,E71)))))))</f>
        <v>1.5</v>
      </c>
      <c r="K71" s="181" t="s">
        <v>91</v>
      </c>
      <c r="L71" s="385"/>
    </row>
    <row r="72" spans="1:19" s="152" customFormat="1" ht="20.25" customHeight="1" x14ac:dyDescent="0.25">
      <c r="A72" s="313" t="s">
        <v>43</v>
      </c>
      <c r="B72" s="205"/>
      <c r="C72" s="206"/>
      <c r="D72" s="199"/>
      <c r="E72" s="200"/>
      <c r="F72" s="206"/>
      <c r="G72" s="206"/>
      <c r="H72" s="206"/>
      <c r="I72" s="206"/>
      <c r="J72" s="206"/>
      <c r="K72" s="207"/>
      <c r="L72" s="385"/>
    </row>
    <row r="73" spans="1:19" s="152" customFormat="1" ht="36" customHeight="1" x14ac:dyDescent="0.25">
      <c r="A73" s="599" t="s">
        <v>74</v>
      </c>
      <c r="B73" s="600"/>
      <c r="C73" s="227" t="s">
        <v>296</v>
      </c>
      <c r="D73" s="168" t="s">
        <v>42</v>
      </c>
      <c r="E73" s="118">
        <f>IF(D73=$N$6,1,IF(D73=$N$5,2,IF(D73=$N$4,3,IF(D73=$N$3,4,"n/a"))))</f>
        <v>2</v>
      </c>
      <c r="F73" s="508" t="s">
        <v>343</v>
      </c>
      <c r="G73" s="502"/>
      <c r="H73" s="502"/>
      <c r="I73" s="502"/>
      <c r="J73" s="502"/>
      <c r="K73" s="509"/>
      <c r="L73" s="378"/>
    </row>
    <row r="74" spans="1:19" s="152" customFormat="1" ht="33.75" customHeight="1" thickBot="1" x14ac:dyDescent="0.3">
      <c r="A74" s="495" t="s">
        <v>57</v>
      </c>
      <c r="B74" s="496"/>
      <c r="C74" s="228" t="s">
        <v>248</v>
      </c>
      <c r="D74" s="167" t="s">
        <v>79</v>
      </c>
      <c r="E74" s="175">
        <f>IF(D74=$N$6,1,IF(D74=$N$5,2,IF(D74=$N$4,3,IF(D74=$N$3,4,"n/a"))))</f>
        <v>1</v>
      </c>
      <c r="F74" s="497" t="s">
        <v>223</v>
      </c>
      <c r="G74" s="498"/>
      <c r="H74" s="498"/>
      <c r="I74" s="498"/>
      <c r="J74" s="498"/>
      <c r="K74" s="499"/>
      <c r="L74" s="378" t="s">
        <v>96</v>
      </c>
    </row>
    <row r="75" spans="1:19" s="152" customFormat="1" ht="25.5" customHeight="1" thickBot="1" x14ac:dyDescent="0.3">
      <c r="A75" s="504"/>
      <c r="B75" s="505"/>
      <c r="C75" s="45" t="s">
        <v>24</v>
      </c>
      <c r="D75" s="27" t="str">
        <f>IF(E75&lt;1.5,"Low",IF(E75&lt;2.5,"Moderate",IF(E75&lt;3.5,"Substantial",IF(E75&lt;4.5,"High","n/a"))))</f>
        <v>Moderate</v>
      </c>
      <c r="E75" s="145">
        <f>IF(COUNT(E73:E74)=0,"n/a",AVERAGE(E73:E74))</f>
        <v>1.5</v>
      </c>
      <c r="F75" s="49">
        <f>E75</f>
        <v>1.5</v>
      </c>
      <c r="G75" s="216"/>
      <c r="H75" s="50" t="s">
        <v>23</v>
      </c>
      <c r="I75" s="325" t="str">
        <f>D75</f>
        <v>Moderate</v>
      </c>
      <c r="J75" s="91">
        <f>IF(I75=$N$7,"n/a",IF(AND(I75=$N$5,D75=$N$6),1.5,IF(AND(I75=$N$4,D75=$N$5),2.5,IF(AND(I75=$N$3,D75=$N$4),3.5,IF(AND(I75=$N$6,D75=$N$5),1.49,IF(AND(I75=$N$5,D75=$N$4),2.49,IF(AND(I75=$N$4,D75=$N$3),3.49,E75)))))))</f>
        <v>1.5</v>
      </c>
      <c r="K75" s="92" t="s">
        <v>91</v>
      </c>
      <c r="L75" s="385"/>
    </row>
    <row r="76" spans="1:19" s="152" customFormat="1" ht="21" customHeight="1" x14ac:dyDescent="0.25">
      <c r="A76" s="202" t="s">
        <v>54</v>
      </c>
      <c r="B76" s="203"/>
      <c r="C76" s="199"/>
      <c r="D76" s="199"/>
      <c r="E76" s="199"/>
      <c r="F76" s="199"/>
      <c r="G76" s="199"/>
      <c r="H76" s="199"/>
      <c r="I76" s="199"/>
      <c r="J76" s="199"/>
      <c r="K76" s="201"/>
      <c r="L76" s="385"/>
    </row>
    <row r="77" spans="1:19" s="152" customFormat="1" ht="35.25" customHeight="1" x14ac:dyDescent="0.25">
      <c r="A77" s="500" t="s">
        <v>55</v>
      </c>
      <c r="B77" s="503"/>
      <c r="C77" s="229" t="s">
        <v>297</v>
      </c>
      <c r="D77" s="168" t="s">
        <v>42</v>
      </c>
      <c r="E77" s="118">
        <f>IF(D77=$N$6,1,IF(D77=$N$5,2,IF(D77=$N$4,3,IF(D77=$N$3,4,"n/a"))))</f>
        <v>2</v>
      </c>
      <c r="F77" s="485" t="s">
        <v>344</v>
      </c>
      <c r="G77" s="485"/>
      <c r="H77" s="485"/>
      <c r="I77" s="485"/>
      <c r="J77" s="485"/>
      <c r="K77" s="485"/>
      <c r="L77" s="385"/>
    </row>
    <row r="78" spans="1:19" s="152" customFormat="1" ht="26.25" customHeight="1" x14ac:dyDescent="0.25">
      <c r="A78" s="500" t="s">
        <v>56</v>
      </c>
      <c r="B78" s="501"/>
      <c r="C78" s="227" t="s">
        <v>297</v>
      </c>
      <c r="D78" s="48" t="s">
        <v>42</v>
      </c>
      <c r="E78" s="118">
        <f>IF(D78=$N$6,1,IF(D78=$N$5,2,IF(D78=$N$4,3,IF(D78=$N$3,4,"n/a"))))</f>
        <v>2</v>
      </c>
      <c r="F78" s="502" t="s">
        <v>345</v>
      </c>
      <c r="G78" s="502"/>
      <c r="H78" s="502"/>
      <c r="I78" s="502"/>
      <c r="J78" s="502"/>
      <c r="K78" s="502"/>
      <c r="L78" s="378" t="s">
        <v>96</v>
      </c>
    </row>
    <row r="79" spans="1:19" s="152" customFormat="1" ht="24" customHeight="1" thickBot="1" x14ac:dyDescent="0.3">
      <c r="A79" s="500" t="s">
        <v>75</v>
      </c>
      <c r="B79" s="501"/>
      <c r="C79" s="230" t="s">
        <v>297</v>
      </c>
      <c r="D79" s="167" t="s">
        <v>79</v>
      </c>
      <c r="E79" s="175">
        <f>IF(D79=$N$6,1,IF(D79=$N$5,2,IF(D79=$N$4,3,IF(D79=$N$3,4,"n/a"))))</f>
        <v>1</v>
      </c>
      <c r="F79" s="502" t="s">
        <v>346</v>
      </c>
      <c r="G79" s="511"/>
      <c r="H79" s="502"/>
      <c r="I79" s="502"/>
      <c r="J79" s="511"/>
      <c r="K79" s="502"/>
      <c r="L79" s="378" t="s">
        <v>96</v>
      </c>
    </row>
    <row r="80" spans="1:19" s="152" customFormat="1" ht="27.75" customHeight="1" thickBot="1" x14ac:dyDescent="0.3">
      <c r="A80" s="504"/>
      <c r="B80" s="505"/>
      <c r="C80" s="45" t="s">
        <v>24</v>
      </c>
      <c r="D80" s="27" t="str">
        <f>IF(E80&lt;1.5,"Low",IF(E80&lt;2.5,"Moderate",IF(E80&lt;3.5,"Substantial",IF(E80&lt;4.5,"High","n/a"))))</f>
        <v>Moderate</v>
      </c>
      <c r="E80" s="145">
        <f>IF(COUNT(E77:E79)=0,"n/a",AVERAGE(E77:E79))</f>
        <v>1.6666666666666667</v>
      </c>
      <c r="F80" s="28">
        <f>E80</f>
        <v>1.6666666666666667</v>
      </c>
      <c r="G80" s="216"/>
      <c r="H80" s="29" t="s">
        <v>23</v>
      </c>
      <c r="I80" s="26" t="str">
        <f>D80</f>
        <v>Moderate</v>
      </c>
      <c r="J80" s="30">
        <f>IF(I80=$N$7,"n/a",IF(AND(I80=$N$5,D80=$N$6),1.5,IF(AND(I80=$N$4,D80=$N$5),2.5,IF(AND(I80=$N$3,D80=$N$4),3.5,IF(AND(I80=$N$6,D80=$N$5),1.49,IF(AND(I80=$N$5,D80=$N$4),2.49,IF(AND(I80=$N$4,D80=$N$3),3.49,E80)))))))</f>
        <v>1.6666666666666667</v>
      </c>
      <c r="K80" s="89" t="s">
        <v>91</v>
      </c>
      <c r="L80" s="385"/>
    </row>
    <row r="81" spans="1:17" s="152" customFormat="1" ht="21" customHeight="1" x14ac:dyDescent="0.25">
      <c r="A81" s="204" t="s">
        <v>58</v>
      </c>
      <c r="B81" s="199"/>
      <c r="C81" s="199"/>
      <c r="D81" s="199"/>
      <c r="E81" s="199"/>
      <c r="F81" s="199"/>
      <c r="G81" s="199"/>
      <c r="H81" s="199"/>
      <c r="I81" s="199"/>
      <c r="J81" s="199"/>
      <c r="K81" s="201"/>
      <c r="L81" s="385"/>
    </row>
    <row r="82" spans="1:17" s="152" customFormat="1" ht="34.5" customHeight="1" x14ac:dyDescent="0.25">
      <c r="A82" s="500" t="s">
        <v>77</v>
      </c>
      <c r="B82" s="503"/>
      <c r="C82" s="229" t="s">
        <v>297</v>
      </c>
      <c r="D82" s="168" t="s">
        <v>42</v>
      </c>
      <c r="E82" s="118">
        <f>IF(D82=$N$6,1,IF(D82=$N$5,2,IF(D82=$N$4,3,IF(D82=$N$3,4,"n/a"))))</f>
        <v>2</v>
      </c>
      <c r="F82" s="485" t="s">
        <v>347</v>
      </c>
      <c r="G82" s="485"/>
      <c r="H82" s="485"/>
      <c r="I82" s="485"/>
      <c r="J82" s="485"/>
      <c r="K82" s="485"/>
      <c r="L82" s="385"/>
    </row>
    <row r="83" spans="1:17" s="152" customFormat="1" ht="27.75" customHeight="1" thickBot="1" x14ac:dyDescent="0.3">
      <c r="A83" s="495" t="s">
        <v>78</v>
      </c>
      <c r="B83" s="496"/>
      <c r="C83" s="230" t="s">
        <v>297</v>
      </c>
      <c r="D83" s="167" t="s">
        <v>42</v>
      </c>
      <c r="E83" s="175">
        <f>IF(D83=$N$6,1,IF(D83=$N$5,2,IF(D83=$N$4,3,IF(D83=$N$3,4,"n/a"))))</f>
        <v>2</v>
      </c>
      <c r="F83" s="497" t="s">
        <v>348</v>
      </c>
      <c r="G83" s="498"/>
      <c r="H83" s="498"/>
      <c r="I83" s="498"/>
      <c r="J83" s="498"/>
      <c r="K83" s="531"/>
      <c r="L83" s="378" t="s">
        <v>96</v>
      </c>
      <c r="Q83" s="154"/>
    </row>
    <row r="84" spans="1:17" s="152" customFormat="1" ht="26.25" customHeight="1" thickBot="1" x14ac:dyDescent="0.3">
      <c r="A84" s="210"/>
      <c r="B84" s="211"/>
      <c r="C84" s="212" t="s">
        <v>24</v>
      </c>
      <c r="D84" s="27" t="str">
        <f>IF(E84&lt;1.5,"Low",IF(E84&lt;2.5,"Moderate",IF(E84&lt;3.5,"Substantial",IF(E84&lt;4.5,"High","n/a"))))</f>
        <v>Moderate</v>
      </c>
      <c r="E84" s="145">
        <f>IF(COUNT(E82:E83)=0,"n/a",AVERAGE(E82:E83))</f>
        <v>2</v>
      </c>
      <c r="F84" s="49">
        <f>E84</f>
        <v>2</v>
      </c>
      <c r="G84" s="217"/>
      <c r="H84" s="324" t="s">
        <v>23</v>
      </c>
      <c r="I84" s="325" t="str">
        <f>D84</f>
        <v>Moderate</v>
      </c>
      <c r="J84" s="91">
        <f>IF(I84=$N$7,"n/a",IF(AND(I84=$N$5,D84=$N$6),1.5,IF(AND(I84=$N$4,D84=$N$5),2.5,IF(AND(I84=$N$3,D84=$N$4),3.5,IF(AND(I84=$N$6,D84=$N$5),1.49,IF(AND(I84=$N$5,D84=$N$4),2.49,IF(AND(I84=$N$4,D84=$N$3),3.49,E84)))))))</f>
        <v>2</v>
      </c>
      <c r="K84" s="326" t="s">
        <v>91</v>
      </c>
      <c r="L84" s="385"/>
      <c r="Q84" s="155"/>
    </row>
    <row r="85" spans="1:17" s="152" customFormat="1" ht="26.25" customHeight="1" thickBot="1" x14ac:dyDescent="0.3">
      <c r="A85" s="290" t="s">
        <v>219</v>
      </c>
      <c r="B85" s="289"/>
      <c r="C85" s="289"/>
      <c r="D85" s="289"/>
      <c r="E85" s="289"/>
      <c r="F85" s="289"/>
      <c r="G85" s="289"/>
      <c r="H85" s="289"/>
      <c r="I85" s="289"/>
      <c r="J85" s="289"/>
      <c r="K85" s="289"/>
      <c r="L85" s="385"/>
      <c r="Q85" s="155"/>
    </row>
    <row r="86" spans="1:17" s="152" customFormat="1" ht="21.75" customHeight="1" x14ac:dyDescent="0.25">
      <c r="A86" s="394" t="s">
        <v>175</v>
      </c>
      <c r="B86" s="291"/>
      <c r="C86" s="291"/>
      <c r="D86" s="291"/>
      <c r="E86" s="291"/>
      <c r="F86" s="291"/>
      <c r="G86" s="291"/>
      <c r="H86" s="291"/>
      <c r="I86" s="291"/>
      <c r="J86" s="291"/>
      <c r="K86" s="292"/>
      <c r="L86" s="385"/>
      <c r="Q86" s="155"/>
    </row>
    <row r="87" spans="1:17" s="152" customFormat="1" ht="33.75" customHeight="1" x14ac:dyDescent="0.25">
      <c r="A87" s="490" t="s">
        <v>153</v>
      </c>
      <c r="B87" s="491"/>
      <c r="C87" s="293" t="s">
        <v>298</v>
      </c>
      <c r="D87" s="225" t="s">
        <v>42</v>
      </c>
      <c r="E87" s="213">
        <f>IF(D87=$N$6,1,IF(D87=$N$5,2,IF(D87=$N$4,3,IF(D87=$N$3,4,"n/a"))))</f>
        <v>2</v>
      </c>
      <c r="F87" s="485" t="s">
        <v>349</v>
      </c>
      <c r="G87" s="485"/>
      <c r="H87" s="485"/>
      <c r="I87" s="485"/>
      <c r="J87" s="485"/>
      <c r="K87" s="485"/>
      <c r="L87" s="385"/>
      <c r="Q87" s="155"/>
    </row>
    <row r="88" spans="1:17" s="152" customFormat="1" ht="33.75" customHeight="1" x14ac:dyDescent="0.25">
      <c r="A88" s="490" t="s">
        <v>154</v>
      </c>
      <c r="B88" s="491"/>
      <c r="C88" s="293" t="s">
        <v>249</v>
      </c>
      <c r="D88" s="225" t="s">
        <v>42</v>
      </c>
      <c r="E88" s="213">
        <f>IF(D88=$N$6,1,IF(D88=$N$5,2,IF(D88=$N$4,3,IF(D88=$N$3,4,"n/a"))))</f>
        <v>2</v>
      </c>
      <c r="F88" s="485" t="s">
        <v>232</v>
      </c>
      <c r="G88" s="485"/>
      <c r="H88" s="485"/>
      <c r="I88" s="485"/>
      <c r="J88" s="485"/>
      <c r="K88" s="485"/>
      <c r="L88" s="378" t="s">
        <v>96</v>
      </c>
      <c r="Q88" s="155"/>
    </row>
    <row r="89" spans="1:17" s="152" customFormat="1" ht="30.75" customHeight="1" x14ac:dyDescent="0.25">
      <c r="A89" s="490" t="s">
        <v>155</v>
      </c>
      <c r="B89" s="491"/>
      <c r="C89" s="293" t="s">
        <v>299</v>
      </c>
      <c r="D89" s="225" t="s">
        <v>5</v>
      </c>
      <c r="E89" s="213">
        <f>IF(D89=$N$6,1,IF(D89=$N$5,2,IF(D89=$N$4,3,IF(D89=$N$3,4,"n/a"))))</f>
        <v>3</v>
      </c>
      <c r="F89" s="485" t="s">
        <v>350</v>
      </c>
      <c r="G89" s="485"/>
      <c r="H89" s="485"/>
      <c r="I89" s="485"/>
      <c r="J89" s="485"/>
      <c r="K89" s="485"/>
      <c r="L89" s="385"/>
      <c r="Q89" s="155"/>
    </row>
    <row r="90" spans="1:17" s="152" customFormat="1" ht="45.75" customHeight="1" thickBot="1" x14ac:dyDescent="0.3">
      <c r="A90" s="490" t="s">
        <v>176</v>
      </c>
      <c r="B90" s="491"/>
      <c r="C90" s="293" t="s">
        <v>250</v>
      </c>
      <c r="D90" s="225" t="s">
        <v>79</v>
      </c>
      <c r="E90" s="213">
        <f>IF(D90=$N$6,1,IF(D90=$N$5,2,IF(D90=$N$4,3,IF(D90=$N$3,4,"n/a"))))</f>
        <v>1</v>
      </c>
      <c r="F90" s="485" t="s">
        <v>351</v>
      </c>
      <c r="G90" s="485"/>
      <c r="H90" s="485"/>
      <c r="I90" s="485"/>
      <c r="J90" s="594"/>
      <c r="K90" s="485"/>
      <c r="L90" s="385"/>
      <c r="Q90" s="155"/>
    </row>
    <row r="91" spans="1:17" s="152" customFormat="1" ht="26.25" customHeight="1" thickBot="1" x14ac:dyDescent="0.3">
      <c r="A91" s="597"/>
      <c r="B91" s="598"/>
      <c r="C91" s="294" t="s">
        <v>24</v>
      </c>
      <c r="D91" s="27" t="str">
        <f>IF(E91&lt;1.5,"Low",IF(E91&lt;2.5,"Moderate",IF(E91&lt;3.5,"Substantial",IF(E91&lt;4.5,"High","n/a"))))</f>
        <v>Moderate</v>
      </c>
      <c r="E91" s="145">
        <f>IF(COUNT(E87:E90)=0,"n/a",AVERAGE(E87:E90))</f>
        <v>2</v>
      </c>
      <c r="F91" s="28">
        <f>E91</f>
        <v>2</v>
      </c>
      <c r="G91" s="217"/>
      <c r="H91" s="51" t="s">
        <v>23</v>
      </c>
      <c r="I91" s="26" t="str">
        <f>D91</f>
        <v>Moderate</v>
      </c>
      <c r="J91" s="30">
        <f>IF(I91=$N$7,"n/a",IF(AND(I91=$N$5,D91=$N$6),1.5,IF(AND(I91=$N$4,D91=$N$5),2.5,IF(AND(I91=$N$3,D91=$N$4),3.5,IF(AND(I91=$N$6,D91=$N$5),1.49,IF(AND(I91=$N$5,D91=$N$4),2.49,IF(AND(I91=$N$4,D91=$N$3),3.49,E91)))))))</f>
        <v>2</v>
      </c>
      <c r="K91" s="89" t="s">
        <v>91</v>
      </c>
      <c r="L91" s="385"/>
      <c r="Q91" s="155"/>
    </row>
    <row r="92" spans="1:17" s="152" customFormat="1" ht="21" customHeight="1" x14ac:dyDescent="0.25">
      <c r="A92" s="394" t="s">
        <v>166</v>
      </c>
      <c r="B92" s="291"/>
      <c r="C92" s="291"/>
      <c r="D92" s="291"/>
      <c r="E92" s="291"/>
      <c r="F92" s="291"/>
      <c r="G92" s="291"/>
      <c r="H92" s="291"/>
      <c r="I92" s="291"/>
      <c r="J92" s="291"/>
      <c r="K92" s="292"/>
      <c r="L92" s="385"/>
      <c r="Q92" s="155"/>
    </row>
    <row r="93" spans="1:17" s="152" customFormat="1" ht="47.25" customHeight="1" x14ac:dyDescent="0.25">
      <c r="A93" s="490" t="s">
        <v>167</v>
      </c>
      <c r="B93" s="491"/>
      <c r="C93" s="293" t="s">
        <v>300</v>
      </c>
      <c r="D93" s="168" t="s">
        <v>4</v>
      </c>
      <c r="E93" s="213">
        <f>IF(D93=$N$6,1,IF(D93=$N$5,2,IF(D93=$N$4,3,IF(D93=$N$3,4,"n/a"))))</f>
        <v>4</v>
      </c>
      <c r="F93" s="485" t="s">
        <v>352</v>
      </c>
      <c r="G93" s="485"/>
      <c r="H93" s="485"/>
      <c r="I93" s="485"/>
      <c r="J93" s="485"/>
      <c r="K93" s="485"/>
      <c r="L93" s="385"/>
      <c r="Q93" s="155"/>
    </row>
    <row r="94" spans="1:17" s="152" customFormat="1" ht="31.5" customHeight="1" thickBot="1" x14ac:dyDescent="0.3">
      <c r="A94" s="486" t="s">
        <v>178</v>
      </c>
      <c r="B94" s="487"/>
      <c r="C94" s="295" t="s">
        <v>240</v>
      </c>
      <c r="D94" s="167" t="s">
        <v>42</v>
      </c>
      <c r="E94" s="175">
        <f>IF(D94=$N$6,1,IF(D94=$N$5,2,IF(D94=$N$4,3,IF(D94=$N$3,4,"n/a"))))</f>
        <v>2</v>
      </c>
      <c r="F94" s="513" t="s">
        <v>353</v>
      </c>
      <c r="G94" s="514"/>
      <c r="H94" s="514"/>
      <c r="I94" s="514"/>
      <c r="J94" s="514"/>
      <c r="K94" s="512"/>
      <c r="L94" s="378" t="s">
        <v>96</v>
      </c>
      <c r="Q94" s="155"/>
    </row>
    <row r="95" spans="1:17" s="152" customFormat="1" ht="26.25" customHeight="1" thickBot="1" x14ac:dyDescent="0.3">
      <c r="A95" s="488"/>
      <c r="B95" s="489"/>
      <c r="C95" s="294" t="s">
        <v>24</v>
      </c>
      <c r="D95" s="27" t="str">
        <f>IF(E95&lt;1.5,"Low",IF(E95&lt;2.5,"Moderate",IF(E95&lt;3.5,"Substantial",IF(E95&lt;4.5,"High","n/a"))))</f>
        <v>Substantial</v>
      </c>
      <c r="E95" s="145">
        <f>IF(COUNT(E93:E94)=0,"n/a",AVERAGE(E93:E94))</f>
        <v>3</v>
      </c>
      <c r="F95" s="28">
        <f>E95</f>
        <v>3</v>
      </c>
      <c r="G95" s="216"/>
      <c r="H95" s="29" t="s">
        <v>23</v>
      </c>
      <c r="I95" s="26" t="str">
        <f>D95</f>
        <v>Substantial</v>
      </c>
      <c r="J95" s="30">
        <f>IF(I95=$N$7,"n/a",IF(AND(I95=$N$5,D95=$N$6),1.5,IF(AND(I95=$N$4,D95=$N$5),2.5,IF(AND(I95=$N$3,D95=$N$4),3.5,IF(AND(I95=$N$6,D95=$N$5),1.49,IF(AND(I95=$N$5,D95=$N$4),2.49,IF(AND(I95=$N$4,D95=$N$3),3.49,E95)))))))</f>
        <v>3</v>
      </c>
      <c r="K95" s="89" t="s">
        <v>91</v>
      </c>
      <c r="L95" s="385"/>
      <c r="Q95" s="155"/>
    </row>
    <row r="96" spans="1:17" s="152" customFormat="1" ht="21" customHeight="1" x14ac:dyDescent="0.25">
      <c r="A96" s="394" t="s">
        <v>157</v>
      </c>
      <c r="B96" s="291"/>
      <c r="C96" s="291"/>
      <c r="D96" s="291"/>
      <c r="E96" s="291"/>
      <c r="F96" s="291"/>
      <c r="G96" s="291"/>
      <c r="H96" s="291"/>
      <c r="I96" s="291"/>
      <c r="J96" s="291"/>
      <c r="K96" s="292"/>
      <c r="L96" s="385"/>
      <c r="Q96" s="155"/>
    </row>
    <row r="97" spans="1:17" s="152" customFormat="1" ht="33.75" customHeight="1" x14ac:dyDescent="0.25">
      <c r="A97" s="490" t="s">
        <v>158</v>
      </c>
      <c r="B97" s="491"/>
      <c r="C97" s="296" t="s">
        <v>301</v>
      </c>
      <c r="D97" s="168" t="s">
        <v>42</v>
      </c>
      <c r="E97" s="118">
        <f>IF(D97=$N$6,1,IF(D97=$N$5,2,IF(D97=$N$4,3,IF(D97=$N$3,4,"n/a"))))</f>
        <v>2</v>
      </c>
      <c r="F97" s="485" t="s">
        <v>354</v>
      </c>
      <c r="G97" s="485"/>
      <c r="H97" s="485"/>
      <c r="I97" s="485"/>
      <c r="J97" s="485"/>
      <c r="K97" s="485"/>
      <c r="L97" s="378" t="s">
        <v>96</v>
      </c>
      <c r="Q97" s="155"/>
    </row>
    <row r="98" spans="1:17" s="152" customFormat="1" ht="33" customHeight="1" x14ac:dyDescent="0.25">
      <c r="A98" s="486" t="s">
        <v>159</v>
      </c>
      <c r="B98" s="492"/>
      <c r="C98" s="296"/>
      <c r="D98" s="48" t="s">
        <v>19</v>
      </c>
      <c r="E98" s="118" t="str">
        <f>IF(D98=$N$6,1,IF(D98=$N$5,2,IF(D98=$N$4,3,IF(D98=$N$3,4,"n/a"))))</f>
        <v>n/a</v>
      </c>
      <c r="F98" s="508" t="s">
        <v>280</v>
      </c>
      <c r="G98" s="502"/>
      <c r="H98" s="502"/>
      <c r="I98" s="502"/>
      <c r="J98" s="502"/>
      <c r="K98" s="509"/>
      <c r="L98" s="378" t="s">
        <v>96</v>
      </c>
      <c r="P98" s="311"/>
      <c r="Q98" s="155"/>
    </row>
    <row r="99" spans="1:17" s="152" customFormat="1" ht="31.5" customHeight="1" thickBot="1" x14ac:dyDescent="0.3">
      <c r="A99" s="493" t="s">
        <v>160</v>
      </c>
      <c r="B99" s="494"/>
      <c r="C99" s="297" t="s">
        <v>302</v>
      </c>
      <c r="D99" s="287" t="s">
        <v>4</v>
      </c>
      <c r="E99" s="288">
        <f>IF(D99=$N$6,1,IF(D99=$N$5,2,IF(D99=$N$4,3,IF(D99=$N$3,4,"n/a"))))</f>
        <v>4</v>
      </c>
      <c r="F99" s="510" t="s">
        <v>355</v>
      </c>
      <c r="G99" s="511"/>
      <c r="H99" s="511"/>
      <c r="I99" s="511"/>
      <c r="J99" s="511"/>
      <c r="K99" s="512"/>
      <c r="L99" s="385"/>
      <c r="P99" s="311"/>
      <c r="Q99" s="155"/>
    </row>
    <row r="100" spans="1:17" s="152" customFormat="1" ht="26.25" customHeight="1" thickBot="1" x14ac:dyDescent="0.3">
      <c r="A100" s="539"/>
      <c r="B100" s="540"/>
      <c r="C100" s="294" t="s">
        <v>24</v>
      </c>
      <c r="D100" s="27" t="str">
        <f>IF(E100&lt;1.5,"Low",IF(E100&lt;2.5,"Moderate",IF(E100&lt;3.5,"Substantial",IF(E100&lt;4.5,"High","n/a"))))</f>
        <v>Substantial</v>
      </c>
      <c r="E100" s="145">
        <f>IF(COUNT(E97:E99)=0,"n/a",AVERAGE(E97:E99))</f>
        <v>3</v>
      </c>
      <c r="F100" s="28">
        <f>E100</f>
        <v>3</v>
      </c>
      <c r="G100" s="216"/>
      <c r="H100" s="29" t="s">
        <v>23</v>
      </c>
      <c r="I100" s="26" t="str">
        <f>D100</f>
        <v>Substantial</v>
      </c>
      <c r="J100" s="30">
        <f>IF(I100=$N$7,"n/a",IF(AND(I100=$N$5,D100=$N$6),1.5,IF(AND(I100=$N$4,D100=$N$5),2.5,IF(AND(I100=$N$3,D100=$N$4),3.5,IF(AND(I100=$N$6,D100=$N$5),1.49,IF(AND(I100=$N$5,D100=$N$4),2.49,IF(AND(I100=$N$4,D100=$N$3),3.49,E100)))))))</f>
        <v>3</v>
      </c>
      <c r="K100" s="89" t="s">
        <v>91</v>
      </c>
      <c r="L100" s="385"/>
      <c r="P100" s="311"/>
      <c r="Q100" s="155"/>
    </row>
    <row r="101" spans="1:17" s="152" customFormat="1" ht="23.25" customHeight="1" thickBot="1" x14ac:dyDescent="0.3">
      <c r="A101" s="156" t="s">
        <v>220</v>
      </c>
      <c r="B101" s="157"/>
      <c r="C101" s="157"/>
      <c r="D101" s="157"/>
      <c r="E101" s="157"/>
      <c r="F101" s="157"/>
      <c r="G101" s="157"/>
      <c r="H101" s="157"/>
      <c r="I101" s="157"/>
      <c r="J101" s="157"/>
      <c r="K101" s="157"/>
      <c r="L101" s="385"/>
      <c r="M101" s="155"/>
    </row>
    <row r="102" spans="1:17" s="152" customFormat="1" ht="20.25" customHeight="1" x14ac:dyDescent="0.25">
      <c r="A102" s="395" t="s">
        <v>162</v>
      </c>
      <c r="B102" s="214"/>
      <c r="C102" s="214"/>
      <c r="D102" s="214"/>
      <c r="E102" s="214"/>
      <c r="F102" s="214"/>
      <c r="G102" s="214"/>
      <c r="H102" s="214"/>
      <c r="I102" s="214"/>
      <c r="J102" s="214"/>
      <c r="K102" s="215"/>
      <c r="L102" s="385"/>
    </row>
    <row r="103" spans="1:17" s="152" customFormat="1" ht="30.75" customHeight="1" x14ac:dyDescent="0.25">
      <c r="A103" s="517" t="s">
        <v>181</v>
      </c>
      <c r="B103" s="518"/>
      <c r="C103" s="231" t="s">
        <v>251</v>
      </c>
      <c r="D103" s="225" t="s">
        <v>5</v>
      </c>
      <c r="E103" s="213">
        <f>IF(D103=$N$6,1,IF(D103=$N$5,2,IF(D103=$N$4,3,IF(D103=$N$3,4,"n/a"))))</f>
        <v>3</v>
      </c>
      <c r="F103" s="485" t="s">
        <v>356</v>
      </c>
      <c r="G103" s="485"/>
      <c r="H103" s="485"/>
      <c r="I103" s="485"/>
      <c r="J103" s="485"/>
      <c r="K103" s="485"/>
      <c r="L103" s="378" t="s">
        <v>96</v>
      </c>
      <c r="Q103" s="155"/>
    </row>
    <row r="104" spans="1:17" s="152" customFormat="1" ht="32.25" customHeight="1" x14ac:dyDescent="0.25">
      <c r="A104" s="515" t="s">
        <v>182</v>
      </c>
      <c r="B104" s="516"/>
      <c r="C104" s="232" t="s">
        <v>251</v>
      </c>
      <c r="D104" s="195" t="s">
        <v>5</v>
      </c>
      <c r="E104" s="118">
        <f>IF(D104=$N$6,1,IF(D104=$N$5,2,IF(D104=$N$4,3,IF(D104=$N$3,4,"n/a"))))</f>
        <v>3</v>
      </c>
      <c r="F104" s="502" t="s">
        <v>357</v>
      </c>
      <c r="G104" s="502"/>
      <c r="H104" s="502"/>
      <c r="I104" s="502"/>
      <c r="J104" s="502"/>
      <c r="K104" s="502"/>
      <c r="L104" s="378" t="s">
        <v>96</v>
      </c>
      <c r="Q104" s="158"/>
    </row>
    <row r="105" spans="1:17" ht="31.5" customHeight="1" thickBot="1" x14ac:dyDescent="0.3">
      <c r="A105" s="527" t="s">
        <v>183</v>
      </c>
      <c r="B105" s="528"/>
      <c r="C105" s="233" t="s">
        <v>252</v>
      </c>
      <c r="D105" s="165" t="s">
        <v>42</v>
      </c>
      <c r="E105" s="175">
        <f>IF(D105=$N$6,1,IF(D105=$N$5,2,IF(D105=$N$4,3,IF(D105=$N$3,4,"n/a"))))</f>
        <v>2</v>
      </c>
      <c r="F105" s="502" t="s">
        <v>358</v>
      </c>
      <c r="G105" s="511"/>
      <c r="H105" s="502"/>
      <c r="I105" s="502"/>
      <c r="J105" s="511"/>
      <c r="K105" s="502"/>
      <c r="L105" s="378" t="s">
        <v>96</v>
      </c>
    </row>
    <row r="106" spans="1:17" ht="32.25" customHeight="1" thickBot="1" x14ac:dyDescent="0.3">
      <c r="A106" s="595"/>
      <c r="B106" s="596"/>
      <c r="C106" s="39" t="s">
        <v>24</v>
      </c>
      <c r="D106" s="27" t="str">
        <f>IF(E106&lt;1.5,"Low",IF(E106&lt;2.5,"Moderate",IF(E106&lt;3.5,"Substantial",IF(E106&lt;4.5,"High","n/a"))))</f>
        <v>Substantial</v>
      </c>
      <c r="E106" s="145">
        <f>IF(COUNT(E103:E105)=0,"n/a",AVERAGE(E103:E105))</f>
        <v>2.6666666666666665</v>
      </c>
      <c r="F106" s="28">
        <f>E106</f>
        <v>2.6666666666666665</v>
      </c>
      <c r="G106" s="217"/>
      <c r="H106" s="51" t="s">
        <v>23</v>
      </c>
      <c r="I106" s="26" t="str">
        <f>D106</f>
        <v>Substantial</v>
      </c>
      <c r="J106" s="30">
        <f>IF(I106=$N$7,"n/a",IF(AND(I106=$N$5,D106=$N$6),1.5,IF(AND(I106=$N$4,D106=$N$5),2.5,IF(AND(I106=$N$3,D106=$N$4),3.5,IF(AND(I106=$N$6,D106=$N$5),1.49,IF(AND(I106=$N$5,D106=$N$4),2.49,IF(AND(I106=$N$4,D106=$N$3),3.49,E106)))))))</f>
        <v>2.6666666666666665</v>
      </c>
      <c r="K106" s="89" t="s">
        <v>91</v>
      </c>
      <c r="L106" s="380"/>
    </row>
    <row r="107" spans="1:17" ht="19.5" customHeight="1" x14ac:dyDescent="0.25">
      <c r="A107" s="396" t="s">
        <v>163</v>
      </c>
      <c r="B107" s="214"/>
      <c r="C107" s="214"/>
      <c r="D107" s="214"/>
      <c r="E107" s="214"/>
      <c r="F107" s="214"/>
      <c r="G107" s="214"/>
      <c r="H107" s="214"/>
      <c r="I107" s="214"/>
      <c r="J107" s="214"/>
      <c r="K107" s="215"/>
      <c r="L107" s="380"/>
    </row>
    <row r="108" spans="1:17" ht="31.5" customHeight="1" x14ac:dyDescent="0.25">
      <c r="A108" s="517" t="s">
        <v>184</v>
      </c>
      <c r="B108" s="518"/>
      <c r="C108" s="231" t="s">
        <v>303</v>
      </c>
      <c r="D108" s="168" t="s">
        <v>42</v>
      </c>
      <c r="E108" s="213">
        <f>IF(D108=$N$6,1,IF(D108=$N$5,2,IF(D108=$N$4,3,IF(D108=$N$3,4,"n/a"))))</f>
        <v>2</v>
      </c>
      <c r="F108" s="485" t="s">
        <v>262</v>
      </c>
      <c r="G108" s="485"/>
      <c r="H108" s="485"/>
      <c r="I108" s="485"/>
      <c r="J108" s="485"/>
      <c r="K108" s="485"/>
      <c r="L108" s="380"/>
    </row>
    <row r="109" spans="1:17" ht="31.5" customHeight="1" thickBot="1" x14ac:dyDescent="0.3">
      <c r="A109" s="529" t="s">
        <v>185</v>
      </c>
      <c r="B109" s="530"/>
      <c r="C109" s="234" t="s">
        <v>304</v>
      </c>
      <c r="D109" s="167" t="s">
        <v>79</v>
      </c>
      <c r="E109" s="175">
        <f>IF(D109=$N$6,1,IF(D109=$N$5,2,IF(D109=$N$4,3,IF(D109=$N$3,4,"n/a"))))</f>
        <v>1</v>
      </c>
      <c r="F109" s="513" t="s">
        <v>359</v>
      </c>
      <c r="G109" s="514"/>
      <c r="H109" s="514"/>
      <c r="I109" s="514"/>
      <c r="J109" s="514"/>
      <c r="K109" s="512"/>
      <c r="L109" s="380"/>
    </row>
    <row r="110" spans="1:17" ht="27" customHeight="1" thickBot="1" x14ac:dyDescent="0.3">
      <c r="A110" s="525"/>
      <c r="B110" s="526"/>
      <c r="C110" s="39" t="s">
        <v>24</v>
      </c>
      <c r="D110" s="27" t="str">
        <f>IF(E110&lt;1.5,"Low",IF(E110&lt;2.5,"Moderate",IF(E110&lt;3.5,"Substantial",IF(E110&lt;4.5,"High","n/a"))))</f>
        <v>Moderate</v>
      </c>
      <c r="E110" s="145">
        <f>IF(COUNT(E108:E109)=0,"n/a",AVERAGE(E108:E109))</f>
        <v>1.5</v>
      </c>
      <c r="F110" s="28">
        <f>E110</f>
        <v>1.5</v>
      </c>
      <c r="G110" s="216"/>
      <c r="H110" s="29" t="s">
        <v>23</v>
      </c>
      <c r="I110" s="26" t="str">
        <f>D110</f>
        <v>Moderate</v>
      </c>
      <c r="J110" s="30">
        <f>IF(I110=$N$7,"n/a",IF(AND(I110=$N$5,D110=$N$6),1.5,IF(AND(I110=$N$4,D110=$N$5),2.5,IF(AND(I110=$N$3,D110=$N$4),3.5,IF(AND(I110=$N$6,D110=$N$5),1.49,IF(AND(I110=$N$5,D110=$N$4),2.49,IF(AND(I110=$N$4,D110=$N$3),3.49,E110)))))))</f>
        <v>1.5</v>
      </c>
      <c r="K110" s="89" t="s">
        <v>91</v>
      </c>
      <c r="L110" s="380"/>
    </row>
    <row r="111" spans="1:17" ht="21" customHeight="1" x14ac:dyDescent="0.25">
      <c r="A111" s="396" t="s">
        <v>164</v>
      </c>
      <c r="B111" s="214"/>
      <c r="C111" s="214"/>
      <c r="D111" s="214"/>
      <c r="E111" s="214"/>
      <c r="F111" s="214"/>
      <c r="G111" s="214"/>
      <c r="H111" s="214"/>
      <c r="I111" s="214"/>
      <c r="J111" s="214"/>
      <c r="K111" s="215"/>
      <c r="L111" s="380"/>
      <c r="Q111" s="159"/>
    </row>
    <row r="112" spans="1:17" ht="29.25" customHeight="1" x14ac:dyDescent="0.25">
      <c r="A112" s="517" t="s">
        <v>186</v>
      </c>
      <c r="B112" s="518"/>
      <c r="C112" s="231" t="s">
        <v>305</v>
      </c>
      <c r="D112" s="225" t="s">
        <v>5</v>
      </c>
      <c r="E112" s="213">
        <f>IF(D112=$N$6,1,IF(D112=$N$5,2,IF(D112=$N$4,3,IF(D112=$N$3,4,"n/a"))))</f>
        <v>3</v>
      </c>
      <c r="F112" s="485" t="s">
        <v>360</v>
      </c>
      <c r="G112" s="485"/>
      <c r="H112" s="485"/>
      <c r="I112" s="485"/>
      <c r="J112" s="485"/>
      <c r="K112" s="485"/>
      <c r="L112" s="380"/>
    </row>
    <row r="113" spans="1:12" ht="30.75" customHeight="1" x14ac:dyDescent="0.25">
      <c r="A113" s="515" t="s">
        <v>187</v>
      </c>
      <c r="B113" s="516"/>
      <c r="C113" s="232" t="s">
        <v>306</v>
      </c>
      <c r="D113" s="195" t="s">
        <v>42</v>
      </c>
      <c r="E113" s="118">
        <f>IF(D113=$N$6,1,IF(D113=$N$5,2,IF(D113=$N$4,3,IF(D113=$N$3,4,"n/a"))))</f>
        <v>2</v>
      </c>
      <c r="F113" s="508" t="s">
        <v>361</v>
      </c>
      <c r="G113" s="502"/>
      <c r="H113" s="502"/>
      <c r="I113" s="502"/>
      <c r="J113" s="502"/>
      <c r="K113" s="509"/>
      <c r="L113" s="380"/>
    </row>
    <row r="114" spans="1:12" ht="42.75" customHeight="1" thickBot="1" x14ac:dyDescent="0.3">
      <c r="A114" s="527" t="s">
        <v>165</v>
      </c>
      <c r="B114" s="528"/>
      <c r="C114" s="233" t="s">
        <v>242</v>
      </c>
      <c r="D114" s="165" t="s">
        <v>42</v>
      </c>
      <c r="E114" s="175">
        <f>IF(D114=$N$6,1,IF(D114=$N$5,2,IF(D114=$N$4,3,IF(D114=$N$3,4,"n/a"))))</f>
        <v>2</v>
      </c>
      <c r="F114" s="510" t="s">
        <v>362</v>
      </c>
      <c r="G114" s="511"/>
      <c r="H114" s="511"/>
      <c r="I114" s="511"/>
      <c r="J114" s="511"/>
      <c r="K114" s="512"/>
      <c r="L114" s="378" t="s">
        <v>96</v>
      </c>
    </row>
    <row r="115" spans="1:12" ht="26.25" customHeight="1" thickBot="1" x14ac:dyDescent="0.3">
      <c r="A115" s="590"/>
      <c r="B115" s="591"/>
      <c r="C115" s="39" t="s">
        <v>24</v>
      </c>
      <c r="D115" s="27" t="str">
        <f>IF(E115&lt;1.5,"Low",IF(E115&lt;2.5,"Moderate",IF(E115&lt;3.5,"Substantial",IF(E115&lt;4.5,"High","n/a"))))</f>
        <v>Moderate</v>
      </c>
      <c r="E115" s="145">
        <f>IF(COUNT(E112:E114)=0,"n/a",AVERAGE(E112:E114))</f>
        <v>2.3333333333333335</v>
      </c>
      <c r="F115" s="28">
        <f>E115</f>
        <v>2.3333333333333335</v>
      </c>
      <c r="G115" s="216"/>
      <c r="H115" s="29" t="s">
        <v>23</v>
      </c>
      <c r="I115" s="26" t="str">
        <f>D115</f>
        <v>Moderate</v>
      </c>
      <c r="J115" s="30">
        <f>IF(I115=$N$7,"n/a",IF(AND(I115=$N$5,D115=$N$6),1.5,IF(AND(I115=$N$4,D115=$N$5),2.5,IF(AND(I115=$N$3,D115=$N$4),3.5,IF(AND(I115=$N$6,D115=$N$5),1.49,IF(AND(I115=$N$5,D115=$N$4),2.49,IF(AND(I115=$N$4,D115=$N$3),3.49,E115)))))))</f>
        <v>2.3333333333333335</v>
      </c>
      <c r="K115" s="89" t="s">
        <v>91</v>
      </c>
      <c r="L115" s="380"/>
    </row>
    <row r="116" spans="1:12" ht="23.25" customHeight="1" x14ac:dyDescent="0.25">
      <c r="A116" s="396" t="s">
        <v>168</v>
      </c>
      <c r="B116" s="214"/>
      <c r="C116" s="214"/>
      <c r="D116" s="214"/>
      <c r="E116" s="214"/>
      <c r="F116" s="214"/>
      <c r="G116" s="214"/>
      <c r="H116" s="214"/>
      <c r="I116" s="214"/>
      <c r="J116" s="214"/>
      <c r="K116" s="215"/>
      <c r="L116" s="380"/>
    </row>
    <row r="117" spans="1:12" ht="33" customHeight="1" x14ac:dyDescent="0.25">
      <c r="A117" s="506" t="s">
        <v>169</v>
      </c>
      <c r="B117" s="507"/>
      <c r="C117" s="235"/>
      <c r="D117" s="168" t="s">
        <v>19</v>
      </c>
      <c r="E117" s="118" t="str">
        <f>IF(D117=$N$6,1,IF(D117=$N$5,2,IF(D117=$N$4,3,IF(D117=$N$3,4,"n/a"))))</f>
        <v>n/a</v>
      </c>
      <c r="F117" s="485" t="s">
        <v>16</v>
      </c>
      <c r="G117" s="485"/>
      <c r="H117" s="485"/>
      <c r="I117" s="485"/>
      <c r="J117" s="485"/>
      <c r="K117" s="485"/>
      <c r="L117" s="378"/>
    </row>
    <row r="118" spans="1:12" ht="33" customHeight="1" x14ac:dyDescent="0.25">
      <c r="A118" s="506" t="s">
        <v>170</v>
      </c>
      <c r="B118" s="507"/>
      <c r="C118" s="232"/>
      <c r="D118" s="195" t="s">
        <v>19</v>
      </c>
      <c r="E118" s="118" t="str">
        <f>IF(D118=$N$6,1,IF(D118=$N$5,2,IF(D118=$N$4,3,IF(D118=$N$3,4,"n/a"))))</f>
        <v>n/a</v>
      </c>
      <c r="F118" s="508" t="s">
        <v>16</v>
      </c>
      <c r="G118" s="502"/>
      <c r="H118" s="502"/>
      <c r="I118" s="502"/>
      <c r="J118" s="502"/>
      <c r="K118" s="509"/>
      <c r="L118" s="378"/>
    </row>
    <row r="119" spans="1:12" ht="34.5" customHeight="1" thickBot="1" x14ac:dyDescent="0.3">
      <c r="A119" s="592" t="s">
        <v>193</v>
      </c>
      <c r="B119" s="593"/>
      <c r="C119" s="235"/>
      <c r="D119" s="167" t="s">
        <v>19</v>
      </c>
      <c r="E119" s="175" t="str">
        <f>IF(D119=$N$6,1,IF(D119=$N$5,2,IF(D119=$N$4,3,IF(D119=$N$3,4,"n/a"))))</f>
        <v>n/a</v>
      </c>
      <c r="F119" s="510" t="s">
        <v>16</v>
      </c>
      <c r="G119" s="511"/>
      <c r="H119" s="511"/>
      <c r="I119" s="511"/>
      <c r="J119" s="511"/>
      <c r="K119" s="512"/>
      <c r="L119" s="378"/>
    </row>
    <row r="120" spans="1:12" ht="27" customHeight="1" thickBot="1" x14ac:dyDescent="0.3">
      <c r="A120" s="525"/>
      <c r="B120" s="526"/>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91</v>
      </c>
      <c r="L120" s="380"/>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49" zoomScaleNormal="100" zoomScaleSheetLayoutView="115" workbookViewId="0">
      <selection activeCell="B10" sqref="B10"/>
    </sheetView>
  </sheetViews>
  <sheetFormatPr defaultColWidth="8.88671875" defaultRowHeight="13.2" x14ac:dyDescent="0.25"/>
  <cols>
    <col min="1" max="1" width="12.88671875" customWidth="1"/>
    <col min="2" max="2" width="126" customWidth="1"/>
    <col min="4" max="5" width="17.6640625" customWidth="1"/>
    <col min="6" max="6" width="17.88671875" customWidth="1"/>
  </cols>
  <sheetData>
    <row r="1" spans="1:2" ht="24" customHeight="1" thickBot="1" x14ac:dyDescent="0.3">
      <c r="A1" s="610" t="s">
        <v>122</v>
      </c>
      <c r="B1" s="611"/>
    </row>
    <row r="2" spans="1:2" s="152" customFormat="1" ht="23.25" customHeight="1" x14ac:dyDescent="0.25">
      <c r="A2" s="612" t="s">
        <v>209</v>
      </c>
      <c r="B2" s="613"/>
    </row>
    <row r="3" spans="1:2" ht="40.5" customHeight="1" x14ac:dyDescent="0.25">
      <c r="A3" s="388" t="s">
        <v>198</v>
      </c>
      <c r="B3" s="393" t="s">
        <v>194</v>
      </c>
    </row>
    <row r="4" spans="1:2" ht="36" customHeight="1" x14ac:dyDescent="0.25">
      <c r="A4" s="410" t="s">
        <v>199</v>
      </c>
      <c r="B4" s="94" t="s">
        <v>196</v>
      </c>
    </row>
    <row r="5" spans="1:2" ht="36" customHeight="1" thickBot="1" x14ac:dyDescent="0.3">
      <c r="A5" s="388" t="s">
        <v>213</v>
      </c>
      <c r="B5" s="391" t="s">
        <v>214</v>
      </c>
    </row>
    <row r="6" spans="1:2" ht="23.25" customHeight="1" x14ac:dyDescent="0.25">
      <c r="A6" s="614" t="s">
        <v>195</v>
      </c>
      <c r="B6" s="615"/>
    </row>
    <row r="7" spans="1:2" ht="21.75" customHeight="1" x14ac:dyDescent="0.25">
      <c r="A7" s="387" t="s">
        <v>134</v>
      </c>
      <c r="B7" s="254"/>
    </row>
    <row r="8" spans="1:2" ht="37.5" customHeight="1" x14ac:dyDescent="0.25">
      <c r="A8" s="93">
        <v>1</v>
      </c>
      <c r="B8" s="393" t="s">
        <v>197</v>
      </c>
    </row>
    <row r="9" spans="1:2" ht="22.5" customHeight="1" x14ac:dyDescent="0.3">
      <c r="A9" s="387" t="s">
        <v>132</v>
      </c>
      <c r="B9" s="253"/>
    </row>
    <row r="10" spans="1:2" ht="130.5" customHeight="1" x14ac:dyDescent="0.25">
      <c r="A10" s="392">
        <f>+A8+1</f>
        <v>2</v>
      </c>
      <c r="B10" s="94" t="s">
        <v>210</v>
      </c>
    </row>
    <row r="11" spans="1:2" ht="27" customHeight="1" x14ac:dyDescent="0.25">
      <c r="A11" s="392">
        <f>+A10+1</f>
        <v>3</v>
      </c>
      <c r="B11" s="94" t="s">
        <v>200</v>
      </c>
    </row>
    <row r="12" spans="1:2" ht="23.25" customHeight="1" x14ac:dyDescent="0.25">
      <c r="A12" s="392">
        <f t="shared" ref="A12:A13" si="0">+A11+1</f>
        <v>4</v>
      </c>
      <c r="B12" s="94" t="s">
        <v>207</v>
      </c>
    </row>
    <row r="13" spans="1:2" ht="114" customHeight="1" x14ac:dyDescent="0.25">
      <c r="A13" s="392">
        <f t="shared" si="0"/>
        <v>5</v>
      </c>
      <c r="B13" s="94" t="s">
        <v>208</v>
      </c>
    </row>
    <row r="14" spans="1:2" ht="22.5" customHeight="1" x14ac:dyDescent="0.25">
      <c r="A14" s="387" t="s">
        <v>133</v>
      </c>
      <c r="B14" s="254"/>
    </row>
    <row r="15" spans="1:2" ht="54.75" customHeight="1" x14ac:dyDescent="0.25">
      <c r="A15" s="392">
        <f>+A13+1</f>
        <v>6</v>
      </c>
      <c r="B15" s="94" t="s">
        <v>201</v>
      </c>
    </row>
    <row r="16" spans="1:2" ht="23.25" customHeight="1" x14ac:dyDescent="0.25">
      <c r="A16" s="392">
        <f t="shared" ref="A16:A18" si="1">+A15+1</f>
        <v>7</v>
      </c>
      <c r="B16" s="94" t="s">
        <v>202</v>
      </c>
    </row>
    <row r="17" spans="1:2" ht="24.75" customHeight="1" x14ac:dyDescent="0.25">
      <c r="A17" s="392">
        <f t="shared" si="1"/>
        <v>8</v>
      </c>
      <c r="B17" s="94" t="s">
        <v>203</v>
      </c>
    </row>
    <row r="18" spans="1:2" ht="24.75" customHeight="1" x14ac:dyDescent="0.25">
      <c r="A18" s="392">
        <f t="shared" si="1"/>
        <v>9</v>
      </c>
      <c r="B18" s="94" t="s">
        <v>204</v>
      </c>
    </row>
    <row r="19" spans="1:2" ht="21.75" customHeight="1" x14ac:dyDescent="0.25">
      <c r="A19" s="387" t="s">
        <v>134</v>
      </c>
      <c r="B19" s="254"/>
    </row>
    <row r="20" spans="1:2" ht="40.5" customHeight="1" thickBot="1" x14ac:dyDescent="0.3">
      <c r="A20" s="93">
        <f>+A18+1</f>
        <v>10</v>
      </c>
      <c r="B20" s="391" t="s">
        <v>205</v>
      </c>
    </row>
    <row r="21" spans="1:2" ht="52.5" customHeight="1" thickBot="1" x14ac:dyDescent="0.3">
      <c r="A21" s="390" t="s">
        <v>123</v>
      </c>
      <c r="B21" s="255" t="s">
        <v>206</v>
      </c>
    </row>
    <row r="24" spans="1:2" ht="17.25" customHeight="1" x14ac:dyDescent="0.25">
      <c r="A24" s="389" t="s">
        <v>93</v>
      </c>
      <c r="B24" s="389" t="s">
        <v>92</v>
      </c>
    </row>
    <row r="25" spans="1:2" x14ac:dyDescent="0.25">
      <c r="A25" s="95" t="s">
        <v>94</v>
      </c>
      <c r="B25" s="95" t="s">
        <v>72</v>
      </c>
    </row>
    <row r="26" spans="1:2" x14ac:dyDescent="0.25">
      <c r="A26" s="95" t="s">
        <v>95</v>
      </c>
      <c r="B26" s="95" t="s">
        <v>72</v>
      </c>
    </row>
    <row r="27" spans="1:2" x14ac:dyDescent="0.25">
      <c r="A27" s="95" t="s">
        <v>97</v>
      </c>
      <c r="B27" s="96" t="s">
        <v>98</v>
      </c>
    </row>
    <row r="28" spans="1:2" ht="34.799999999999997" x14ac:dyDescent="0.25">
      <c r="A28" s="97">
        <v>2.1</v>
      </c>
      <c r="B28" s="98" t="s">
        <v>63</v>
      </c>
    </row>
    <row r="29" spans="1:2" x14ac:dyDescent="0.25">
      <c r="A29" s="99" t="s">
        <v>99</v>
      </c>
      <c r="B29" s="99" t="s">
        <v>64</v>
      </c>
    </row>
    <row r="30" spans="1:2" x14ac:dyDescent="0.25">
      <c r="A30" s="99" t="s">
        <v>100</v>
      </c>
      <c r="B30" s="99" t="s">
        <v>47</v>
      </c>
    </row>
    <row r="31" spans="1:2" ht="23.4" x14ac:dyDescent="0.25">
      <c r="A31" s="100" t="s">
        <v>101</v>
      </c>
      <c r="B31" s="99" t="s">
        <v>66</v>
      </c>
    </row>
    <row r="32" spans="1:2" x14ac:dyDescent="0.25">
      <c r="A32" s="101" t="s">
        <v>102</v>
      </c>
      <c r="B32" s="101" t="s">
        <v>32</v>
      </c>
    </row>
    <row r="33" spans="1:2" ht="22.8" x14ac:dyDescent="0.25">
      <c r="A33" s="102">
        <v>4</v>
      </c>
      <c r="B33" s="102" t="s">
        <v>103</v>
      </c>
    </row>
    <row r="34" spans="1:2" x14ac:dyDescent="0.25">
      <c r="A34" s="88" t="s">
        <v>104</v>
      </c>
      <c r="B34" s="88" t="s">
        <v>192</v>
      </c>
    </row>
    <row r="35" spans="1:2" x14ac:dyDescent="0.25">
      <c r="A35" s="88" t="s">
        <v>105</v>
      </c>
      <c r="B35" s="88" t="s">
        <v>116</v>
      </c>
    </row>
    <row r="36" spans="1:2" x14ac:dyDescent="0.25">
      <c r="A36" s="88" t="s">
        <v>106</v>
      </c>
      <c r="B36" s="88" t="s">
        <v>115</v>
      </c>
    </row>
    <row r="37" spans="1:2" ht="34.200000000000003" x14ac:dyDescent="0.25">
      <c r="A37" s="88" t="s">
        <v>107</v>
      </c>
      <c r="B37" s="88" t="s">
        <v>108</v>
      </c>
    </row>
    <row r="38" spans="1:2" ht="22.8" x14ac:dyDescent="0.25">
      <c r="A38" s="88" t="s">
        <v>109</v>
      </c>
      <c r="B38" s="88" t="s">
        <v>76</v>
      </c>
    </row>
    <row r="39" spans="1:2" x14ac:dyDescent="0.25">
      <c r="A39" s="88" t="s">
        <v>110</v>
      </c>
      <c r="B39" s="88" t="s">
        <v>117</v>
      </c>
    </row>
    <row r="40" spans="1:2" x14ac:dyDescent="0.25">
      <c r="A40" s="309" t="s">
        <v>111</v>
      </c>
      <c r="B40" s="309" t="s">
        <v>156</v>
      </c>
    </row>
    <row r="41" spans="1:2" x14ac:dyDescent="0.25">
      <c r="A41" s="310" t="s">
        <v>177</v>
      </c>
      <c r="B41" s="310" t="s">
        <v>180</v>
      </c>
    </row>
    <row r="42" spans="1:2" x14ac:dyDescent="0.25">
      <c r="A42" s="310" t="s">
        <v>161</v>
      </c>
      <c r="B42" s="310" t="s">
        <v>120</v>
      </c>
    </row>
    <row r="43" spans="1:2" x14ac:dyDescent="0.25">
      <c r="A43" s="310" t="s">
        <v>114</v>
      </c>
      <c r="B43" s="310" t="s">
        <v>121</v>
      </c>
    </row>
    <row r="44" spans="1:2" x14ac:dyDescent="0.25">
      <c r="A44" s="103" t="s">
        <v>171</v>
      </c>
      <c r="B44" s="103" t="s">
        <v>112</v>
      </c>
    </row>
    <row r="45" spans="1:2" x14ac:dyDescent="0.25">
      <c r="A45" s="103" t="s">
        <v>172</v>
      </c>
      <c r="B45" s="104" t="s">
        <v>113</v>
      </c>
    </row>
    <row r="46" spans="1:2" x14ac:dyDescent="0.25">
      <c r="A46" s="104" t="s">
        <v>173</v>
      </c>
      <c r="B46" s="104" t="s">
        <v>118</v>
      </c>
    </row>
    <row r="47" spans="1:2" x14ac:dyDescent="0.25">
      <c r="A47" s="104" t="s">
        <v>174</v>
      </c>
      <c r="B47" s="104" t="s">
        <v>119</v>
      </c>
    </row>
    <row r="48" spans="1:2" ht="13.8" thickBot="1" x14ac:dyDescent="0.3">
      <c r="A48" s="312"/>
      <c r="B48" s="312"/>
    </row>
    <row r="49" spans="1:6" ht="27.75" customHeight="1" thickBot="1" x14ac:dyDescent="0.3">
      <c r="A49" s="251"/>
      <c r="B49" s="252"/>
      <c r="D49" s="256"/>
      <c r="E49" s="262" t="s">
        <v>125</v>
      </c>
      <c r="F49" s="257" t="s">
        <v>127</v>
      </c>
    </row>
    <row r="50" spans="1:6" ht="45" customHeight="1" thickBot="1" x14ac:dyDescent="0.3">
      <c r="A50" s="251"/>
      <c r="B50" s="252" t="s">
        <v>135</v>
      </c>
      <c r="C50" s="14"/>
      <c r="D50" s="267" t="s">
        <v>126</v>
      </c>
      <c r="E50" s="263" t="s">
        <v>128</v>
      </c>
      <c r="F50" s="261" t="s">
        <v>129</v>
      </c>
    </row>
    <row r="51" spans="1:6" ht="21.75" customHeight="1" x14ac:dyDescent="0.25">
      <c r="A51" s="251"/>
      <c r="B51" s="252"/>
      <c r="C51" s="14"/>
      <c r="D51" s="268" t="s">
        <v>4</v>
      </c>
      <c r="E51" s="264">
        <v>4</v>
      </c>
      <c r="F51" s="260" t="s">
        <v>136</v>
      </c>
    </row>
    <row r="52" spans="1:6" ht="21.75" customHeight="1" x14ac:dyDescent="0.25">
      <c r="A52" s="251"/>
      <c r="B52" s="252"/>
      <c r="C52" s="14"/>
      <c r="D52" s="269" t="s">
        <v>5</v>
      </c>
      <c r="E52" s="265">
        <v>3</v>
      </c>
      <c r="F52" s="258" t="s">
        <v>137</v>
      </c>
    </row>
    <row r="53" spans="1:6" ht="21.75" customHeight="1" x14ac:dyDescent="0.25">
      <c r="A53" s="251"/>
      <c r="B53" s="252"/>
      <c r="C53" s="14"/>
      <c r="D53" s="270" t="s">
        <v>42</v>
      </c>
      <c r="E53" s="265">
        <v>2</v>
      </c>
      <c r="F53" s="258" t="s">
        <v>138</v>
      </c>
    </row>
    <row r="54" spans="1:6" ht="21.75" customHeight="1" x14ac:dyDescent="0.25">
      <c r="A54" s="251"/>
      <c r="B54" s="252"/>
      <c r="C54" s="14"/>
      <c r="D54" s="271" t="s">
        <v>79</v>
      </c>
      <c r="E54" s="265">
        <v>1</v>
      </c>
      <c r="F54" s="258" t="s">
        <v>131</v>
      </c>
    </row>
    <row r="55" spans="1:6" ht="21.75" customHeight="1" thickBot="1" x14ac:dyDescent="0.3">
      <c r="A55" s="251"/>
      <c r="B55" s="252"/>
      <c r="C55" s="14"/>
      <c r="D55" s="272" t="s">
        <v>19</v>
      </c>
      <c r="E55" s="266" t="s">
        <v>130</v>
      </c>
      <c r="F55" s="259" t="s">
        <v>130</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89124-D42E-41EA-9C34-CFE157928930}">
  <ds:schemaRefs>
    <ds:schemaRef ds:uri="http://purl.org/dc/dcmitype/"/>
    <ds:schemaRef ds:uri="http://purl.org/dc/elements/1.1/"/>
    <ds:schemaRef ds:uri="http://schemas.microsoft.com/office/2006/documentManagement/types"/>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4</vt:i4>
      </vt:variant>
      <vt:variant>
        <vt:lpstr>Benoemde bereiken</vt:lpstr>
      </vt:variant>
      <vt:variant>
        <vt:i4>5</vt:i4>
      </vt:variant>
    </vt:vector>
  </HeadingPairs>
  <TitlesOfParts>
    <vt:vector size="9" baseType="lpstr">
      <vt:lpstr>Profile</vt:lpstr>
      <vt:lpstr>Register</vt:lpstr>
      <vt:lpstr>Questionnaire</vt:lpstr>
      <vt:lpstr>Guidance</vt:lpstr>
      <vt:lpstr>Profile!Afdrukbereik</vt:lpstr>
      <vt:lpstr>Questionnaire!Afdrukbereik</vt:lpstr>
      <vt:lpstr>Register!Afdrukbereik</vt:lpstr>
      <vt:lpstr>Questionnaire!Afdruktitels</vt:lpstr>
      <vt:lpstr>Register!Afdruktitels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Irna Hofman</cp:lastModifiedBy>
  <cp:lastPrinted>2015-09-16T12:49:58Z</cp:lastPrinted>
  <dcterms:created xsi:type="dcterms:W3CDTF">2012-01-04T16:00:22Z</dcterms:created>
  <dcterms:modified xsi:type="dcterms:W3CDTF">2024-04-17T08:40:33Z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